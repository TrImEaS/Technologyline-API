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filterPrivacy="1" codeName="ThisWorkbook" hidePivotFieldList="1" defaultThemeVersion="164011"/>
  <bookViews>
    <workbookView xWindow="3765" yWindow="555" windowWidth="9420" windowHeight="6660" tabRatio="875" activeTab="5"/>
  </bookViews>
  <sheets>
    <sheet name="base para costos" sheetId="1" r:id="rId1"/>
    <sheet name="CALCULADORA" sheetId="19" r:id="rId2"/>
    <sheet name="promedios" sheetId="5" r:id="rId3"/>
    <sheet name="calculadora de porcentaje" sheetId="6" r:id="rId4"/>
    <sheet name="stock fisico " sheetId="2" r:id="rId5"/>
    <sheet name="PVP WEB LINK DE PAGO" sheetId="7" r:id="rId6"/>
    <sheet name="Margenes" sheetId="20" r:id="rId7"/>
    <sheet name="360" sheetId="18" r:id="rId8"/>
    <sheet name="HORNOS OULET" sheetId="8" r:id="rId9"/>
    <sheet name="discontinuos" sheetId="17" r:id="rId10"/>
    <sheet name="costo envio" sheetId="13" r:id="rId11"/>
    <sheet name="cartuchos" sheetId="16" r:id="rId12"/>
    <sheet name="d" sheetId="3" r:id="rId13"/>
  </sheets>
  <functionGroups builtInGroupCount="18"/>
  <definedNames>
    <definedName name="_3_cuotas_al_mismo_precio_que_publiques_8.90">'base para costos'!$G$6</definedName>
    <definedName name="_xlnm._FilterDatabase" localSheetId="0" hidden="1">'base para costos'!$A$13:$P$370</definedName>
    <definedName name="_xlnm._FilterDatabase" localSheetId="5" hidden="1">'PVP WEB LINK DE PAGO'!$A$5:$AZ$553</definedName>
    <definedName name="_xlnm._FilterDatabase" localSheetId="4" hidden="1">'stock fisico '!$A$2:$L$233</definedName>
  </definedNames>
  <calcPr calcId="162913"/>
</workbook>
</file>

<file path=xl/calcChain.xml><?xml version="1.0" encoding="utf-8"?>
<calcChain xmlns="http://schemas.openxmlformats.org/spreadsheetml/2006/main">
  <c r="AV193" i="7" l="1"/>
  <c r="AV194" i="7"/>
  <c r="AV195" i="7"/>
  <c r="AV196" i="7"/>
  <c r="AV197" i="7"/>
  <c r="AV198" i="7"/>
  <c r="AV199" i="7"/>
  <c r="AV200" i="7"/>
  <c r="AV201" i="7"/>
  <c r="AV202" i="7"/>
  <c r="AV203" i="7"/>
  <c r="AV204" i="7"/>
  <c r="AV205" i="7"/>
  <c r="AV206" i="7"/>
  <c r="AV207" i="7"/>
  <c r="AV208" i="7"/>
  <c r="AV209" i="7"/>
  <c r="AV210" i="7"/>
  <c r="AV211" i="7"/>
  <c r="AV212" i="7"/>
  <c r="AV213" i="7"/>
  <c r="AV214" i="7"/>
  <c r="AV215" i="7"/>
  <c r="AV216" i="7"/>
  <c r="AV217" i="7"/>
  <c r="AV218" i="7"/>
  <c r="AV219" i="7"/>
  <c r="AV220" i="7"/>
  <c r="AV221" i="7"/>
  <c r="AV222" i="7"/>
  <c r="AV223" i="7"/>
  <c r="AV224" i="7"/>
  <c r="AV225" i="7"/>
  <c r="AV226" i="7"/>
  <c r="AV227" i="7"/>
  <c r="AV228" i="7"/>
  <c r="AV229" i="7"/>
  <c r="AV230" i="7"/>
  <c r="AV231" i="7"/>
  <c r="AV232" i="7"/>
  <c r="AV233" i="7"/>
  <c r="AV234" i="7"/>
  <c r="AV235" i="7"/>
  <c r="AV236" i="7"/>
  <c r="AV237" i="7"/>
  <c r="AV238" i="7"/>
  <c r="AV239" i="7"/>
  <c r="AV240" i="7"/>
  <c r="AV241" i="7"/>
  <c r="AV242" i="7"/>
  <c r="AV243" i="7"/>
  <c r="AV244" i="7"/>
  <c r="AV245" i="7"/>
  <c r="AV246" i="7"/>
  <c r="AV247" i="7"/>
  <c r="AV248" i="7"/>
  <c r="AV249" i="7"/>
  <c r="AV250" i="7"/>
  <c r="AV251" i="7"/>
  <c r="AV252" i="7"/>
  <c r="AV253" i="7"/>
  <c r="AV254" i="7"/>
  <c r="AV255" i="7"/>
  <c r="AV256" i="7"/>
  <c r="AV257" i="7"/>
  <c r="AV258" i="7"/>
  <c r="AV259" i="7"/>
  <c r="AV260" i="7"/>
  <c r="AV261" i="7"/>
  <c r="AV262" i="7"/>
  <c r="AV263" i="7"/>
  <c r="AV264" i="7"/>
  <c r="AV265" i="7"/>
  <c r="AV266" i="7"/>
  <c r="AV267" i="7"/>
  <c r="AV268" i="7"/>
  <c r="AV269" i="7"/>
  <c r="AV270" i="7"/>
  <c r="AV271" i="7"/>
  <c r="AV272" i="7"/>
  <c r="AV273" i="7"/>
  <c r="AV274" i="7"/>
  <c r="AV275" i="7"/>
  <c r="AV276" i="7"/>
  <c r="AV277" i="7"/>
  <c r="AV278" i="7"/>
  <c r="AV279" i="7"/>
  <c r="AV280" i="7"/>
  <c r="AV281" i="7"/>
  <c r="AV282" i="7"/>
  <c r="AV283" i="7"/>
  <c r="AV284" i="7"/>
  <c r="AV285" i="7"/>
  <c r="AV286" i="7"/>
  <c r="AV287" i="7"/>
  <c r="AV288" i="7"/>
  <c r="AV289" i="7"/>
  <c r="AV290" i="7"/>
  <c r="AV291" i="7"/>
  <c r="AV292" i="7"/>
  <c r="AV293" i="7"/>
  <c r="AV294" i="7"/>
  <c r="AV295" i="7"/>
  <c r="AV296" i="7"/>
  <c r="AV297" i="7"/>
  <c r="AV298" i="7"/>
  <c r="AV299" i="7"/>
  <c r="AV300" i="7"/>
  <c r="AV301" i="7"/>
  <c r="AV302" i="7"/>
  <c r="AV303" i="7"/>
  <c r="AV304" i="7"/>
  <c r="AV305" i="7"/>
  <c r="AV306" i="7"/>
  <c r="AV307" i="7"/>
  <c r="AV308" i="7"/>
  <c r="AV309" i="7"/>
  <c r="AV310" i="7"/>
  <c r="AV311" i="7"/>
  <c r="AV312" i="7"/>
  <c r="AV313" i="7"/>
  <c r="AV314" i="7"/>
  <c r="AV315" i="7"/>
  <c r="AV316" i="7"/>
  <c r="AV317" i="7"/>
  <c r="AV318" i="7"/>
  <c r="AV319" i="7"/>
  <c r="AV320" i="7"/>
  <c r="AV321" i="7"/>
  <c r="AV322" i="7"/>
  <c r="AV323" i="7"/>
  <c r="AV324" i="7"/>
  <c r="AV325" i="7"/>
  <c r="AV326" i="7"/>
  <c r="AV327" i="7"/>
  <c r="AV328" i="7"/>
  <c r="AV329" i="7"/>
  <c r="AV330" i="7"/>
  <c r="AV331" i="7"/>
  <c r="AV332" i="7"/>
  <c r="AV333" i="7"/>
  <c r="AV334" i="7"/>
  <c r="AV335" i="7"/>
  <c r="AV336" i="7"/>
  <c r="AV337" i="7"/>
  <c r="AV338" i="7"/>
  <c r="AV339" i="7"/>
  <c r="AV340" i="7"/>
  <c r="AV341" i="7"/>
  <c r="AV342" i="7"/>
  <c r="AV343" i="7"/>
  <c r="AV344" i="7"/>
  <c r="AV345" i="7"/>
  <c r="AV346" i="7"/>
  <c r="AV347" i="7"/>
  <c r="AV348" i="7"/>
  <c r="AV349" i="7"/>
  <c r="AV350" i="7"/>
  <c r="AV351" i="7"/>
  <c r="AV352" i="7"/>
  <c r="AV353" i="7"/>
  <c r="AV354" i="7"/>
  <c r="AV355" i="7"/>
  <c r="AV356" i="7"/>
  <c r="AV357" i="7"/>
  <c r="AV358" i="7"/>
  <c r="AV359" i="7"/>
  <c r="AV360" i="7"/>
  <c r="AV361" i="7"/>
  <c r="AV362" i="7"/>
  <c r="AV363" i="7"/>
  <c r="AV364" i="7"/>
  <c r="AV365" i="7"/>
  <c r="AV366" i="7"/>
  <c r="AV367" i="7"/>
  <c r="AV368" i="7"/>
  <c r="AV369" i="7"/>
  <c r="AV370" i="7"/>
  <c r="AV371" i="7"/>
  <c r="AV372" i="7"/>
  <c r="AV373" i="7"/>
  <c r="AV374" i="7"/>
  <c r="AV375" i="7"/>
  <c r="AV376" i="7"/>
  <c r="AV377" i="7"/>
  <c r="AV378" i="7"/>
  <c r="AV379" i="7"/>
  <c r="AV380" i="7"/>
  <c r="AV381" i="7"/>
  <c r="AV382" i="7"/>
  <c r="AV383" i="7"/>
  <c r="AV384" i="7"/>
  <c r="AV385" i="7"/>
  <c r="AV386" i="7"/>
  <c r="AV387" i="7"/>
  <c r="AV388" i="7"/>
  <c r="AV389" i="7"/>
  <c r="AV390" i="7"/>
  <c r="AV391" i="7"/>
  <c r="AV392" i="7"/>
  <c r="AV393" i="7"/>
  <c r="AV394" i="7"/>
  <c r="AV395" i="7"/>
  <c r="AV396" i="7"/>
  <c r="AV397" i="7"/>
  <c r="AV398" i="7"/>
  <c r="AV399" i="7"/>
  <c r="AV400" i="7"/>
  <c r="AV401" i="7"/>
  <c r="AV402" i="7"/>
  <c r="AV403" i="7"/>
  <c r="AV404" i="7"/>
  <c r="AV405" i="7"/>
  <c r="AV406" i="7"/>
  <c r="AV407" i="7"/>
  <c r="AV408" i="7"/>
  <c r="AV409" i="7"/>
  <c r="AV410" i="7"/>
  <c r="AV411" i="7"/>
  <c r="AV412" i="7"/>
  <c r="AV413" i="7"/>
  <c r="AV414" i="7"/>
  <c r="AV415" i="7"/>
  <c r="AV416" i="7"/>
  <c r="AV417" i="7"/>
  <c r="AV418" i="7"/>
  <c r="AV419" i="7"/>
  <c r="AV420" i="7"/>
  <c r="AV421" i="7"/>
  <c r="AV422" i="7"/>
  <c r="AV423" i="7"/>
  <c r="AV424" i="7"/>
  <c r="AV425" i="7"/>
  <c r="AV426" i="7"/>
  <c r="AV427" i="7"/>
  <c r="AV428" i="7"/>
  <c r="AV429" i="7"/>
  <c r="AV430" i="7"/>
  <c r="AV431" i="7"/>
  <c r="AV432" i="7"/>
  <c r="AV433" i="7"/>
  <c r="AV434" i="7"/>
  <c r="AV435" i="7"/>
  <c r="AV436" i="7"/>
  <c r="AV437" i="7"/>
  <c r="AV438" i="7"/>
  <c r="AV439" i="7"/>
  <c r="AV440" i="7"/>
  <c r="AV441" i="7"/>
  <c r="AV442" i="7"/>
  <c r="AV443" i="7"/>
  <c r="AV444" i="7"/>
  <c r="AV445" i="7"/>
  <c r="AV446" i="7"/>
  <c r="AV447" i="7"/>
  <c r="AV448" i="7"/>
  <c r="AV449" i="7"/>
  <c r="AV450" i="7"/>
  <c r="AV451" i="7"/>
  <c r="AV452" i="7"/>
  <c r="AV453" i="7"/>
  <c r="AV454" i="7"/>
  <c r="AV455" i="7"/>
  <c r="AV456" i="7"/>
  <c r="AV457" i="7"/>
  <c r="AV458" i="7"/>
  <c r="AV459" i="7"/>
  <c r="AV460" i="7"/>
  <c r="AV461" i="7"/>
  <c r="AV462" i="7"/>
  <c r="AV463" i="7"/>
  <c r="AV464" i="7"/>
  <c r="AV465" i="7"/>
  <c r="AV466" i="7"/>
  <c r="AV467" i="7"/>
  <c r="AV468" i="7"/>
  <c r="AV469" i="7"/>
  <c r="AV470" i="7"/>
  <c r="AV471" i="7"/>
  <c r="AV472" i="7"/>
  <c r="AV473" i="7"/>
  <c r="AV474" i="7"/>
  <c r="AV475" i="7"/>
  <c r="AV476" i="7"/>
  <c r="AV477" i="7"/>
  <c r="AV478" i="7"/>
  <c r="AV479" i="7"/>
  <c r="AV480" i="7"/>
  <c r="AV481" i="7"/>
  <c r="AV482" i="7"/>
  <c r="AV483" i="7"/>
  <c r="AV484" i="7"/>
  <c r="AV485" i="7"/>
  <c r="AV486" i="7"/>
  <c r="AV487" i="7"/>
  <c r="AV488" i="7"/>
  <c r="AV489" i="7"/>
  <c r="AV490" i="7"/>
  <c r="AV491" i="7"/>
  <c r="AV492" i="7"/>
  <c r="AV493" i="7"/>
  <c r="AV494" i="7"/>
  <c r="AV495" i="7"/>
  <c r="AV496" i="7"/>
  <c r="AV497" i="7"/>
  <c r="AV498" i="7"/>
  <c r="AV499" i="7"/>
  <c r="AV500" i="7"/>
  <c r="AV501" i="7"/>
  <c r="AV502" i="7"/>
  <c r="AV503" i="7"/>
  <c r="AV504" i="7"/>
  <c r="AV505" i="7"/>
  <c r="AV506" i="7"/>
  <c r="AV507" i="7"/>
  <c r="AV508" i="7"/>
  <c r="AV509" i="7"/>
  <c r="AV510" i="7"/>
  <c r="AV511" i="7"/>
  <c r="AV512" i="7"/>
  <c r="AV513" i="7"/>
  <c r="AV514" i="7"/>
  <c r="AV515" i="7"/>
  <c r="AV516" i="7"/>
  <c r="AV517" i="7"/>
  <c r="AV518" i="7"/>
  <c r="AV519" i="7"/>
  <c r="AV520" i="7"/>
  <c r="AV521" i="7"/>
  <c r="AV522" i="7"/>
  <c r="AV523" i="7"/>
  <c r="AV524" i="7"/>
  <c r="AV525" i="7"/>
  <c r="AV526" i="7"/>
  <c r="AV527" i="7"/>
  <c r="AV528" i="7"/>
  <c r="AV529" i="7"/>
  <c r="AV530" i="7"/>
  <c r="AV531" i="7"/>
  <c r="AV532" i="7"/>
  <c r="AV533" i="7"/>
  <c r="AV534" i="7"/>
  <c r="AV535" i="7"/>
  <c r="AV536" i="7"/>
  <c r="AV537" i="7"/>
  <c r="AV538" i="7"/>
  <c r="AV539" i="7"/>
  <c r="AV540" i="7"/>
  <c r="AV541" i="7"/>
  <c r="AV542" i="7"/>
  <c r="AV543" i="7"/>
  <c r="AV544" i="7"/>
  <c r="AV545" i="7"/>
  <c r="AV546" i="7"/>
  <c r="AV547" i="7"/>
  <c r="AV548" i="7"/>
  <c r="AV549" i="7"/>
  <c r="AV550" i="7"/>
  <c r="AV551" i="7"/>
  <c r="AV552" i="7"/>
  <c r="AV553" i="7"/>
  <c r="AU193" i="7"/>
  <c r="AU194" i="7"/>
  <c r="AU195" i="7"/>
  <c r="AU196" i="7"/>
  <c r="AU197" i="7"/>
  <c r="AU198" i="7"/>
  <c r="AU199" i="7"/>
  <c r="AU200" i="7"/>
  <c r="AU201" i="7"/>
  <c r="AU202" i="7"/>
  <c r="AU203" i="7"/>
  <c r="AU204" i="7"/>
  <c r="AU205" i="7"/>
  <c r="AU206" i="7"/>
  <c r="AU207" i="7"/>
  <c r="AU208" i="7"/>
  <c r="AU209" i="7"/>
  <c r="AU210" i="7"/>
  <c r="AU211" i="7"/>
  <c r="AU212" i="7"/>
  <c r="AU213" i="7"/>
  <c r="AU214" i="7"/>
  <c r="AU215" i="7"/>
  <c r="AU216" i="7"/>
  <c r="AU217" i="7"/>
  <c r="AU218" i="7"/>
  <c r="AU219" i="7"/>
  <c r="AU220" i="7"/>
  <c r="AU221" i="7"/>
  <c r="AU222" i="7"/>
  <c r="AU223" i="7"/>
  <c r="AU224" i="7"/>
  <c r="AU225" i="7"/>
  <c r="AU226" i="7"/>
  <c r="AU227" i="7"/>
  <c r="AU228" i="7"/>
  <c r="AU229" i="7"/>
  <c r="AU230" i="7"/>
  <c r="AU231" i="7"/>
  <c r="AU232" i="7"/>
  <c r="AU233" i="7"/>
  <c r="AU234" i="7"/>
  <c r="AU235" i="7"/>
  <c r="AU236" i="7"/>
  <c r="AU237" i="7"/>
  <c r="AU238" i="7"/>
  <c r="AU239" i="7"/>
  <c r="AU240" i="7"/>
  <c r="AU241" i="7"/>
  <c r="AU242" i="7"/>
  <c r="AU243" i="7"/>
  <c r="AU244" i="7"/>
  <c r="AU245" i="7"/>
  <c r="AU246" i="7"/>
  <c r="AU247" i="7"/>
  <c r="AU248" i="7"/>
  <c r="AU249" i="7"/>
  <c r="AU250" i="7"/>
  <c r="AU251" i="7"/>
  <c r="AU252" i="7"/>
  <c r="AU253" i="7"/>
  <c r="AU254" i="7"/>
  <c r="AU255" i="7"/>
  <c r="AU256" i="7"/>
  <c r="AU257" i="7"/>
  <c r="AU258" i="7"/>
  <c r="AU259" i="7"/>
  <c r="AU260" i="7"/>
  <c r="AU261" i="7"/>
  <c r="AU262" i="7"/>
  <c r="AU263" i="7"/>
  <c r="AU264" i="7"/>
  <c r="AU265" i="7"/>
  <c r="AU266" i="7"/>
  <c r="AU267" i="7"/>
  <c r="AU268" i="7"/>
  <c r="AU269" i="7"/>
  <c r="AU270" i="7"/>
  <c r="AU271" i="7"/>
  <c r="AU272" i="7"/>
  <c r="AU273" i="7"/>
  <c r="AU274" i="7"/>
  <c r="AU275" i="7"/>
  <c r="AU276" i="7"/>
  <c r="AU277" i="7"/>
  <c r="AU278" i="7"/>
  <c r="AU279" i="7"/>
  <c r="AU280" i="7"/>
  <c r="AU281" i="7"/>
  <c r="AU282" i="7"/>
  <c r="AU283" i="7"/>
  <c r="AU284" i="7"/>
  <c r="AU285" i="7"/>
  <c r="AU286" i="7"/>
  <c r="AU287" i="7"/>
  <c r="AU288" i="7"/>
  <c r="AU289" i="7"/>
  <c r="AU290" i="7"/>
  <c r="AU291" i="7"/>
  <c r="AU292" i="7"/>
  <c r="AU293" i="7"/>
  <c r="AU294" i="7"/>
  <c r="AU295" i="7"/>
  <c r="AU296" i="7"/>
  <c r="AU297" i="7"/>
  <c r="AU298" i="7"/>
  <c r="AU299" i="7"/>
  <c r="AU300" i="7"/>
  <c r="AU301" i="7"/>
  <c r="AU302" i="7"/>
  <c r="AU303" i="7"/>
  <c r="AU304" i="7"/>
  <c r="AU305" i="7"/>
  <c r="AU306" i="7"/>
  <c r="AU307" i="7"/>
  <c r="AU308" i="7"/>
  <c r="AU309" i="7"/>
  <c r="AU310" i="7"/>
  <c r="AU311" i="7"/>
  <c r="AU312" i="7"/>
  <c r="AU313" i="7"/>
  <c r="AU314" i="7"/>
  <c r="AU315" i="7"/>
  <c r="AU316" i="7"/>
  <c r="AU317" i="7"/>
  <c r="AU318" i="7"/>
  <c r="AU319" i="7"/>
  <c r="AU320" i="7"/>
  <c r="AU321" i="7"/>
  <c r="AU322" i="7"/>
  <c r="AU323" i="7"/>
  <c r="AU324" i="7"/>
  <c r="AU325" i="7"/>
  <c r="AU326" i="7"/>
  <c r="AU327" i="7"/>
  <c r="AU328" i="7"/>
  <c r="AU329" i="7"/>
  <c r="AU330" i="7"/>
  <c r="AU331" i="7"/>
  <c r="AU332" i="7"/>
  <c r="AU333" i="7"/>
  <c r="AU334" i="7"/>
  <c r="AU335" i="7"/>
  <c r="AU336" i="7"/>
  <c r="AU337" i="7"/>
  <c r="AU338" i="7"/>
  <c r="AU339" i="7"/>
  <c r="AU340" i="7"/>
  <c r="AU341" i="7"/>
  <c r="AU342" i="7"/>
  <c r="AU343" i="7"/>
  <c r="AU344" i="7"/>
  <c r="AU345" i="7"/>
  <c r="AU346" i="7"/>
  <c r="AU347" i="7"/>
  <c r="AU348" i="7"/>
  <c r="AU349" i="7"/>
  <c r="AU350" i="7"/>
  <c r="AU351" i="7"/>
  <c r="AU352" i="7"/>
  <c r="AU353" i="7"/>
  <c r="AU354" i="7"/>
  <c r="AU355" i="7"/>
  <c r="AU356" i="7"/>
  <c r="AU357" i="7"/>
  <c r="AU358" i="7"/>
  <c r="AU359" i="7"/>
  <c r="AU360" i="7"/>
  <c r="AU361" i="7"/>
  <c r="AU362" i="7"/>
  <c r="AU363" i="7"/>
  <c r="AU364" i="7"/>
  <c r="AU365" i="7"/>
  <c r="AU366" i="7"/>
  <c r="AU367" i="7"/>
  <c r="AU368" i="7"/>
  <c r="AU369" i="7"/>
  <c r="AU370" i="7"/>
  <c r="AU371" i="7"/>
  <c r="AU372" i="7"/>
  <c r="AU373" i="7"/>
  <c r="AU374" i="7"/>
  <c r="AU375" i="7"/>
  <c r="AU376" i="7"/>
  <c r="AU377" i="7"/>
  <c r="AU378" i="7"/>
  <c r="AU379" i="7"/>
  <c r="AU380" i="7"/>
  <c r="AU381" i="7"/>
  <c r="AU382" i="7"/>
  <c r="AU383" i="7"/>
  <c r="AU384" i="7"/>
  <c r="AU385" i="7"/>
  <c r="AU386" i="7"/>
  <c r="AU387" i="7"/>
  <c r="AU388" i="7"/>
  <c r="AU389" i="7"/>
  <c r="AU390" i="7"/>
  <c r="AU391" i="7"/>
  <c r="AU392" i="7"/>
  <c r="AU393" i="7"/>
  <c r="AU394" i="7"/>
  <c r="AU395" i="7"/>
  <c r="AU396" i="7"/>
  <c r="AU397" i="7"/>
  <c r="AU398" i="7"/>
  <c r="AU399" i="7"/>
  <c r="AU400" i="7"/>
  <c r="AU401" i="7"/>
  <c r="AU402" i="7"/>
  <c r="AU403" i="7"/>
  <c r="AU404" i="7"/>
  <c r="AU405" i="7"/>
  <c r="AU406" i="7"/>
  <c r="AU407" i="7"/>
  <c r="AU408" i="7"/>
  <c r="AU409" i="7"/>
  <c r="AU410" i="7"/>
  <c r="AU411" i="7"/>
  <c r="AU412" i="7"/>
  <c r="AU413" i="7"/>
  <c r="AU414" i="7"/>
  <c r="AU415" i="7"/>
  <c r="AU416" i="7"/>
  <c r="AU417" i="7"/>
  <c r="AU418" i="7"/>
  <c r="AU419" i="7"/>
  <c r="AU420" i="7"/>
  <c r="AU421" i="7"/>
  <c r="AU422" i="7"/>
  <c r="AU423" i="7"/>
  <c r="AU424" i="7"/>
  <c r="AU425" i="7"/>
  <c r="AU426" i="7"/>
  <c r="AU427" i="7"/>
  <c r="AU428" i="7"/>
  <c r="AU429" i="7"/>
  <c r="AU430" i="7"/>
  <c r="AU431" i="7"/>
  <c r="AU432" i="7"/>
  <c r="AU433" i="7"/>
  <c r="AU434" i="7"/>
  <c r="AU435" i="7"/>
  <c r="AU436" i="7"/>
  <c r="AU437" i="7"/>
  <c r="AU438" i="7"/>
  <c r="AU439" i="7"/>
  <c r="AU440" i="7"/>
  <c r="AU441" i="7"/>
  <c r="AU442" i="7"/>
  <c r="AU443" i="7"/>
  <c r="AU444" i="7"/>
  <c r="AU445" i="7"/>
  <c r="AU446" i="7"/>
  <c r="AU447" i="7"/>
  <c r="AU448" i="7"/>
  <c r="AU449" i="7"/>
  <c r="AU450" i="7"/>
  <c r="AU451" i="7"/>
  <c r="AU452" i="7"/>
  <c r="AU453" i="7"/>
  <c r="AU454" i="7"/>
  <c r="AU455" i="7"/>
  <c r="AU456" i="7"/>
  <c r="AU457" i="7"/>
  <c r="AU458" i="7"/>
  <c r="AU459" i="7"/>
  <c r="AU460" i="7"/>
  <c r="AU461" i="7"/>
  <c r="AU462" i="7"/>
  <c r="AU463" i="7"/>
  <c r="AU464" i="7"/>
  <c r="AU465" i="7"/>
  <c r="AU466" i="7"/>
  <c r="AU467" i="7"/>
  <c r="AU468" i="7"/>
  <c r="AU469" i="7"/>
  <c r="AU470" i="7"/>
  <c r="AU471" i="7"/>
  <c r="AU472" i="7"/>
  <c r="AU473" i="7"/>
  <c r="AU474" i="7"/>
  <c r="AU475" i="7"/>
  <c r="AU476" i="7"/>
  <c r="AU477" i="7"/>
  <c r="AU478" i="7"/>
  <c r="AU479" i="7"/>
  <c r="AU480" i="7"/>
  <c r="AU481" i="7"/>
  <c r="AU482" i="7"/>
  <c r="AU483" i="7"/>
  <c r="AU484" i="7"/>
  <c r="AU485" i="7"/>
  <c r="AU486" i="7"/>
  <c r="AU487" i="7"/>
  <c r="AU488" i="7"/>
  <c r="AU489" i="7"/>
  <c r="AU490" i="7"/>
  <c r="AU491" i="7"/>
  <c r="AU492" i="7"/>
  <c r="AU493" i="7"/>
  <c r="AU494" i="7"/>
  <c r="AU495" i="7"/>
  <c r="AU496" i="7"/>
  <c r="AU497" i="7"/>
  <c r="AU498" i="7"/>
  <c r="AU499" i="7"/>
  <c r="AU500" i="7"/>
  <c r="AU501" i="7"/>
  <c r="AU502" i="7"/>
  <c r="AU503" i="7"/>
  <c r="AU504" i="7"/>
  <c r="AU505" i="7"/>
  <c r="AU506" i="7"/>
  <c r="AU507" i="7"/>
  <c r="AU508" i="7"/>
  <c r="AU509" i="7"/>
  <c r="AU510" i="7"/>
  <c r="AU511" i="7"/>
  <c r="AU512" i="7"/>
  <c r="AU513" i="7"/>
  <c r="AU514" i="7"/>
  <c r="AU515" i="7"/>
  <c r="AU516" i="7"/>
  <c r="AU517" i="7"/>
  <c r="AU518" i="7"/>
  <c r="AU519" i="7"/>
  <c r="AU520" i="7"/>
  <c r="AU521" i="7"/>
  <c r="AU522" i="7"/>
  <c r="AU523" i="7"/>
  <c r="AU524" i="7"/>
  <c r="AU525" i="7"/>
  <c r="AU526" i="7"/>
  <c r="AU527" i="7"/>
  <c r="AU528" i="7"/>
  <c r="AU529" i="7"/>
  <c r="AU530" i="7"/>
  <c r="AU531" i="7"/>
  <c r="AU532" i="7"/>
  <c r="AU533" i="7"/>
  <c r="AU534" i="7"/>
  <c r="AU535" i="7"/>
  <c r="AU536" i="7"/>
  <c r="AU537" i="7"/>
  <c r="AU538" i="7"/>
  <c r="AU539" i="7"/>
  <c r="AU540" i="7"/>
  <c r="AU541" i="7"/>
  <c r="AU542" i="7"/>
  <c r="AU543" i="7"/>
  <c r="AU544" i="7"/>
  <c r="AU545" i="7"/>
  <c r="AU546" i="7"/>
  <c r="AU547" i="7"/>
  <c r="AU548" i="7"/>
  <c r="AU549" i="7"/>
  <c r="AU550" i="7"/>
  <c r="AU551" i="7"/>
  <c r="AU552" i="7"/>
  <c r="AU553" i="7"/>
  <c r="AT193" i="7"/>
  <c r="AT194" i="7"/>
  <c r="AT195" i="7"/>
  <c r="AT196" i="7"/>
  <c r="AT197" i="7"/>
  <c r="AT198" i="7"/>
  <c r="AT199" i="7"/>
  <c r="AT200" i="7"/>
  <c r="AT201" i="7"/>
  <c r="AT202" i="7"/>
  <c r="AT203" i="7"/>
  <c r="AT204" i="7"/>
  <c r="AT205" i="7"/>
  <c r="AT206" i="7"/>
  <c r="AT207" i="7"/>
  <c r="AT208" i="7"/>
  <c r="AT209" i="7"/>
  <c r="AT210" i="7"/>
  <c r="AT211" i="7"/>
  <c r="AT212" i="7"/>
  <c r="AT213" i="7"/>
  <c r="AT214" i="7"/>
  <c r="AT215" i="7"/>
  <c r="AT216" i="7"/>
  <c r="AT217" i="7"/>
  <c r="AT218" i="7"/>
  <c r="AT219" i="7"/>
  <c r="AT220" i="7"/>
  <c r="AT221" i="7"/>
  <c r="AT222" i="7"/>
  <c r="AT223" i="7"/>
  <c r="AT224" i="7"/>
  <c r="AT225" i="7"/>
  <c r="AT226" i="7"/>
  <c r="AT227" i="7"/>
  <c r="AT228" i="7"/>
  <c r="AT229" i="7"/>
  <c r="AT230" i="7"/>
  <c r="AT231" i="7"/>
  <c r="AT232" i="7"/>
  <c r="AT233" i="7"/>
  <c r="AT234" i="7"/>
  <c r="AT235" i="7"/>
  <c r="AT236" i="7"/>
  <c r="AT237" i="7"/>
  <c r="AT238" i="7"/>
  <c r="AT239" i="7"/>
  <c r="AT240" i="7"/>
  <c r="AT241" i="7"/>
  <c r="AT242" i="7"/>
  <c r="AT243" i="7"/>
  <c r="AT244" i="7"/>
  <c r="AT245" i="7"/>
  <c r="AT246" i="7"/>
  <c r="AT247" i="7"/>
  <c r="AT248" i="7"/>
  <c r="AT249" i="7"/>
  <c r="AT250" i="7"/>
  <c r="AT251" i="7"/>
  <c r="AT252" i="7"/>
  <c r="AT253" i="7"/>
  <c r="AT254" i="7"/>
  <c r="AT255" i="7"/>
  <c r="AT256" i="7"/>
  <c r="AT257" i="7"/>
  <c r="AT258" i="7"/>
  <c r="AT259" i="7"/>
  <c r="AT260" i="7"/>
  <c r="AT261" i="7"/>
  <c r="AT262" i="7"/>
  <c r="AT263" i="7"/>
  <c r="AT264" i="7"/>
  <c r="AT265" i="7"/>
  <c r="AT266" i="7"/>
  <c r="AT267" i="7"/>
  <c r="AT268" i="7"/>
  <c r="AT269" i="7"/>
  <c r="AT270" i="7"/>
  <c r="AT271" i="7"/>
  <c r="AT272" i="7"/>
  <c r="AT273" i="7"/>
  <c r="AT274" i="7"/>
  <c r="AT275" i="7"/>
  <c r="AT276" i="7"/>
  <c r="AT277" i="7"/>
  <c r="AT278" i="7"/>
  <c r="AT279" i="7"/>
  <c r="AT280" i="7"/>
  <c r="AT281" i="7"/>
  <c r="AT282" i="7"/>
  <c r="AT283" i="7"/>
  <c r="AT284" i="7"/>
  <c r="AT285" i="7"/>
  <c r="AT286" i="7"/>
  <c r="AT287" i="7"/>
  <c r="AT288" i="7"/>
  <c r="AT289" i="7"/>
  <c r="AT290" i="7"/>
  <c r="AT291" i="7"/>
  <c r="AT292" i="7"/>
  <c r="AT293" i="7"/>
  <c r="AT294" i="7"/>
  <c r="AT295" i="7"/>
  <c r="AT296" i="7"/>
  <c r="AT297" i="7"/>
  <c r="AT298" i="7"/>
  <c r="AT299" i="7"/>
  <c r="AT300" i="7"/>
  <c r="AT301" i="7"/>
  <c r="AT302" i="7"/>
  <c r="AT303" i="7"/>
  <c r="AT304" i="7"/>
  <c r="AT305" i="7"/>
  <c r="AT306" i="7"/>
  <c r="AT307" i="7"/>
  <c r="AT308" i="7"/>
  <c r="AT309" i="7"/>
  <c r="AT310" i="7"/>
  <c r="AT311" i="7"/>
  <c r="AT312" i="7"/>
  <c r="AT313" i="7"/>
  <c r="AT314" i="7"/>
  <c r="AT315" i="7"/>
  <c r="AT316" i="7"/>
  <c r="AT317" i="7"/>
  <c r="AT318" i="7"/>
  <c r="AT319" i="7"/>
  <c r="AT320" i="7"/>
  <c r="AT321" i="7"/>
  <c r="AT322" i="7"/>
  <c r="AT323" i="7"/>
  <c r="AT324" i="7"/>
  <c r="AT325" i="7"/>
  <c r="AT326" i="7"/>
  <c r="AT327" i="7"/>
  <c r="AT328" i="7"/>
  <c r="AT329" i="7"/>
  <c r="AT330" i="7"/>
  <c r="AT331" i="7"/>
  <c r="AT332" i="7"/>
  <c r="AT333" i="7"/>
  <c r="AT334" i="7"/>
  <c r="AT335" i="7"/>
  <c r="AT336" i="7"/>
  <c r="AT337" i="7"/>
  <c r="AT338" i="7"/>
  <c r="AT339" i="7"/>
  <c r="AT340" i="7"/>
  <c r="AT341" i="7"/>
  <c r="AT342" i="7"/>
  <c r="AT343" i="7"/>
  <c r="AT344" i="7"/>
  <c r="AT345" i="7"/>
  <c r="AT346" i="7"/>
  <c r="AT347" i="7"/>
  <c r="AT348" i="7"/>
  <c r="AT349" i="7"/>
  <c r="AT350" i="7"/>
  <c r="AT351" i="7"/>
  <c r="AT352" i="7"/>
  <c r="AT353" i="7"/>
  <c r="AT354" i="7"/>
  <c r="AT355" i="7"/>
  <c r="AT356" i="7"/>
  <c r="AT357" i="7"/>
  <c r="AT358" i="7"/>
  <c r="AT359" i="7"/>
  <c r="AT360" i="7"/>
  <c r="AT361" i="7"/>
  <c r="AT362" i="7"/>
  <c r="AT363" i="7"/>
  <c r="AT364" i="7"/>
  <c r="AT365" i="7"/>
  <c r="AT366" i="7"/>
  <c r="AT367" i="7"/>
  <c r="AT368" i="7"/>
  <c r="AT369" i="7"/>
  <c r="AT370" i="7"/>
  <c r="AT371" i="7"/>
  <c r="AT372" i="7"/>
  <c r="AT373" i="7"/>
  <c r="AT374" i="7"/>
  <c r="AT375" i="7"/>
  <c r="AT376" i="7"/>
  <c r="AT377" i="7"/>
  <c r="AT378" i="7"/>
  <c r="AT379" i="7"/>
  <c r="AT380" i="7"/>
  <c r="AT381" i="7"/>
  <c r="AT382" i="7"/>
  <c r="AT383" i="7"/>
  <c r="AT384" i="7"/>
  <c r="AT385" i="7"/>
  <c r="AT386" i="7"/>
  <c r="AT387" i="7"/>
  <c r="AT388" i="7"/>
  <c r="AT389" i="7"/>
  <c r="AT390" i="7"/>
  <c r="AT391" i="7"/>
  <c r="AT392" i="7"/>
  <c r="AT393" i="7"/>
  <c r="AT394" i="7"/>
  <c r="AT395" i="7"/>
  <c r="AT396" i="7"/>
  <c r="AT397" i="7"/>
  <c r="AT398" i="7"/>
  <c r="AT399" i="7"/>
  <c r="AT400" i="7"/>
  <c r="AT401" i="7"/>
  <c r="AT402" i="7"/>
  <c r="AT403" i="7"/>
  <c r="AT404" i="7"/>
  <c r="AT405" i="7"/>
  <c r="AT406" i="7"/>
  <c r="AT407" i="7"/>
  <c r="AT408" i="7"/>
  <c r="AT409" i="7"/>
  <c r="AT410" i="7"/>
  <c r="AT411" i="7"/>
  <c r="AT412" i="7"/>
  <c r="AT413" i="7"/>
  <c r="AT414" i="7"/>
  <c r="AT415" i="7"/>
  <c r="AT416" i="7"/>
  <c r="AT417" i="7"/>
  <c r="AT418" i="7"/>
  <c r="AT419" i="7"/>
  <c r="AT420" i="7"/>
  <c r="AT421" i="7"/>
  <c r="AT422" i="7"/>
  <c r="AT423" i="7"/>
  <c r="AT424" i="7"/>
  <c r="AT425" i="7"/>
  <c r="AT426" i="7"/>
  <c r="AT427" i="7"/>
  <c r="AT428" i="7"/>
  <c r="AT429" i="7"/>
  <c r="AT430" i="7"/>
  <c r="AT431" i="7"/>
  <c r="AT432" i="7"/>
  <c r="AT433" i="7"/>
  <c r="AT434" i="7"/>
  <c r="AT435" i="7"/>
  <c r="AT436" i="7"/>
  <c r="AT437" i="7"/>
  <c r="AT438" i="7"/>
  <c r="AT439" i="7"/>
  <c r="AT440" i="7"/>
  <c r="AT441" i="7"/>
  <c r="AT442" i="7"/>
  <c r="AT443" i="7"/>
  <c r="AT444" i="7"/>
  <c r="AT445" i="7"/>
  <c r="AT446" i="7"/>
  <c r="AT447" i="7"/>
  <c r="AT448" i="7"/>
  <c r="AT449" i="7"/>
  <c r="AT450" i="7"/>
  <c r="AT451" i="7"/>
  <c r="AT452" i="7"/>
  <c r="AT453" i="7"/>
  <c r="AT454" i="7"/>
  <c r="AT455" i="7"/>
  <c r="AT456" i="7"/>
  <c r="AT457" i="7"/>
  <c r="AT458" i="7"/>
  <c r="AT459" i="7"/>
  <c r="AT460" i="7"/>
  <c r="AT461" i="7"/>
  <c r="AT462" i="7"/>
  <c r="AT463" i="7"/>
  <c r="AT464" i="7"/>
  <c r="AT465" i="7"/>
  <c r="AT466" i="7"/>
  <c r="AT467" i="7"/>
  <c r="AT468" i="7"/>
  <c r="AT469" i="7"/>
  <c r="AT470" i="7"/>
  <c r="AT471" i="7"/>
  <c r="AT472" i="7"/>
  <c r="AT473" i="7"/>
  <c r="AT474" i="7"/>
  <c r="AT475" i="7"/>
  <c r="AT476" i="7"/>
  <c r="AT477" i="7"/>
  <c r="AT478" i="7"/>
  <c r="AT479" i="7"/>
  <c r="AT480" i="7"/>
  <c r="AT481" i="7"/>
  <c r="AT482" i="7"/>
  <c r="AT483" i="7"/>
  <c r="AT484" i="7"/>
  <c r="AT485" i="7"/>
  <c r="AT486" i="7"/>
  <c r="AT487" i="7"/>
  <c r="AT488" i="7"/>
  <c r="AT489" i="7"/>
  <c r="AT490" i="7"/>
  <c r="AT491" i="7"/>
  <c r="AT492" i="7"/>
  <c r="AT493" i="7"/>
  <c r="AT494" i="7"/>
  <c r="AT495" i="7"/>
  <c r="AT496" i="7"/>
  <c r="AT497" i="7"/>
  <c r="AT498" i="7"/>
  <c r="AT499" i="7"/>
  <c r="AT500" i="7"/>
  <c r="AT501" i="7"/>
  <c r="AT502" i="7"/>
  <c r="AT503" i="7"/>
  <c r="AT504" i="7"/>
  <c r="AT505" i="7"/>
  <c r="AT506" i="7"/>
  <c r="AT507" i="7"/>
  <c r="AT508" i="7"/>
  <c r="AT509" i="7"/>
  <c r="AT510" i="7"/>
  <c r="AT511" i="7"/>
  <c r="AT512" i="7"/>
  <c r="AT513" i="7"/>
  <c r="AT514" i="7"/>
  <c r="AT515" i="7"/>
  <c r="AT516" i="7"/>
  <c r="AT517" i="7"/>
  <c r="AT518" i="7"/>
  <c r="AT519" i="7"/>
  <c r="AT520" i="7"/>
  <c r="AT521" i="7"/>
  <c r="AT522" i="7"/>
  <c r="AT523" i="7"/>
  <c r="AT524" i="7"/>
  <c r="AT525" i="7"/>
  <c r="AT526" i="7"/>
  <c r="AT527" i="7"/>
  <c r="AT528" i="7"/>
  <c r="AT529" i="7"/>
  <c r="AT530" i="7"/>
  <c r="AT531" i="7"/>
  <c r="AT532" i="7"/>
  <c r="AT533" i="7"/>
  <c r="AT534" i="7"/>
  <c r="AT535" i="7"/>
  <c r="AT536" i="7"/>
  <c r="AT537" i="7"/>
  <c r="AT538" i="7"/>
  <c r="AT539" i="7"/>
  <c r="AT540" i="7"/>
  <c r="AT541" i="7"/>
  <c r="AT542" i="7"/>
  <c r="AT543" i="7"/>
  <c r="AT544" i="7"/>
  <c r="AT545" i="7"/>
  <c r="AT546" i="7"/>
  <c r="AT547" i="7"/>
  <c r="AT548" i="7"/>
  <c r="AT549" i="7"/>
  <c r="AT550" i="7"/>
  <c r="AT551" i="7"/>
  <c r="AT552" i="7"/>
  <c r="AT553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E193" i="7"/>
  <c r="E197" i="7"/>
  <c r="E201" i="7"/>
  <c r="E205" i="7"/>
  <c r="E209" i="7"/>
  <c r="E213" i="7"/>
  <c r="E217" i="7"/>
  <c r="E221" i="7"/>
  <c r="E225" i="7"/>
  <c r="E229" i="7"/>
  <c r="E233" i="7"/>
  <c r="E237" i="7"/>
  <c r="E241" i="7"/>
  <c r="E245" i="7"/>
  <c r="E249" i="7"/>
  <c r="E253" i="7"/>
  <c r="E257" i="7"/>
  <c r="E261" i="7"/>
  <c r="E265" i="7"/>
  <c r="E269" i="7"/>
  <c r="E273" i="7"/>
  <c r="E277" i="7"/>
  <c r="E281" i="7"/>
  <c r="E285" i="7"/>
  <c r="E289" i="7"/>
  <c r="E293" i="7"/>
  <c r="E297" i="7"/>
  <c r="E301" i="7"/>
  <c r="E305" i="7"/>
  <c r="E309" i="7"/>
  <c r="E313" i="7"/>
  <c r="E317" i="7"/>
  <c r="E321" i="7"/>
  <c r="E325" i="7"/>
  <c r="E329" i="7"/>
  <c r="E333" i="7"/>
  <c r="E337" i="7"/>
  <c r="E341" i="7"/>
  <c r="E345" i="7"/>
  <c r="E349" i="7"/>
  <c r="E353" i="7"/>
  <c r="E357" i="7"/>
  <c r="E361" i="7"/>
  <c r="E365" i="7"/>
  <c r="E369" i="7"/>
  <c r="E373" i="7"/>
  <c r="E377" i="7"/>
  <c r="E381" i="7"/>
  <c r="E385" i="7"/>
  <c r="E389" i="7"/>
  <c r="E393" i="7"/>
  <c r="E397" i="7"/>
  <c r="E401" i="7"/>
  <c r="E405" i="7"/>
  <c r="E409" i="7"/>
  <c r="E413" i="7"/>
  <c r="E417" i="7"/>
  <c r="E421" i="7"/>
  <c r="E425" i="7"/>
  <c r="E429" i="7"/>
  <c r="E433" i="7"/>
  <c r="E437" i="7"/>
  <c r="E441" i="7"/>
  <c r="E445" i="7"/>
  <c r="E449" i="7"/>
  <c r="E453" i="7"/>
  <c r="E457" i="7"/>
  <c r="E461" i="7"/>
  <c r="E465" i="7"/>
  <c r="E469" i="7"/>
  <c r="E473" i="7"/>
  <c r="E477" i="7"/>
  <c r="E481" i="7"/>
  <c r="E485" i="7"/>
  <c r="E489" i="7"/>
  <c r="E493" i="7"/>
  <c r="E497" i="7"/>
  <c r="E501" i="7"/>
  <c r="E505" i="7"/>
  <c r="E509" i="7"/>
  <c r="E513" i="7"/>
  <c r="E517" i="7"/>
  <c r="E521" i="7"/>
  <c r="E525" i="7"/>
  <c r="E529" i="7"/>
  <c r="E533" i="7"/>
  <c r="E537" i="7"/>
  <c r="E541" i="7"/>
  <c r="E545" i="7"/>
  <c r="E549" i="7"/>
  <c r="E553" i="7"/>
  <c r="E200" i="7"/>
  <c r="E256" i="7"/>
  <c r="E268" i="7"/>
  <c r="E280" i="7"/>
  <c r="E292" i="7"/>
  <c r="E304" i="7"/>
  <c r="E316" i="7"/>
  <c r="E328" i="7"/>
  <c r="E348" i="7"/>
  <c r="E360" i="7"/>
  <c r="E372" i="7"/>
  <c r="E384" i="7"/>
  <c r="E396" i="7"/>
  <c r="E404" i="7"/>
  <c r="E416" i="7"/>
  <c r="E432" i="7"/>
  <c r="E444" i="7"/>
  <c r="E456" i="7"/>
  <c r="E468" i="7"/>
  <c r="E480" i="7"/>
  <c r="E492" i="7"/>
  <c r="E504" i="7"/>
  <c r="E516" i="7"/>
  <c r="E528" i="7"/>
  <c r="E540" i="7"/>
  <c r="E552" i="7"/>
  <c r="E194" i="7"/>
  <c r="E198" i="7"/>
  <c r="E202" i="7"/>
  <c r="E206" i="7"/>
  <c r="E210" i="7"/>
  <c r="E214" i="7"/>
  <c r="E218" i="7"/>
  <c r="E222" i="7"/>
  <c r="E226" i="7"/>
  <c r="E230" i="7"/>
  <c r="E234" i="7"/>
  <c r="E238" i="7"/>
  <c r="E242" i="7"/>
  <c r="E246" i="7"/>
  <c r="E250" i="7"/>
  <c r="E254" i="7"/>
  <c r="E258" i="7"/>
  <c r="E262" i="7"/>
  <c r="E266" i="7"/>
  <c r="E270" i="7"/>
  <c r="E274" i="7"/>
  <c r="E278" i="7"/>
  <c r="E282" i="7"/>
  <c r="E286" i="7"/>
  <c r="E290" i="7"/>
  <c r="E294" i="7"/>
  <c r="E298" i="7"/>
  <c r="E302" i="7"/>
  <c r="E306" i="7"/>
  <c r="E310" i="7"/>
  <c r="E314" i="7"/>
  <c r="E318" i="7"/>
  <c r="E322" i="7"/>
  <c r="E326" i="7"/>
  <c r="E330" i="7"/>
  <c r="E334" i="7"/>
  <c r="E338" i="7"/>
  <c r="E342" i="7"/>
  <c r="E346" i="7"/>
  <c r="E350" i="7"/>
  <c r="E354" i="7"/>
  <c r="E358" i="7"/>
  <c r="E362" i="7"/>
  <c r="E366" i="7"/>
  <c r="E370" i="7"/>
  <c r="E374" i="7"/>
  <c r="E378" i="7"/>
  <c r="E382" i="7"/>
  <c r="E386" i="7"/>
  <c r="E390" i="7"/>
  <c r="E394" i="7"/>
  <c r="E398" i="7"/>
  <c r="E402" i="7"/>
  <c r="E406" i="7"/>
  <c r="E410" i="7"/>
  <c r="E414" i="7"/>
  <c r="E418" i="7"/>
  <c r="E422" i="7"/>
  <c r="E426" i="7"/>
  <c r="E430" i="7"/>
  <c r="E434" i="7"/>
  <c r="E438" i="7"/>
  <c r="E442" i="7"/>
  <c r="E446" i="7"/>
  <c r="E450" i="7"/>
  <c r="E454" i="7"/>
  <c r="E458" i="7"/>
  <c r="E462" i="7"/>
  <c r="E466" i="7"/>
  <c r="E470" i="7"/>
  <c r="E474" i="7"/>
  <c r="E478" i="7"/>
  <c r="E482" i="7"/>
  <c r="E486" i="7"/>
  <c r="E490" i="7"/>
  <c r="E494" i="7"/>
  <c r="E498" i="7"/>
  <c r="E502" i="7"/>
  <c r="E506" i="7"/>
  <c r="E510" i="7"/>
  <c r="E514" i="7"/>
  <c r="E518" i="7"/>
  <c r="E522" i="7"/>
  <c r="E526" i="7"/>
  <c r="E530" i="7"/>
  <c r="E534" i="7"/>
  <c r="E538" i="7"/>
  <c r="E542" i="7"/>
  <c r="E546" i="7"/>
  <c r="E550" i="7"/>
  <c r="E204" i="7"/>
  <c r="E208" i="7"/>
  <c r="E216" i="7"/>
  <c r="E224" i="7"/>
  <c r="E232" i="7"/>
  <c r="E244" i="7"/>
  <c r="E252" i="7"/>
  <c r="E260" i="7"/>
  <c r="E272" i="7"/>
  <c r="E288" i="7"/>
  <c r="E300" i="7"/>
  <c r="E312" i="7"/>
  <c r="E320" i="7"/>
  <c r="E332" i="7"/>
  <c r="E340" i="7"/>
  <c r="E352" i="7"/>
  <c r="E364" i="7"/>
  <c r="E380" i="7"/>
  <c r="E392" i="7"/>
  <c r="E408" i="7"/>
  <c r="E420" i="7"/>
  <c r="E428" i="7"/>
  <c r="E440" i="7"/>
  <c r="E452" i="7"/>
  <c r="E464" i="7"/>
  <c r="E472" i="7"/>
  <c r="E484" i="7"/>
  <c r="E500" i="7"/>
  <c r="E512" i="7"/>
  <c r="E524" i="7"/>
  <c r="E532" i="7"/>
  <c r="E544" i="7"/>
  <c r="E195" i="7"/>
  <c r="E199" i="7"/>
  <c r="E203" i="7"/>
  <c r="E207" i="7"/>
  <c r="E211" i="7"/>
  <c r="E215" i="7"/>
  <c r="E219" i="7"/>
  <c r="E223" i="7"/>
  <c r="E227" i="7"/>
  <c r="E231" i="7"/>
  <c r="E235" i="7"/>
  <c r="E239" i="7"/>
  <c r="E243" i="7"/>
  <c r="E247" i="7"/>
  <c r="E251" i="7"/>
  <c r="E255" i="7"/>
  <c r="E259" i="7"/>
  <c r="E263" i="7"/>
  <c r="E267" i="7"/>
  <c r="E271" i="7"/>
  <c r="E275" i="7"/>
  <c r="E279" i="7"/>
  <c r="E283" i="7"/>
  <c r="E287" i="7"/>
  <c r="E291" i="7"/>
  <c r="E295" i="7"/>
  <c r="E299" i="7"/>
  <c r="E303" i="7"/>
  <c r="E307" i="7"/>
  <c r="E311" i="7"/>
  <c r="E315" i="7"/>
  <c r="E319" i="7"/>
  <c r="E323" i="7"/>
  <c r="E327" i="7"/>
  <c r="E331" i="7"/>
  <c r="E335" i="7"/>
  <c r="E339" i="7"/>
  <c r="E343" i="7"/>
  <c r="E347" i="7"/>
  <c r="E351" i="7"/>
  <c r="E355" i="7"/>
  <c r="E359" i="7"/>
  <c r="E363" i="7"/>
  <c r="E367" i="7"/>
  <c r="E371" i="7"/>
  <c r="E375" i="7"/>
  <c r="E379" i="7"/>
  <c r="E383" i="7"/>
  <c r="E387" i="7"/>
  <c r="E391" i="7"/>
  <c r="E395" i="7"/>
  <c r="E399" i="7"/>
  <c r="E403" i="7"/>
  <c r="E407" i="7"/>
  <c r="E411" i="7"/>
  <c r="E415" i="7"/>
  <c r="E419" i="7"/>
  <c r="E423" i="7"/>
  <c r="E427" i="7"/>
  <c r="E431" i="7"/>
  <c r="E435" i="7"/>
  <c r="E439" i="7"/>
  <c r="E443" i="7"/>
  <c r="E447" i="7"/>
  <c r="E451" i="7"/>
  <c r="E455" i="7"/>
  <c r="E459" i="7"/>
  <c r="E463" i="7"/>
  <c r="E467" i="7"/>
  <c r="E471" i="7"/>
  <c r="E475" i="7"/>
  <c r="E479" i="7"/>
  <c r="E483" i="7"/>
  <c r="E487" i="7"/>
  <c r="E491" i="7"/>
  <c r="E495" i="7"/>
  <c r="E499" i="7"/>
  <c r="E503" i="7"/>
  <c r="E507" i="7"/>
  <c r="E511" i="7"/>
  <c r="E515" i="7"/>
  <c r="E519" i="7"/>
  <c r="E523" i="7"/>
  <c r="E527" i="7"/>
  <c r="E531" i="7"/>
  <c r="E535" i="7"/>
  <c r="E539" i="7"/>
  <c r="E543" i="7"/>
  <c r="E547" i="7"/>
  <c r="E551" i="7"/>
  <c r="E196" i="7"/>
  <c r="E212" i="7"/>
  <c r="E220" i="7"/>
  <c r="E228" i="7"/>
  <c r="E236" i="7"/>
  <c r="E240" i="7"/>
  <c r="E248" i="7"/>
  <c r="E264" i="7"/>
  <c r="E276" i="7"/>
  <c r="E284" i="7"/>
  <c r="E296" i="7"/>
  <c r="E308" i="7"/>
  <c r="E324" i="7"/>
  <c r="E336" i="7"/>
  <c r="E344" i="7"/>
  <c r="E356" i="7"/>
  <c r="E368" i="7"/>
  <c r="E376" i="7"/>
  <c r="E388" i="7"/>
  <c r="E400" i="7"/>
  <c r="E412" i="7"/>
  <c r="E424" i="7"/>
  <c r="E436" i="7"/>
  <c r="E448" i="7"/>
  <c r="E460" i="7"/>
  <c r="E476" i="7"/>
  <c r="E488" i="7"/>
  <c r="E496" i="7"/>
  <c r="E508" i="7"/>
  <c r="E520" i="7"/>
  <c r="E536" i="7"/>
  <c r="E548" i="7"/>
  <c r="AV7" i="7" l="1"/>
  <c r="AV8" i="7"/>
  <c r="AV9" i="7"/>
  <c r="AV10" i="7"/>
  <c r="AV11" i="7"/>
  <c r="AV12" i="7"/>
  <c r="AV13" i="7"/>
  <c r="AV14" i="7"/>
  <c r="AV15" i="7"/>
  <c r="AV16" i="7"/>
  <c r="AV17" i="7"/>
  <c r="AV18" i="7"/>
  <c r="AV19" i="7"/>
  <c r="AV20" i="7"/>
  <c r="AV21" i="7"/>
  <c r="AV22" i="7"/>
  <c r="AV23" i="7"/>
  <c r="AV24" i="7"/>
  <c r="AV25" i="7"/>
  <c r="AV26" i="7"/>
  <c r="AV27" i="7"/>
  <c r="AV28" i="7"/>
  <c r="AV29" i="7"/>
  <c r="AV30" i="7"/>
  <c r="AV31" i="7"/>
  <c r="AV32" i="7"/>
  <c r="AV33" i="7"/>
  <c r="AV34" i="7"/>
  <c r="AV35" i="7"/>
  <c r="AV36" i="7"/>
  <c r="AV37" i="7"/>
  <c r="AV38" i="7"/>
  <c r="AV39" i="7"/>
  <c r="AV40" i="7"/>
  <c r="AV41" i="7"/>
  <c r="AV42" i="7"/>
  <c r="AV43" i="7"/>
  <c r="AV44" i="7"/>
  <c r="AV45" i="7"/>
  <c r="AV46" i="7"/>
  <c r="AV47" i="7"/>
  <c r="AV48" i="7"/>
  <c r="AV49" i="7"/>
  <c r="AV50" i="7"/>
  <c r="AV51" i="7"/>
  <c r="AV52" i="7"/>
  <c r="AV53" i="7"/>
  <c r="AV54" i="7"/>
  <c r="AV55" i="7"/>
  <c r="AV56" i="7"/>
  <c r="AV57" i="7"/>
  <c r="AV58" i="7"/>
  <c r="AV59" i="7"/>
  <c r="AV60" i="7"/>
  <c r="AV61" i="7"/>
  <c r="AV62" i="7"/>
  <c r="AV63" i="7"/>
  <c r="AV64" i="7"/>
  <c r="AV65" i="7"/>
  <c r="AV66" i="7"/>
  <c r="AV67" i="7"/>
  <c r="AV68" i="7"/>
  <c r="AV69" i="7"/>
  <c r="AV70" i="7"/>
  <c r="AV71" i="7"/>
  <c r="AV72" i="7"/>
  <c r="AV73" i="7"/>
  <c r="AV74" i="7"/>
  <c r="AV75" i="7"/>
  <c r="AV76" i="7"/>
  <c r="AV77" i="7"/>
  <c r="AV78" i="7"/>
  <c r="AV79" i="7"/>
  <c r="AV80" i="7"/>
  <c r="AV81" i="7"/>
  <c r="AV82" i="7"/>
  <c r="AV83" i="7"/>
  <c r="AV84" i="7"/>
  <c r="AV85" i="7"/>
  <c r="AV86" i="7"/>
  <c r="AV87" i="7"/>
  <c r="AV88" i="7"/>
  <c r="AV89" i="7"/>
  <c r="AV90" i="7"/>
  <c r="AV91" i="7"/>
  <c r="AV92" i="7"/>
  <c r="AV93" i="7"/>
  <c r="AV94" i="7"/>
  <c r="AV95" i="7"/>
  <c r="AV96" i="7"/>
  <c r="AV97" i="7"/>
  <c r="AV98" i="7"/>
  <c r="AV99" i="7"/>
  <c r="AV100" i="7"/>
  <c r="AV101" i="7"/>
  <c r="AV102" i="7"/>
  <c r="AV103" i="7"/>
  <c r="AV104" i="7"/>
  <c r="AV105" i="7"/>
  <c r="AV106" i="7"/>
  <c r="AV107" i="7"/>
  <c r="AV108" i="7"/>
  <c r="AV109" i="7"/>
  <c r="AV110" i="7"/>
  <c r="AV111" i="7"/>
  <c r="AV112" i="7"/>
  <c r="AV113" i="7"/>
  <c r="AV114" i="7"/>
  <c r="AV115" i="7"/>
  <c r="AV116" i="7"/>
  <c r="AV117" i="7"/>
  <c r="AV118" i="7"/>
  <c r="AV119" i="7"/>
  <c r="AV120" i="7"/>
  <c r="AV121" i="7"/>
  <c r="AV122" i="7"/>
  <c r="AV123" i="7"/>
  <c r="AV124" i="7"/>
  <c r="AV125" i="7"/>
  <c r="AV126" i="7"/>
  <c r="AV127" i="7"/>
  <c r="AV128" i="7"/>
  <c r="AV129" i="7"/>
  <c r="AV130" i="7"/>
  <c r="AV131" i="7"/>
  <c r="AV132" i="7"/>
  <c r="AV133" i="7"/>
  <c r="AV134" i="7"/>
  <c r="AV135" i="7"/>
  <c r="AV136" i="7"/>
  <c r="AV137" i="7"/>
  <c r="AV138" i="7"/>
  <c r="AV139" i="7"/>
  <c r="AV140" i="7"/>
  <c r="AV141" i="7"/>
  <c r="AV142" i="7"/>
  <c r="AV143" i="7"/>
  <c r="AV144" i="7"/>
  <c r="AV145" i="7"/>
  <c r="AV146" i="7"/>
  <c r="AV147" i="7"/>
  <c r="AV148" i="7"/>
  <c r="AV149" i="7"/>
  <c r="AV150" i="7"/>
  <c r="AV151" i="7"/>
  <c r="AV152" i="7"/>
  <c r="AV153" i="7"/>
  <c r="AV154" i="7"/>
  <c r="AV155" i="7"/>
  <c r="AV156" i="7"/>
  <c r="AV157" i="7"/>
  <c r="AV158" i="7"/>
  <c r="AV159" i="7"/>
  <c r="AV160" i="7"/>
  <c r="AV161" i="7"/>
  <c r="AV162" i="7"/>
  <c r="AV163" i="7"/>
  <c r="AV164" i="7"/>
  <c r="AV165" i="7"/>
  <c r="AV166" i="7"/>
  <c r="AV167" i="7"/>
  <c r="AV168" i="7"/>
  <c r="AV169" i="7"/>
  <c r="AV170" i="7"/>
  <c r="AV171" i="7"/>
  <c r="AV172" i="7"/>
  <c r="AV173" i="7"/>
  <c r="AV174" i="7"/>
  <c r="AV175" i="7"/>
  <c r="AV176" i="7"/>
  <c r="AV177" i="7"/>
  <c r="AV178" i="7"/>
  <c r="AV179" i="7"/>
  <c r="AV180" i="7"/>
  <c r="AV181" i="7"/>
  <c r="AV182" i="7"/>
  <c r="AV183" i="7"/>
  <c r="AV184" i="7"/>
  <c r="AV185" i="7"/>
  <c r="AV186" i="7"/>
  <c r="AV187" i="7"/>
  <c r="AV188" i="7"/>
  <c r="AV189" i="7"/>
  <c r="AV190" i="7"/>
  <c r="AV191" i="7"/>
  <c r="AV192" i="7"/>
  <c r="AV6" i="7"/>
  <c r="AU7" i="7"/>
  <c r="AU8" i="7"/>
  <c r="AU9" i="7"/>
  <c r="AU10" i="7"/>
  <c r="AU11" i="7"/>
  <c r="AU12" i="7"/>
  <c r="AU13" i="7"/>
  <c r="AU14" i="7"/>
  <c r="AU15" i="7"/>
  <c r="AU16" i="7"/>
  <c r="AU17" i="7"/>
  <c r="AU18" i="7"/>
  <c r="AU19" i="7"/>
  <c r="AU20" i="7"/>
  <c r="AU21" i="7"/>
  <c r="AU22" i="7"/>
  <c r="AU23" i="7"/>
  <c r="AU24" i="7"/>
  <c r="AU25" i="7"/>
  <c r="AU26" i="7"/>
  <c r="AU27" i="7"/>
  <c r="AU28" i="7"/>
  <c r="AU29" i="7"/>
  <c r="AU30" i="7"/>
  <c r="AU31" i="7"/>
  <c r="AU32" i="7"/>
  <c r="AU33" i="7"/>
  <c r="AU34" i="7"/>
  <c r="AU35" i="7"/>
  <c r="AU36" i="7"/>
  <c r="AU37" i="7"/>
  <c r="AU38" i="7"/>
  <c r="AU39" i="7"/>
  <c r="AU40" i="7"/>
  <c r="AU41" i="7"/>
  <c r="AU42" i="7"/>
  <c r="AU43" i="7"/>
  <c r="AU44" i="7"/>
  <c r="AU45" i="7"/>
  <c r="AU46" i="7"/>
  <c r="AU47" i="7"/>
  <c r="AU48" i="7"/>
  <c r="AU49" i="7"/>
  <c r="AU50" i="7"/>
  <c r="AU51" i="7"/>
  <c r="AU52" i="7"/>
  <c r="AU53" i="7"/>
  <c r="AU54" i="7"/>
  <c r="AU55" i="7"/>
  <c r="AU56" i="7"/>
  <c r="AU57" i="7"/>
  <c r="AU58" i="7"/>
  <c r="AU59" i="7"/>
  <c r="AU60" i="7"/>
  <c r="AU61" i="7"/>
  <c r="AU62" i="7"/>
  <c r="AU63" i="7"/>
  <c r="AU64" i="7"/>
  <c r="AU65" i="7"/>
  <c r="AU66" i="7"/>
  <c r="AU67" i="7"/>
  <c r="AU68" i="7"/>
  <c r="AU69" i="7"/>
  <c r="AU70" i="7"/>
  <c r="AU71" i="7"/>
  <c r="AU72" i="7"/>
  <c r="AU73" i="7"/>
  <c r="AU74" i="7"/>
  <c r="AU75" i="7"/>
  <c r="AU76" i="7"/>
  <c r="AU77" i="7"/>
  <c r="AU78" i="7"/>
  <c r="AU79" i="7"/>
  <c r="AU80" i="7"/>
  <c r="AU81" i="7"/>
  <c r="AU82" i="7"/>
  <c r="AU83" i="7"/>
  <c r="AU84" i="7"/>
  <c r="AU85" i="7"/>
  <c r="AU86" i="7"/>
  <c r="AU87" i="7"/>
  <c r="AU88" i="7"/>
  <c r="AU89" i="7"/>
  <c r="AU90" i="7"/>
  <c r="AU91" i="7"/>
  <c r="AU92" i="7"/>
  <c r="AU93" i="7"/>
  <c r="AU94" i="7"/>
  <c r="AU95" i="7"/>
  <c r="AU96" i="7"/>
  <c r="AU97" i="7"/>
  <c r="AU98" i="7"/>
  <c r="AU99" i="7"/>
  <c r="AU100" i="7"/>
  <c r="AU101" i="7"/>
  <c r="AU102" i="7"/>
  <c r="AU103" i="7"/>
  <c r="AU104" i="7"/>
  <c r="AU105" i="7"/>
  <c r="AU106" i="7"/>
  <c r="AU107" i="7"/>
  <c r="AU108" i="7"/>
  <c r="AU109" i="7"/>
  <c r="AU110" i="7"/>
  <c r="AU111" i="7"/>
  <c r="AU112" i="7"/>
  <c r="AU113" i="7"/>
  <c r="AU114" i="7"/>
  <c r="AU115" i="7"/>
  <c r="AU116" i="7"/>
  <c r="AU117" i="7"/>
  <c r="AU118" i="7"/>
  <c r="AU119" i="7"/>
  <c r="AU120" i="7"/>
  <c r="AU121" i="7"/>
  <c r="AU122" i="7"/>
  <c r="AU123" i="7"/>
  <c r="AU124" i="7"/>
  <c r="AU125" i="7"/>
  <c r="AU126" i="7"/>
  <c r="AU127" i="7"/>
  <c r="AU128" i="7"/>
  <c r="AU129" i="7"/>
  <c r="AU130" i="7"/>
  <c r="AU131" i="7"/>
  <c r="AU132" i="7"/>
  <c r="AU133" i="7"/>
  <c r="AU134" i="7"/>
  <c r="AU135" i="7"/>
  <c r="AU136" i="7"/>
  <c r="AU137" i="7"/>
  <c r="AU138" i="7"/>
  <c r="AU139" i="7"/>
  <c r="AU140" i="7"/>
  <c r="AU141" i="7"/>
  <c r="AU142" i="7"/>
  <c r="AU143" i="7"/>
  <c r="AU144" i="7"/>
  <c r="AU145" i="7"/>
  <c r="AU146" i="7"/>
  <c r="AU147" i="7"/>
  <c r="AU148" i="7"/>
  <c r="AU149" i="7"/>
  <c r="AU150" i="7"/>
  <c r="AU151" i="7"/>
  <c r="AU152" i="7"/>
  <c r="AU153" i="7"/>
  <c r="AU154" i="7"/>
  <c r="AU155" i="7"/>
  <c r="AU156" i="7"/>
  <c r="AU157" i="7"/>
  <c r="AU158" i="7"/>
  <c r="AU159" i="7"/>
  <c r="AU160" i="7"/>
  <c r="AU161" i="7"/>
  <c r="AU162" i="7"/>
  <c r="AU163" i="7"/>
  <c r="AU164" i="7"/>
  <c r="AU165" i="7"/>
  <c r="AU166" i="7"/>
  <c r="AU167" i="7"/>
  <c r="AU168" i="7"/>
  <c r="AU169" i="7"/>
  <c r="AU170" i="7"/>
  <c r="AU171" i="7"/>
  <c r="AU172" i="7"/>
  <c r="AU173" i="7"/>
  <c r="AU174" i="7"/>
  <c r="AU175" i="7"/>
  <c r="AU176" i="7"/>
  <c r="AU177" i="7"/>
  <c r="AU178" i="7"/>
  <c r="AU179" i="7"/>
  <c r="AU180" i="7"/>
  <c r="AU181" i="7"/>
  <c r="AU182" i="7"/>
  <c r="AU183" i="7"/>
  <c r="AU184" i="7"/>
  <c r="AU185" i="7"/>
  <c r="AU186" i="7"/>
  <c r="AU187" i="7"/>
  <c r="AU188" i="7"/>
  <c r="AU189" i="7"/>
  <c r="AU190" i="7"/>
  <c r="AU191" i="7"/>
  <c r="AU192" i="7"/>
  <c r="AU6" i="7"/>
  <c r="AT7" i="7"/>
  <c r="AT8" i="7"/>
  <c r="AT9" i="7"/>
  <c r="AT10" i="7"/>
  <c r="AT11" i="7"/>
  <c r="AT12" i="7"/>
  <c r="AT13" i="7"/>
  <c r="AT14" i="7"/>
  <c r="AT15" i="7"/>
  <c r="AT16" i="7"/>
  <c r="AT17" i="7"/>
  <c r="AT18" i="7"/>
  <c r="AT19" i="7"/>
  <c r="AT20" i="7"/>
  <c r="AT21" i="7"/>
  <c r="AT22" i="7"/>
  <c r="AT23" i="7"/>
  <c r="AT24" i="7"/>
  <c r="AT25" i="7"/>
  <c r="AT26" i="7"/>
  <c r="AT27" i="7"/>
  <c r="AT28" i="7"/>
  <c r="AT29" i="7"/>
  <c r="AT30" i="7"/>
  <c r="AT31" i="7"/>
  <c r="AT32" i="7"/>
  <c r="AT33" i="7"/>
  <c r="AT34" i="7"/>
  <c r="AT35" i="7"/>
  <c r="AT36" i="7"/>
  <c r="AT37" i="7"/>
  <c r="AT38" i="7"/>
  <c r="AT39" i="7"/>
  <c r="AT40" i="7"/>
  <c r="AT41" i="7"/>
  <c r="AT42" i="7"/>
  <c r="AT43" i="7"/>
  <c r="AT44" i="7"/>
  <c r="AT45" i="7"/>
  <c r="AT46" i="7"/>
  <c r="AT47" i="7"/>
  <c r="AT48" i="7"/>
  <c r="AT49" i="7"/>
  <c r="AT50" i="7"/>
  <c r="AT51" i="7"/>
  <c r="AT52" i="7"/>
  <c r="AT53" i="7"/>
  <c r="AT54" i="7"/>
  <c r="AT55" i="7"/>
  <c r="AT56" i="7"/>
  <c r="AT57" i="7"/>
  <c r="AT58" i="7"/>
  <c r="AT59" i="7"/>
  <c r="AT60" i="7"/>
  <c r="AT61" i="7"/>
  <c r="AT62" i="7"/>
  <c r="AT63" i="7"/>
  <c r="AT64" i="7"/>
  <c r="AT65" i="7"/>
  <c r="AT66" i="7"/>
  <c r="AT67" i="7"/>
  <c r="AT68" i="7"/>
  <c r="AT69" i="7"/>
  <c r="AT70" i="7"/>
  <c r="AT71" i="7"/>
  <c r="AT72" i="7"/>
  <c r="AT73" i="7"/>
  <c r="AT74" i="7"/>
  <c r="AT75" i="7"/>
  <c r="AT76" i="7"/>
  <c r="AT77" i="7"/>
  <c r="AT78" i="7"/>
  <c r="AT79" i="7"/>
  <c r="AT80" i="7"/>
  <c r="AT81" i="7"/>
  <c r="AT82" i="7"/>
  <c r="AT83" i="7"/>
  <c r="AT84" i="7"/>
  <c r="AT85" i="7"/>
  <c r="AT86" i="7"/>
  <c r="AT87" i="7"/>
  <c r="AT88" i="7"/>
  <c r="AT89" i="7"/>
  <c r="AT90" i="7"/>
  <c r="AT91" i="7"/>
  <c r="AT92" i="7"/>
  <c r="AT93" i="7"/>
  <c r="AT94" i="7"/>
  <c r="AT95" i="7"/>
  <c r="AT96" i="7"/>
  <c r="AT97" i="7"/>
  <c r="AT98" i="7"/>
  <c r="AT99" i="7"/>
  <c r="AT100" i="7"/>
  <c r="AT101" i="7"/>
  <c r="AT102" i="7"/>
  <c r="AT103" i="7"/>
  <c r="AT104" i="7"/>
  <c r="AT105" i="7"/>
  <c r="AT106" i="7"/>
  <c r="AT107" i="7"/>
  <c r="AT108" i="7"/>
  <c r="AT109" i="7"/>
  <c r="AT110" i="7"/>
  <c r="AT111" i="7"/>
  <c r="AT112" i="7"/>
  <c r="AT113" i="7"/>
  <c r="AT114" i="7"/>
  <c r="AT115" i="7"/>
  <c r="AT116" i="7"/>
  <c r="AT117" i="7"/>
  <c r="AT118" i="7"/>
  <c r="AT119" i="7"/>
  <c r="AT120" i="7"/>
  <c r="AT121" i="7"/>
  <c r="AT122" i="7"/>
  <c r="AT123" i="7"/>
  <c r="AT124" i="7"/>
  <c r="AT125" i="7"/>
  <c r="AT126" i="7"/>
  <c r="AT127" i="7"/>
  <c r="AT128" i="7"/>
  <c r="AT129" i="7"/>
  <c r="AT130" i="7"/>
  <c r="AT131" i="7"/>
  <c r="AT132" i="7"/>
  <c r="AT133" i="7"/>
  <c r="AT134" i="7"/>
  <c r="AT135" i="7"/>
  <c r="AT136" i="7"/>
  <c r="AT137" i="7"/>
  <c r="AT138" i="7"/>
  <c r="AT139" i="7"/>
  <c r="AT140" i="7"/>
  <c r="AT141" i="7"/>
  <c r="AT142" i="7"/>
  <c r="AT143" i="7"/>
  <c r="AT144" i="7"/>
  <c r="AT145" i="7"/>
  <c r="AT146" i="7"/>
  <c r="AT147" i="7"/>
  <c r="AT148" i="7"/>
  <c r="AT149" i="7"/>
  <c r="AT150" i="7"/>
  <c r="AT151" i="7"/>
  <c r="AT152" i="7"/>
  <c r="AT153" i="7"/>
  <c r="AT154" i="7"/>
  <c r="AT155" i="7"/>
  <c r="AT156" i="7"/>
  <c r="AT157" i="7"/>
  <c r="AT158" i="7"/>
  <c r="AT159" i="7"/>
  <c r="AT160" i="7"/>
  <c r="AT161" i="7"/>
  <c r="AT162" i="7"/>
  <c r="AT163" i="7"/>
  <c r="AT164" i="7"/>
  <c r="AT165" i="7"/>
  <c r="AT166" i="7"/>
  <c r="AT167" i="7"/>
  <c r="AT168" i="7"/>
  <c r="AT169" i="7"/>
  <c r="AT170" i="7"/>
  <c r="AT171" i="7"/>
  <c r="AT172" i="7"/>
  <c r="AT173" i="7"/>
  <c r="AT174" i="7"/>
  <c r="AT175" i="7"/>
  <c r="AT176" i="7"/>
  <c r="AT177" i="7"/>
  <c r="AT178" i="7"/>
  <c r="AT179" i="7"/>
  <c r="AT180" i="7"/>
  <c r="AT181" i="7"/>
  <c r="AT182" i="7"/>
  <c r="AT183" i="7"/>
  <c r="AT184" i="7"/>
  <c r="AT185" i="7"/>
  <c r="AT186" i="7"/>
  <c r="AT187" i="7"/>
  <c r="AT188" i="7"/>
  <c r="AT189" i="7"/>
  <c r="AT190" i="7"/>
  <c r="AT191" i="7"/>
  <c r="AT192" i="7"/>
  <c r="AT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6" i="7"/>
  <c r="D7" i="20" l="1"/>
  <c r="D6" i="20"/>
  <c r="D5" i="20"/>
  <c r="D4" i="20"/>
  <c r="D3" i="20"/>
  <c r="D2" i="20"/>
  <c r="E12" i="7"/>
  <c r="E28" i="7"/>
  <c r="E44" i="7"/>
  <c r="E60" i="7"/>
  <c r="E76" i="7"/>
  <c r="E92" i="7"/>
  <c r="E108" i="7"/>
  <c r="E124" i="7"/>
  <c r="E140" i="7"/>
  <c r="E156" i="7"/>
  <c r="E172" i="7"/>
  <c r="E188" i="7"/>
  <c r="E13" i="7"/>
  <c r="E29" i="7"/>
  <c r="E45" i="7"/>
  <c r="E61" i="7"/>
  <c r="E77" i="7"/>
  <c r="E93" i="7"/>
  <c r="E109" i="7"/>
  <c r="E125" i="7"/>
  <c r="E141" i="7"/>
  <c r="E157" i="7"/>
  <c r="E173" i="7"/>
  <c r="E189" i="7"/>
  <c r="E18" i="7"/>
  <c r="E34" i="7"/>
  <c r="E50" i="7"/>
  <c r="E66" i="7"/>
  <c r="E82" i="7"/>
  <c r="E98" i="7"/>
  <c r="E114" i="7"/>
  <c r="E130" i="7"/>
  <c r="E146" i="7"/>
  <c r="E162" i="7"/>
  <c r="E178" i="7"/>
  <c r="E23" i="7"/>
  <c r="E87" i="7"/>
  <c r="E151" i="7"/>
  <c r="E59" i="7"/>
  <c r="E123" i="7"/>
  <c r="E187" i="7"/>
  <c r="E63" i="7"/>
  <c r="E127" i="7"/>
  <c r="E191" i="7"/>
  <c r="E35" i="7"/>
  <c r="E99" i="7"/>
  <c r="E163" i="7"/>
  <c r="E16" i="7"/>
  <c r="E32" i="7"/>
  <c r="E48" i="7"/>
  <c r="E64" i="7"/>
  <c r="E80" i="7"/>
  <c r="E96" i="7"/>
  <c r="E112" i="7"/>
  <c r="E128" i="7"/>
  <c r="E144" i="7"/>
  <c r="E160" i="7"/>
  <c r="E176" i="7"/>
  <c r="E192" i="7"/>
  <c r="E17" i="7"/>
  <c r="E33" i="7"/>
  <c r="E49" i="7"/>
  <c r="E65" i="7"/>
  <c r="E81" i="7"/>
  <c r="E97" i="7"/>
  <c r="E113" i="7"/>
  <c r="E129" i="7"/>
  <c r="E145" i="7"/>
  <c r="E161" i="7"/>
  <c r="E177" i="7"/>
  <c r="E22" i="7"/>
  <c r="E38" i="7"/>
  <c r="E54" i="7"/>
  <c r="E70" i="7"/>
  <c r="E86" i="7"/>
  <c r="E102" i="7"/>
  <c r="E118" i="7"/>
  <c r="E134" i="7"/>
  <c r="E150" i="7"/>
  <c r="E166" i="7"/>
  <c r="E182" i="7"/>
  <c r="E39" i="7"/>
  <c r="E103" i="7"/>
  <c r="E167" i="7"/>
  <c r="E11" i="7"/>
  <c r="E75" i="7"/>
  <c r="E139" i="7"/>
  <c r="E15" i="7"/>
  <c r="E79" i="7"/>
  <c r="E143" i="7"/>
  <c r="E51" i="7"/>
  <c r="E115" i="7"/>
  <c r="E179" i="7"/>
  <c r="E6" i="7"/>
  <c r="E36" i="7"/>
  <c r="E68" i="7"/>
  <c r="E100" i="7"/>
  <c r="E132" i="7"/>
  <c r="E164" i="7"/>
  <c r="E21" i="7"/>
  <c r="E53" i="7"/>
  <c r="E85" i="7"/>
  <c r="E117" i="7"/>
  <c r="E149" i="7"/>
  <c r="E181" i="7"/>
  <c r="E26" i="7"/>
  <c r="E58" i="7"/>
  <c r="E90" i="7"/>
  <c r="E122" i="7"/>
  <c r="E154" i="7"/>
  <c r="E186" i="7"/>
  <c r="E119" i="7"/>
  <c r="E27" i="7"/>
  <c r="E155" i="7"/>
  <c r="E31" i="7"/>
  <c r="E159" i="7"/>
  <c r="E67" i="7"/>
  <c r="E8" i="7"/>
  <c r="E40" i="7"/>
  <c r="E72" i="7"/>
  <c r="E104" i="7"/>
  <c r="E136" i="7"/>
  <c r="E168" i="7"/>
  <c r="E25" i="7"/>
  <c r="E57" i="7"/>
  <c r="E89" i="7"/>
  <c r="E121" i="7"/>
  <c r="E153" i="7"/>
  <c r="E185" i="7"/>
  <c r="E30" i="7"/>
  <c r="E62" i="7"/>
  <c r="E94" i="7"/>
  <c r="E126" i="7"/>
  <c r="E158" i="7"/>
  <c r="E190" i="7"/>
  <c r="E7" i="7"/>
  <c r="E135" i="7"/>
  <c r="E43" i="7"/>
  <c r="E171" i="7"/>
  <c r="E47" i="7"/>
  <c r="E175" i="7"/>
  <c r="E83" i="7"/>
  <c r="E20" i="7"/>
  <c r="E52" i="7"/>
  <c r="E84" i="7"/>
  <c r="E116" i="7"/>
  <c r="E148" i="7"/>
  <c r="E180" i="7"/>
  <c r="E37" i="7"/>
  <c r="E69" i="7"/>
  <c r="E101" i="7"/>
  <c r="E133" i="7"/>
  <c r="E165" i="7"/>
  <c r="E10" i="7"/>
  <c r="E42" i="7"/>
  <c r="E74" i="7"/>
  <c r="E106" i="7"/>
  <c r="E138" i="7"/>
  <c r="E170" i="7"/>
  <c r="E55" i="7"/>
  <c r="E183" i="7"/>
  <c r="E91" i="7"/>
  <c r="E95" i="7"/>
  <c r="E131" i="7"/>
  <c r="E24" i="7"/>
  <c r="E56" i="7"/>
  <c r="E88" i="7"/>
  <c r="E120" i="7"/>
  <c r="E152" i="7"/>
  <c r="E184" i="7"/>
  <c r="E9" i="7"/>
  <c r="E41" i="7"/>
  <c r="E73" i="7"/>
  <c r="E105" i="7"/>
  <c r="E137" i="7"/>
  <c r="E169" i="7"/>
  <c r="E14" i="7"/>
  <c r="E46" i="7"/>
  <c r="E78" i="7"/>
  <c r="E110" i="7"/>
  <c r="E142" i="7"/>
  <c r="E174" i="7"/>
  <c r="E107" i="7"/>
  <c r="E111" i="7"/>
  <c r="E19" i="7"/>
  <c r="E71" i="7"/>
  <c r="E147" i="7"/>
  <c r="K194" i="2" l="1"/>
  <c r="J194" i="2"/>
  <c r="K193" i="2"/>
  <c r="J193" i="2"/>
  <c r="K192" i="2"/>
  <c r="J192" i="2"/>
  <c r="K191" i="2"/>
  <c r="J191" i="2"/>
  <c r="K190" i="2"/>
  <c r="J190" i="2"/>
  <c r="K189" i="2"/>
  <c r="J189" i="2"/>
  <c r="K188" i="2"/>
  <c r="J188" i="2"/>
  <c r="K187" i="2"/>
  <c r="J187" i="2"/>
  <c r="K186" i="2"/>
  <c r="J186" i="2"/>
  <c r="K185" i="2"/>
  <c r="J185" i="2"/>
  <c r="K184" i="2"/>
  <c r="J184" i="2"/>
  <c r="K183" i="2"/>
  <c r="J183" i="2"/>
  <c r="K182" i="2"/>
  <c r="J182" i="2"/>
  <c r="K181" i="2"/>
  <c r="J181" i="2"/>
  <c r="K180" i="2"/>
  <c r="J180" i="2"/>
  <c r="K179" i="2"/>
  <c r="J179" i="2"/>
  <c r="K178" i="2"/>
  <c r="J178" i="2"/>
  <c r="K177" i="2"/>
  <c r="J177" i="2"/>
  <c r="K176" i="2"/>
  <c r="J176" i="2"/>
  <c r="K175" i="2"/>
  <c r="J175" i="2"/>
  <c r="K174" i="2"/>
  <c r="J174" i="2"/>
  <c r="K173" i="2"/>
  <c r="J173" i="2"/>
  <c r="K172" i="2"/>
  <c r="J172" i="2"/>
  <c r="K171" i="2"/>
  <c r="J171" i="2"/>
  <c r="K170" i="2"/>
  <c r="J170" i="2"/>
  <c r="K169" i="2"/>
  <c r="J169" i="2"/>
  <c r="K168" i="2"/>
  <c r="J168" i="2"/>
  <c r="K167" i="2"/>
  <c r="J167" i="2"/>
  <c r="K166" i="2"/>
  <c r="J166" i="2"/>
  <c r="K165" i="2"/>
  <c r="J165" i="2"/>
  <c r="K164" i="2"/>
  <c r="J164" i="2"/>
  <c r="K163" i="2"/>
  <c r="J163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K121" i="2"/>
  <c r="J121" i="2"/>
  <c r="K120" i="2"/>
  <c r="J120" i="2"/>
  <c r="K119" i="2"/>
  <c r="J119" i="2"/>
  <c r="K118" i="2"/>
  <c r="J118" i="2"/>
  <c r="K117" i="2"/>
  <c r="J117" i="2"/>
  <c r="K116" i="2"/>
  <c r="J116" i="2"/>
  <c r="K115" i="2"/>
  <c r="J115" i="2"/>
  <c r="K114" i="2"/>
  <c r="J114" i="2"/>
  <c r="K113" i="2"/>
  <c r="J113" i="2"/>
  <c r="K112" i="2"/>
  <c r="J112" i="2"/>
  <c r="K111" i="2"/>
  <c r="J111" i="2"/>
  <c r="K110" i="2"/>
  <c r="J110" i="2"/>
  <c r="K109" i="2"/>
  <c r="J109" i="2"/>
  <c r="K108" i="2"/>
  <c r="J108" i="2"/>
  <c r="K107" i="2"/>
  <c r="J107" i="2"/>
  <c r="K106" i="2"/>
  <c r="J106" i="2"/>
  <c r="K105" i="2"/>
  <c r="J105" i="2"/>
  <c r="K104" i="2"/>
  <c r="J104" i="2"/>
  <c r="K103" i="2"/>
  <c r="J103" i="2"/>
  <c r="K102" i="2"/>
  <c r="J102" i="2"/>
  <c r="K101" i="2"/>
  <c r="J101" i="2"/>
  <c r="K100" i="2"/>
  <c r="J100" i="2"/>
  <c r="K99" i="2"/>
  <c r="J99" i="2"/>
  <c r="K98" i="2"/>
  <c r="J98" i="2"/>
  <c r="K97" i="2"/>
  <c r="J97" i="2"/>
  <c r="K96" i="2"/>
  <c r="J96" i="2"/>
  <c r="K95" i="2"/>
  <c r="J95" i="2"/>
  <c r="K94" i="2"/>
  <c r="J94" i="2"/>
  <c r="K93" i="2"/>
  <c r="J93" i="2"/>
  <c r="K92" i="2"/>
  <c r="J92" i="2"/>
  <c r="K91" i="2"/>
  <c r="J91" i="2"/>
  <c r="K90" i="2"/>
  <c r="J90" i="2"/>
  <c r="K89" i="2"/>
  <c r="J89" i="2"/>
  <c r="K88" i="2"/>
  <c r="J88" i="2"/>
  <c r="K87" i="2"/>
  <c r="J87" i="2"/>
  <c r="K86" i="2"/>
  <c r="J86" i="2"/>
  <c r="K85" i="2"/>
  <c r="J85" i="2"/>
  <c r="K84" i="2"/>
  <c r="J84" i="2"/>
  <c r="K83" i="2"/>
  <c r="J83" i="2"/>
  <c r="K82" i="2"/>
  <c r="J82" i="2"/>
  <c r="K81" i="2"/>
  <c r="J81" i="2"/>
  <c r="K80" i="2"/>
  <c r="J80" i="2"/>
  <c r="K79" i="2"/>
  <c r="J79" i="2"/>
  <c r="K78" i="2"/>
  <c r="J78" i="2"/>
  <c r="K77" i="2"/>
  <c r="J77" i="2"/>
  <c r="K76" i="2"/>
  <c r="J76" i="2"/>
  <c r="K75" i="2"/>
  <c r="J75" i="2"/>
  <c r="K74" i="2"/>
  <c r="J74" i="2"/>
  <c r="K73" i="2"/>
  <c r="J73" i="2"/>
  <c r="K72" i="2"/>
  <c r="J72" i="2"/>
  <c r="K71" i="2"/>
  <c r="J71" i="2"/>
  <c r="K70" i="2"/>
  <c r="J70" i="2"/>
  <c r="K69" i="2"/>
  <c r="J69" i="2"/>
  <c r="K68" i="2"/>
  <c r="J68" i="2"/>
  <c r="K67" i="2"/>
  <c r="J67" i="2"/>
  <c r="K66" i="2"/>
  <c r="J66" i="2"/>
  <c r="K65" i="2"/>
  <c r="J65" i="2"/>
  <c r="K64" i="2"/>
  <c r="J64" i="2"/>
  <c r="K63" i="2"/>
  <c r="J63" i="2"/>
  <c r="K62" i="2"/>
  <c r="J62" i="2"/>
  <c r="K61" i="2"/>
  <c r="J61" i="2"/>
  <c r="K60" i="2"/>
  <c r="J60" i="2"/>
  <c r="K59" i="2"/>
  <c r="J59" i="2"/>
  <c r="K58" i="2"/>
  <c r="J58" i="2"/>
  <c r="K57" i="2"/>
  <c r="J57" i="2"/>
  <c r="K56" i="2"/>
  <c r="J56" i="2"/>
  <c r="K55" i="2"/>
  <c r="J55" i="2"/>
  <c r="K54" i="2"/>
  <c r="J54" i="2"/>
  <c r="K53" i="2"/>
  <c r="J53" i="2"/>
  <c r="K52" i="2"/>
  <c r="J52" i="2"/>
  <c r="K51" i="2"/>
  <c r="J51" i="2"/>
  <c r="K50" i="2"/>
  <c r="J50" i="2"/>
  <c r="K49" i="2"/>
  <c r="J49" i="2"/>
  <c r="K48" i="2"/>
  <c r="J48" i="2"/>
  <c r="K47" i="2"/>
  <c r="J47" i="2"/>
  <c r="K46" i="2"/>
  <c r="J46" i="2"/>
  <c r="K45" i="2"/>
  <c r="J45" i="2"/>
  <c r="K44" i="2"/>
  <c r="J44" i="2"/>
  <c r="K43" i="2"/>
  <c r="J43" i="2"/>
  <c r="K42" i="2"/>
  <c r="J42" i="2"/>
  <c r="K41" i="2"/>
  <c r="J41" i="2"/>
  <c r="K40" i="2"/>
  <c r="J40" i="2"/>
  <c r="K39" i="2"/>
  <c r="J39" i="2"/>
  <c r="K38" i="2"/>
  <c r="J38" i="2"/>
  <c r="K37" i="2"/>
  <c r="J37" i="2"/>
  <c r="K36" i="2"/>
  <c r="J36" i="2"/>
  <c r="K35" i="2"/>
  <c r="J35" i="2"/>
  <c r="K34" i="2"/>
  <c r="J34" i="2"/>
  <c r="K33" i="2"/>
  <c r="J33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K25" i="2"/>
  <c r="J25" i="2"/>
  <c r="K24" i="2"/>
  <c r="J24" i="2"/>
  <c r="K23" i="2"/>
  <c r="J23" i="2"/>
  <c r="K22" i="2"/>
  <c r="J22" i="2"/>
  <c r="K21" i="2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K9" i="2"/>
  <c r="J9" i="2"/>
  <c r="K8" i="2"/>
  <c r="J8" i="2"/>
  <c r="K7" i="2"/>
  <c r="J7" i="2"/>
  <c r="K6" i="2"/>
  <c r="J6" i="2"/>
  <c r="K5" i="2"/>
  <c r="J5" i="2"/>
  <c r="K4" i="2"/>
  <c r="J4" i="2"/>
  <c r="K3" i="2"/>
  <c r="J3" i="2"/>
  <c r="K1" i="2"/>
  <c r="J1" i="2"/>
  <c r="H112" i="1" l="1"/>
  <c r="K112" i="1" s="1"/>
  <c r="N112" i="1" s="1"/>
  <c r="I112" i="1"/>
  <c r="J112" i="1"/>
  <c r="F112" i="1"/>
  <c r="G488" i="1" l="1"/>
  <c r="I488" i="1" s="1"/>
  <c r="F476" i="1"/>
  <c r="H476" i="1"/>
  <c r="I476" i="1"/>
  <c r="J476" i="1"/>
  <c r="F477" i="1"/>
  <c r="H477" i="1"/>
  <c r="K477" i="1" s="1"/>
  <c r="N477" i="1" s="1"/>
  <c r="I477" i="1"/>
  <c r="J477" i="1"/>
  <c r="F478" i="1"/>
  <c r="H478" i="1"/>
  <c r="K478" i="1" s="1"/>
  <c r="N478" i="1" s="1"/>
  <c r="I478" i="1"/>
  <c r="J478" i="1"/>
  <c r="F479" i="1"/>
  <c r="H479" i="1"/>
  <c r="K479" i="1" s="1"/>
  <c r="N479" i="1" s="1"/>
  <c r="I479" i="1"/>
  <c r="J479" i="1"/>
  <c r="F480" i="1"/>
  <c r="H480" i="1"/>
  <c r="K480" i="1" s="1"/>
  <c r="N480" i="1" s="1"/>
  <c r="I480" i="1"/>
  <c r="J480" i="1"/>
  <c r="F481" i="1"/>
  <c r="H481" i="1"/>
  <c r="K481" i="1" s="1"/>
  <c r="N481" i="1" s="1"/>
  <c r="I481" i="1"/>
  <c r="J481" i="1"/>
  <c r="F482" i="1"/>
  <c r="H482" i="1"/>
  <c r="K482" i="1" s="1"/>
  <c r="N482" i="1" s="1"/>
  <c r="I482" i="1"/>
  <c r="J482" i="1"/>
  <c r="F483" i="1"/>
  <c r="H483" i="1"/>
  <c r="K483" i="1" s="1"/>
  <c r="N483" i="1" s="1"/>
  <c r="I483" i="1"/>
  <c r="J483" i="1"/>
  <c r="F484" i="1"/>
  <c r="H484" i="1"/>
  <c r="K484" i="1" s="1"/>
  <c r="N484" i="1" s="1"/>
  <c r="I484" i="1"/>
  <c r="J484" i="1"/>
  <c r="F468" i="1"/>
  <c r="H468" i="1"/>
  <c r="K468" i="1" s="1"/>
  <c r="N468" i="1" s="1"/>
  <c r="I468" i="1"/>
  <c r="J468" i="1"/>
  <c r="F469" i="1"/>
  <c r="H469" i="1"/>
  <c r="K469" i="1" s="1"/>
  <c r="N469" i="1" s="1"/>
  <c r="I469" i="1"/>
  <c r="J469" i="1"/>
  <c r="F470" i="1"/>
  <c r="H470" i="1"/>
  <c r="I470" i="1"/>
  <c r="F471" i="1"/>
  <c r="H471" i="1"/>
  <c r="I471" i="1"/>
  <c r="J471" i="1"/>
  <c r="F472" i="1"/>
  <c r="H472" i="1"/>
  <c r="K472" i="1" s="1"/>
  <c r="N472" i="1" s="1"/>
  <c r="I472" i="1"/>
  <c r="J472" i="1"/>
  <c r="F473" i="1"/>
  <c r="H473" i="1"/>
  <c r="K473" i="1" s="1"/>
  <c r="N473" i="1" s="1"/>
  <c r="I473" i="1"/>
  <c r="J473" i="1"/>
  <c r="F474" i="1"/>
  <c r="H474" i="1"/>
  <c r="K474" i="1" s="1"/>
  <c r="N474" i="1" s="1"/>
  <c r="I474" i="1"/>
  <c r="J474" i="1"/>
  <c r="F475" i="1"/>
  <c r="H475" i="1"/>
  <c r="K475" i="1" s="1"/>
  <c r="N475" i="1" s="1"/>
  <c r="I475" i="1"/>
  <c r="J475" i="1"/>
  <c r="K476" i="1" l="1"/>
  <c r="N476" i="1" s="1"/>
  <c r="K471" i="1"/>
  <c r="N471" i="1" s="1"/>
  <c r="K470" i="1"/>
  <c r="N470" i="1" s="1"/>
  <c r="F30" i="1" l="1"/>
  <c r="H30" i="1"/>
  <c r="I30" i="1"/>
  <c r="J30" i="1"/>
  <c r="K30" i="1" l="1"/>
  <c r="N30" i="1" s="1"/>
  <c r="F454" i="1" l="1"/>
  <c r="H454" i="1"/>
  <c r="K454" i="1" s="1"/>
  <c r="N454" i="1" s="1"/>
  <c r="I454" i="1"/>
  <c r="J454" i="1"/>
  <c r="F455" i="1"/>
  <c r="H455" i="1"/>
  <c r="K455" i="1" s="1"/>
  <c r="N455" i="1" s="1"/>
  <c r="I455" i="1"/>
  <c r="J455" i="1"/>
  <c r="F456" i="1"/>
  <c r="H456" i="1"/>
  <c r="K456" i="1" s="1"/>
  <c r="N456" i="1" s="1"/>
  <c r="I456" i="1"/>
  <c r="J456" i="1"/>
  <c r="F457" i="1"/>
  <c r="H457" i="1"/>
  <c r="K457" i="1" s="1"/>
  <c r="N457" i="1" s="1"/>
  <c r="I457" i="1"/>
  <c r="J457" i="1"/>
  <c r="F458" i="1"/>
  <c r="H458" i="1"/>
  <c r="K458" i="1" s="1"/>
  <c r="N458" i="1" s="1"/>
  <c r="I458" i="1"/>
  <c r="J458" i="1"/>
  <c r="F459" i="1"/>
  <c r="H459" i="1"/>
  <c r="K459" i="1" s="1"/>
  <c r="N459" i="1" s="1"/>
  <c r="I459" i="1"/>
  <c r="J459" i="1"/>
  <c r="F460" i="1"/>
  <c r="H460" i="1"/>
  <c r="K460" i="1" s="1"/>
  <c r="N460" i="1" s="1"/>
  <c r="I460" i="1"/>
  <c r="J460" i="1"/>
  <c r="F461" i="1"/>
  <c r="H461" i="1"/>
  <c r="I461" i="1"/>
  <c r="J461" i="1"/>
  <c r="F462" i="1"/>
  <c r="H462" i="1"/>
  <c r="I462" i="1"/>
  <c r="J462" i="1"/>
  <c r="F463" i="1"/>
  <c r="H463" i="1"/>
  <c r="I463" i="1"/>
  <c r="J463" i="1"/>
  <c r="F464" i="1"/>
  <c r="H464" i="1"/>
  <c r="F465" i="1"/>
  <c r="H465" i="1"/>
  <c r="F466" i="1"/>
  <c r="H466" i="1"/>
  <c r="F467" i="1"/>
  <c r="H467" i="1"/>
  <c r="C465" i="1"/>
  <c r="C467" i="1" s="1"/>
  <c r="J467" i="1" s="1"/>
  <c r="C464" i="1"/>
  <c r="J464" i="1" s="1"/>
  <c r="J465" i="1" l="1"/>
  <c r="K466" i="1"/>
  <c r="I465" i="1"/>
  <c r="I464" i="1"/>
  <c r="C466" i="1"/>
  <c r="I466" i="1" s="1"/>
  <c r="K467" i="1"/>
  <c r="N467" i="1" s="1"/>
  <c r="K465" i="1"/>
  <c r="N465" i="1" s="1"/>
  <c r="K464" i="1"/>
  <c r="N464" i="1" s="1"/>
  <c r="K463" i="1"/>
  <c r="N463" i="1" s="1"/>
  <c r="K462" i="1"/>
  <c r="N462" i="1" s="1"/>
  <c r="K461" i="1"/>
  <c r="N461" i="1" s="1"/>
  <c r="I467" i="1"/>
  <c r="J466" i="1"/>
  <c r="N466" i="1" l="1"/>
  <c r="H40" i="1"/>
  <c r="K40" i="1" s="1"/>
  <c r="N40" i="1" s="1"/>
  <c r="I40" i="1"/>
  <c r="J40" i="1"/>
  <c r="F40" i="1"/>
  <c r="H8" i="18"/>
  <c r="H9" i="18"/>
  <c r="H10" i="18"/>
  <c r="H11" i="18"/>
  <c r="H12" i="18"/>
  <c r="H7" i="18"/>
  <c r="F217" i="1" l="1"/>
  <c r="H217" i="1"/>
  <c r="I217" i="1"/>
  <c r="J217" i="1"/>
  <c r="I124" i="1"/>
  <c r="J124" i="1"/>
  <c r="F124" i="1"/>
  <c r="H29" i="1"/>
  <c r="I29" i="1"/>
  <c r="J29" i="1"/>
  <c r="F29" i="1"/>
  <c r="H32" i="1"/>
  <c r="I32" i="1"/>
  <c r="J32" i="1"/>
  <c r="F32" i="1"/>
  <c r="H110" i="1"/>
  <c r="I110" i="1"/>
  <c r="J110" i="1"/>
  <c r="F110" i="1"/>
  <c r="F214" i="1"/>
  <c r="H214" i="1"/>
  <c r="I214" i="1"/>
  <c r="J214" i="1"/>
  <c r="K110" i="1" l="1"/>
  <c r="N110" i="1" s="1"/>
  <c r="K217" i="1"/>
  <c r="N217" i="1" s="1"/>
  <c r="K32" i="1"/>
  <c r="N32" i="1" s="1"/>
  <c r="K29" i="1"/>
  <c r="N29" i="1" s="1"/>
  <c r="K214" i="1"/>
  <c r="N214" i="1" s="1"/>
  <c r="F128" i="1" l="1"/>
  <c r="I128" i="1"/>
  <c r="J128" i="1"/>
  <c r="F209" i="1" l="1"/>
  <c r="H209" i="1"/>
  <c r="I209" i="1"/>
  <c r="J209" i="1"/>
  <c r="F27" i="1"/>
  <c r="I27" i="1"/>
  <c r="J27" i="1"/>
  <c r="I28" i="1"/>
  <c r="J28" i="1"/>
  <c r="F28" i="1"/>
  <c r="K209" i="1" l="1"/>
  <c r="N209" i="1" s="1"/>
  <c r="F121" i="1"/>
  <c r="H121" i="1"/>
  <c r="I121" i="1"/>
  <c r="J121" i="1"/>
  <c r="F122" i="1"/>
  <c r="I122" i="1"/>
  <c r="J122" i="1"/>
  <c r="F63" i="1"/>
  <c r="I63" i="1"/>
  <c r="J63" i="1"/>
  <c r="K121" i="1" l="1"/>
  <c r="N121" i="1" s="1"/>
  <c r="H6" i="1"/>
  <c r="H128" i="1" s="1"/>
  <c r="K128" i="1" s="1"/>
  <c r="N128" i="1" s="1"/>
  <c r="F10" i="5" l="1"/>
  <c r="D5" i="5"/>
  <c r="D4" i="5"/>
  <c r="L4" i="5"/>
  <c r="K4" i="5"/>
  <c r="F20" i="19" l="1"/>
  <c r="F19" i="19"/>
  <c r="H13" i="19"/>
  <c r="G13" i="19"/>
  <c r="F13" i="19"/>
  <c r="D13" i="19"/>
  <c r="C7" i="19"/>
  <c r="F18" i="19" s="1"/>
  <c r="C6" i="19"/>
  <c r="F17" i="19" s="1"/>
  <c r="C5" i="19"/>
  <c r="F16" i="19" s="1"/>
  <c r="C4" i="19"/>
  <c r="F15" i="19" s="1"/>
  <c r="C3" i="19"/>
  <c r="F14" i="19" s="1"/>
  <c r="I16" i="19" l="1"/>
  <c r="K16" i="19" s="1"/>
  <c r="I15" i="19"/>
  <c r="K15" i="19" s="1"/>
  <c r="I19" i="19"/>
  <c r="K19" i="19" s="1"/>
  <c r="I18" i="19"/>
  <c r="K18" i="19" s="1"/>
  <c r="I20" i="19"/>
  <c r="K20" i="19" s="1"/>
  <c r="I13" i="19"/>
  <c r="K13" i="19" s="1"/>
  <c r="I17" i="19"/>
  <c r="K17" i="19" s="1"/>
  <c r="I14" i="19"/>
  <c r="K14" i="19" s="1"/>
  <c r="F69" i="1"/>
  <c r="I69" i="1"/>
  <c r="J69" i="1"/>
  <c r="F126" i="1"/>
  <c r="H126" i="1"/>
  <c r="I126" i="1"/>
  <c r="J126" i="1"/>
  <c r="F157" i="1"/>
  <c r="H157" i="1"/>
  <c r="I157" i="1"/>
  <c r="J157" i="1"/>
  <c r="K126" i="1" l="1"/>
  <c r="N126" i="1" s="1"/>
  <c r="K157" i="1"/>
  <c r="N157" i="1" s="1"/>
  <c r="F149" i="1"/>
  <c r="H149" i="1"/>
  <c r="I149" i="1"/>
  <c r="J149" i="1"/>
  <c r="H150" i="1"/>
  <c r="I150" i="1"/>
  <c r="J150" i="1"/>
  <c r="F150" i="1"/>
  <c r="H160" i="1"/>
  <c r="I160" i="1"/>
  <c r="J160" i="1"/>
  <c r="F160" i="1"/>
  <c r="F106" i="1"/>
  <c r="H106" i="1"/>
  <c r="I106" i="1"/>
  <c r="J106" i="1"/>
  <c r="F107" i="1"/>
  <c r="H107" i="1"/>
  <c r="I107" i="1"/>
  <c r="J107" i="1"/>
  <c r="F108" i="1"/>
  <c r="H108" i="1"/>
  <c r="I108" i="1"/>
  <c r="J108" i="1"/>
  <c r="F109" i="1"/>
  <c r="H109" i="1"/>
  <c r="I109" i="1"/>
  <c r="J109" i="1"/>
  <c r="F111" i="1"/>
  <c r="H111" i="1"/>
  <c r="I111" i="1"/>
  <c r="J111" i="1"/>
  <c r="B17" i="3"/>
  <c r="F212" i="1"/>
  <c r="I212" i="1"/>
  <c r="J212" i="1"/>
  <c r="K160" i="1" l="1"/>
  <c r="N160" i="1" s="1"/>
  <c r="K150" i="1"/>
  <c r="N150" i="1" s="1"/>
  <c r="K149" i="1"/>
  <c r="N149" i="1" s="1"/>
  <c r="K106" i="1"/>
  <c r="N106" i="1" s="1"/>
  <c r="K109" i="1"/>
  <c r="N109" i="1" s="1"/>
  <c r="K108" i="1"/>
  <c r="N108" i="1" s="1"/>
  <c r="K107" i="1"/>
  <c r="N107" i="1" s="1"/>
  <c r="K111" i="1"/>
  <c r="N111" i="1" s="1"/>
  <c r="I113" i="1"/>
  <c r="J113" i="1"/>
  <c r="F113" i="1"/>
  <c r="J62" i="1"/>
  <c r="I62" i="1"/>
  <c r="F62" i="1"/>
  <c r="I39" i="1" l="1"/>
  <c r="J39" i="1"/>
  <c r="F39" i="1"/>
  <c r="H452" i="1" l="1"/>
  <c r="F453" i="1"/>
  <c r="H453" i="1"/>
  <c r="I453" i="1"/>
  <c r="J453" i="1"/>
  <c r="K453" i="1" l="1"/>
  <c r="N453" i="1" s="1"/>
  <c r="N452" i="1"/>
  <c r="F43" i="1" l="1"/>
  <c r="I43" i="1"/>
  <c r="J43" i="1"/>
  <c r="F412" i="1"/>
  <c r="I412" i="1"/>
  <c r="J412" i="1"/>
  <c r="J451" i="1" l="1"/>
  <c r="I451" i="1"/>
  <c r="F451" i="1"/>
  <c r="J450" i="1"/>
  <c r="I450" i="1"/>
  <c r="F450" i="1"/>
  <c r="J449" i="1"/>
  <c r="I449" i="1"/>
  <c r="F449" i="1"/>
  <c r="J448" i="1"/>
  <c r="I448" i="1"/>
  <c r="F448" i="1"/>
  <c r="J447" i="1"/>
  <c r="I447" i="1"/>
  <c r="F447" i="1"/>
  <c r="J446" i="1"/>
  <c r="I446" i="1"/>
  <c r="H446" i="1"/>
  <c r="F446" i="1"/>
  <c r="F67" i="1"/>
  <c r="I67" i="1"/>
  <c r="J67" i="1"/>
  <c r="F68" i="1"/>
  <c r="I68" i="1"/>
  <c r="J68" i="1"/>
  <c r="K446" i="1" l="1"/>
  <c r="N446" i="1" s="1"/>
  <c r="F426" i="1" l="1"/>
  <c r="I426" i="1"/>
  <c r="J426" i="1"/>
  <c r="F427" i="1"/>
  <c r="I427" i="1"/>
  <c r="J427" i="1"/>
  <c r="F428" i="1"/>
  <c r="I428" i="1"/>
  <c r="J428" i="1"/>
  <c r="F429" i="1"/>
  <c r="I429" i="1"/>
  <c r="J429" i="1"/>
  <c r="F430" i="1"/>
  <c r="I430" i="1"/>
  <c r="J430" i="1"/>
  <c r="F431" i="1"/>
  <c r="I431" i="1"/>
  <c r="J431" i="1"/>
  <c r="F432" i="1"/>
  <c r="I432" i="1"/>
  <c r="J432" i="1"/>
  <c r="F396" i="1"/>
  <c r="I396" i="1"/>
  <c r="J396" i="1"/>
  <c r="F397" i="1"/>
  <c r="I397" i="1"/>
  <c r="J397" i="1"/>
  <c r="F398" i="1"/>
  <c r="I398" i="1"/>
  <c r="J398" i="1"/>
  <c r="F392" i="1"/>
  <c r="I392" i="1"/>
  <c r="J392" i="1"/>
  <c r="J442" i="1"/>
  <c r="I442" i="1"/>
  <c r="F442" i="1"/>
  <c r="J441" i="1"/>
  <c r="I441" i="1"/>
  <c r="F441" i="1"/>
  <c r="J440" i="1"/>
  <c r="I440" i="1"/>
  <c r="F440" i="1"/>
  <c r="K21" i="5"/>
  <c r="L21" i="5" s="1"/>
  <c r="K19" i="5"/>
  <c r="J11" i="5"/>
  <c r="K10" i="5"/>
  <c r="F197" i="1"/>
  <c r="I197" i="1"/>
  <c r="J197" i="1"/>
  <c r="M240" i="16"/>
  <c r="J240" i="16"/>
  <c r="I240" i="16"/>
  <c r="H240" i="16"/>
  <c r="K240" i="16" s="1"/>
  <c r="F240" i="16"/>
  <c r="M239" i="16"/>
  <c r="J239" i="16"/>
  <c r="I239" i="16"/>
  <c r="H239" i="16"/>
  <c r="K239" i="16" s="1"/>
  <c r="F239" i="16"/>
  <c r="M238" i="16"/>
  <c r="J238" i="16"/>
  <c r="I238" i="16"/>
  <c r="H238" i="16"/>
  <c r="K238" i="16" s="1"/>
  <c r="F238" i="16"/>
  <c r="M237" i="16"/>
  <c r="J237" i="16"/>
  <c r="I237" i="16"/>
  <c r="H237" i="16"/>
  <c r="K237" i="16" s="1"/>
  <c r="F237" i="16"/>
  <c r="M236" i="16"/>
  <c r="J236" i="16"/>
  <c r="I236" i="16"/>
  <c r="H236" i="16"/>
  <c r="K236" i="16" s="1"/>
  <c r="F236" i="16"/>
  <c r="M235" i="16"/>
  <c r="J235" i="16"/>
  <c r="I235" i="16"/>
  <c r="H235" i="16"/>
  <c r="F235" i="16"/>
  <c r="M234" i="16"/>
  <c r="J234" i="16"/>
  <c r="I234" i="16"/>
  <c r="H234" i="16"/>
  <c r="K234" i="16" s="1"/>
  <c r="F234" i="16"/>
  <c r="M231" i="16"/>
  <c r="J231" i="16"/>
  <c r="I231" i="16"/>
  <c r="H231" i="16"/>
  <c r="K231" i="16" s="1"/>
  <c r="F231" i="16"/>
  <c r="M92" i="16"/>
  <c r="J92" i="16"/>
  <c r="I92" i="16"/>
  <c r="H92" i="16"/>
  <c r="K92" i="16" s="1"/>
  <c r="F92" i="16"/>
  <c r="M91" i="16"/>
  <c r="J91" i="16"/>
  <c r="I91" i="16"/>
  <c r="H91" i="16"/>
  <c r="F91" i="16"/>
  <c r="M90" i="16"/>
  <c r="J90" i="16"/>
  <c r="I90" i="16"/>
  <c r="H90" i="16"/>
  <c r="K90" i="16" s="1"/>
  <c r="F90" i="16"/>
  <c r="M89" i="16"/>
  <c r="J89" i="16"/>
  <c r="I89" i="16"/>
  <c r="H89" i="16"/>
  <c r="K89" i="16" s="1"/>
  <c r="F89" i="16"/>
  <c r="M42" i="16"/>
  <c r="J42" i="16"/>
  <c r="I42" i="16"/>
  <c r="H42" i="16"/>
  <c r="K42" i="16" s="1"/>
  <c r="F42" i="16"/>
  <c r="M41" i="16"/>
  <c r="J41" i="16"/>
  <c r="I41" i="16"/>
  <c r="H41" i="16"/>
  <c r="F41" i="16"/>
  <c r="M40" i="16"/>
  <c r="J40" i="16"/>
  <c r="I40" i="16"/>
  <c r="H40" i="16"/>
  <c r="K40" i="16" s="1"/>
  <c r="F40" i="16"/>
  <c r="M39" i="16"/>
  <c r="J39" i="16"/>
  <c r="I39" i="16"/>
  <c r="H39" i="16"/>
  <c r="K39" i="16" s="1"/>
  <c r="F39" i="16"/>
  <c r="M38" i="16"/>
  <c r="J38" i="16"/>
  <c r="I38" i="16"/>
  <c r="H38" i="16"/>
  <c r="K38" i="16" s="1"/>
  <c r="F38" i="16"/>
  <c r="M37" i="16"/>
  <c r="J37" i="16"/>
  <c r="I37" i="16"/>
  <c r="H37" i="16"/>
  <c r="F37" i="16"/>
  <c r="M36" i="16"/>
  <c r="J36" i="16"/>
  <c r="I36" i="16"/>
  <c r="H36" i="16"/>
  <c r="K36" i="16" s="1"/>
  <c r="F36" i="16"/>
  <c r="M35" i="16"/>
  <c r="J35" i="16"/>
  <c r="I35" i="16"/>
  <c r="H35" i="16"/>
  <c r="K35" i="16" s="1"/>
  <c r="F35" i="16"/>
  <c r="M34" i="16"/>
  <c r="J34" i="16"/>
  <c r="I34" i="16"/>
  <c r="H34" i="16"/>
  <c r="K34" i="16" s="1"/>
  <c r="F34" i="16"/>
  <c r="M33" i="16"/>
  <c r="J33" i="16"/>
  <c r="I33" i="16"/>
  <c r="H33" i="16"/>
  <c r="F33" i="16"/>
  <c r="M32" i="16"/>
  <c r="J32" i="16"/>
  <c r="I32" i="16"/>
  <c r="H32" i="16"/>
  <c r="K32" i="16" s="1"/>
  <c r="F32" i="16"/>
  <c r="M31" i="16"/>
  <c r="J31" i="16"/>
  <c r="I31" i="16"/>
  <c r="H31" i="16"/>
  <c r="K31" i="16" s="1"/>
  <c r="F31" i="16"/>
  <c r="M30" i="16"/>
  <c r="J30" i="16"/>
  <c r="I30" i="16"/>
  <c r="H30" i="16"/>
  <c r="K30" i="16" s="1"/>
  <c r="F30" i="16"/>
  <c r="M29" i="16"/>
  <c r="J29" i="16"/>
  <c r="I29" i="16"/>
  <c r="H29" i="16"/>
  <c r="F29" i="16"/>
  <c r="M28" i="16"/>
  <c r="J28" i="16"/>
  <c r="I28" i="16"/>
  <c r="H28" i="16"/>
  <c r="K28" i="16" s="1"/>
  <c r="F28" i="16"/>
  <c r="M27" i="16"/>
  <c r="J27" i="16"/>
  <c r="I27" i="16"/>
  <c r="H27" i="16"/>
  <c r="K27" i="16" s="1"/>
  <c r="F27" i="16"/>
  <c r="M26" i="16"/>
  <c r="J26" i="16"/>
  <c r="I26" i="16"/>
  <c r="H26" i="16"/>
  <c r="K26" i="16" s="1"/>
  <c r="F26" i="16"/>
  <c r="M25" i="16"/>
  <c r="J25" i="16"/>
  <c r="I25" i="16"/>
  <c r="H25" i="16"/>
  <c r="F25" i="16"/>
  <c r="M24" i="16"/>
  <c r="J24" i="16"/>
  <c r="I24" i="16"/>
  <c r="H24" i="16"/>
  <c r="K24" i="16" s="1"/>
  <c r="F24" i="16"/>
  <c r="M23" i="16"/>
  <c r="J23" i="16"/>
  <c r="I23" i="16"/>
  <c r="H23" i="16"/>
  <c r="K23" i="16" s="1"/>
  <c r="F23" i="16"/>
  <c r="M22" i="16"/>
  <c r="J22" i="16"/>
  <c r="I22" i="16"/>
  <c r="H22" i="16"/>
  <c r="K22" i="16" s="1"/>
  <c r="F22" i="16"/>
  <c r="M21" i="16"/>
  <c r="J21" i="16"/>
  <c r="I21" i="16"/>
  <c r="H21" i="16"/>
  <c r="F21" i="16"/>
  <c r="M20" i="16"/>
  <c r="J20" i="16"/>
  <c r="I20" i="16"/>
  <c r="H20" i="16"/>
  <c r="K20" i="16" s="1"/>
  <c r="F20" i="16"/>
  <c r="M19" i="16"/>
  <c r="J19" i="16"/>
  <c r="I19" i="16"/>
  <c r="H19" i="16"/>
  <c r="K19" i="16" s="1"/>
  <c r="F19" i="16"/>
  <c r="M18" i="16"/>
  <c r="J18" i="16"/>
  <c r="I18" i="16"/>
  <c r="H18" i="16"/>
  <c r="K18" i="16" s="1"/>
  <c r="F18" i="16"/>
  <c r="M17" i="16"/>
  <c r="J17" i="16"/>
  <c r="I17" i="16"/>
  <c r="H17" i="16"/>
  <c r="F17" i="16"/>
  <c r="M16" i="16"/>
  <c r="J16" i="16"/>
  <c r="I16" i="16"/>
  <c r="H16" i="16"/>
  <c r="K16" i="16" s="1"/>
  <c r="F16" i="16"/>
  <c r="M15" i="16"/>
  <c r="J15" i="16"/>
  <c r="I15" i="16"/>
  <c r="H15" i="16"/>
  <c r="K15" i="16" s="1"/>
  <c r="F15" i="16"/>
  <c r="M14" i="16"/>
  <c r="J14" i="16"/>
  <c r="I14" i="16"/>
  <c r="H14" i="16"/>
  <c r="F14" i="16"/>
  <c r="M13" i="16"/>
  <c r="J13" i="16"/>
  <c r="I13" i="16"/>
  <c r="H13" i="16"/>
  <c r="F13" i="16"/>
  <c r="M12" i="16"/>
  <c r="J12" i="16"/>
  <c r="I12" i="16"/>
  <c r="H12" i="16"/>
  <c r="K12" i="16" s="1"/>
  <c r="F12" i="16"/>
  <c r="M11" i="16"/>
  <c r="J11" i="16"/>
  <c r="I11" i="16"/>
  <c r="H11" i="16"/>
  <c r="K11" i="16" s="1"/>
  <c r="F11" i="16"/>
  <c r="M10" i="16"/>
  <c r="J10" i="16"/>
  <c r="I10" i="16"/>
  <c r="H10" i="16"/>
  <c r="F10" i="16"/>
  <c r="M9" i="16"/>
  <c r="J9" i="16"/>
  <c r="I9" i="16"/>
  <c r="H9" i="16"/>
  <c r="F9" i="16"/>
  <c r="M8" i="16"/>
  <c r="J8" i="16"/>
  <c r="I8" i="16"/>
  <c r="H8" i="16"/>
  <c r="K8" i="16" s="1"/>
  <c r="F8" i="16"/>
  <c r="M7" i="16"/>
  <c r="J7" i="16"/>
  <c r="I7" i="16"/>
  <c r="H7" i="16"/>
  <c r="K7" i="16" s="1"/>
  <c r="F7" i="16"/>
  <c r="M6" i="16"/>
  <c r="J6" i="16"/>
  <c r="I6" i="16"/>
  <c r="H6" i="16"/>
  <c r="F6" i="16"/>
  <c r="M114" i="17"/>
  <c r="J114" i="17"/>
  <c r="I114" i="17"/>
  <c r="H114" i="17"/>
  <c r="F114" i="17"/>
  <c r="M113" i="17"/>
  <c r="J113" i="17"/>
  <c r="I113" i="17"/>
  <c r="H113" i="17"/>
  <c r="F113" i="17"/>
  <c r="M112" i="17"/>
  <c r="J112" i="17"/>
  <c r="I112" i="17"/>
  <c r="H112" i="17"/>
  <c r="F112" i="17"/>
  <c r="M111" i="17"/>
  <c r="J111" i="17"/>
  <c r="I111" i="17"/>
  <c r="H111" i="17"/>
  <c r="F111" i="17"/>
  <c r="M110" i="17"/>
  <c r="J110" i="17"/>
  <c r="I110" i="17"/>
  <c r="H110" i="17"/>
  <c r="F110" i="17"/>
  <c r="M109" i="17"/>
  <c r="J109" i="17"/>
  <c r="I109" i="17"/>
  <c r="H109" i="17"/>
  <c r="F109" i="17"/>
  <c r="M108" i="17"/>
  <c r="J108" i="17"/>
  <c r="I108" i="17"/>
  <c r="H108" i="17"/>
  <c r="F108" i="17"/>
  <c r="M107" i="17"/>
  <c r="J107" i="17"/>
  <c r="I107" i="17"/>
  <c r="H107" i="17"/>
  <c r="M22" i="5" l="1"/>
  <c r="M21" i="5"/>
  <c r="K6" i="16"/>
  <c r="N6" i="16" s="1"/>
  <c r="K10" i="16"/>
  <c r="N10" i="16" s="1"/>
  <c r="K14" i="16"/>
  <c r="K9" i="16"/>
  <c r="K13" i="16"/>
  <c r="N13" i="16" s="1"/>
  <c r="K17" i="16"/>
  <c r="N17" i="16" s="1"/>
  <c r="K21" i="16"/>
  <c r="K25" i="16"/>
  <c r="N25" i="16" s="1"/>
  <c r="K29" i="16"/>
  <c r="N29" i="16" s="1"/>
  <c r="K37" i="16"/>
  <c r="K41" i="16"/>
  <c r="K91" i="16"/>
  <c r="K235" i="16"/>
  <c r="N235" i="16" s="1"/>
  <c r="K111" i="17"/>
  <c r="N111" i="17" s="1"/>
  <c r="K108" i="17"/>
  <c r="N108" i="17" s="1"/>
  <c r="K112" i="17"/>
  <c r="N112" i="17" s="1"/>
  <c r="N9" i="16"/>
  <c r="N15" i="16"/>
  <c r="N19" i="16"/>
  <c r="N23" i="16"/>
  <c r="N27" i="16"/>
  <c r="N31" i="16"/>
  <c r="K114" i="17"/>
  <c r="N114" i="17" s="1"/>
  <c r="N7" i="16"/>
  <c r="N11" i="16"/>
  <c r="N21" i="16"/>
  <c r="K110" i="17"/>
  <c r="N110" i="17" s="1"/>
  <c r="N35" i="16"/>
  <c r="N37" i="16"/>
  <c r="N39" i="16"/>
  <c r="N41" i="16"/>
  <c r="N89" i="16"/>
  <c r="N91" i="16"/>
  <c r="N231" i="16"/>
  <c r="N237" i="16"/>
  <c r="N239" i="16"/>
  <c r="K109" i="17"/>
  <c r="N109" i="17" s="1"/>
  <c r="K113" i="17"/>
  <c r="N113" i="17" s="1"/>
  <c r="N8" i="16"/>
  <c r="N12" i="16"/>
  <c r="N14" i="16"/>
  <c r="N16" i="16"/>
  <c r="N18" i="16"/>
  <c r="N20" i="16"/>
  <c r="N22" i="16"/>
  <c r="N24" i="16"/>
  <c r="N26" i="16"/>
  <c r="N28" i="16"/>
  <c r="N30" i="16"/>
  <c r="N32" i="16"/>
  <c r="K33" i="16"/>
  <c r="N33" i="16" s="1"/>
  <c r="N34" i="16"/>
  <c r="N36" i="16"/>
  <c r="N38" i="16"/>
  <c r="N40" i="16"/>
  <c r="N42" i="16"/>
  <c r="N90" i="16"/>
  <c r="N92" i="16"/>
  <c r="N234" i="16"/>
  <c r="N236" i="16"/>
  <c r="N238" i="16"/>
  <c r="F107" i="17"/>
  <c r="K107" i="17" s="1"/>
  <c r="N107" i="17" s="1"/>
  <c r="M105" i="17"/>
  <c r="J105" i="17"/>
  <c r="I105" i="17"/>
  <c r="H105" i="17"/>
  <c r="F105" i="17"/>
  <c r="M104" i="17"/>
  <c r="J104" i="17"/>
  <c r="I104" i="17"/>
  <c r="H104" i="17"/>
  <c r="K104" i="17" s="1"/>
  <c r="F104" i="17"/>
  <c r="M103" i="17"/>
  <c r="N104" i="17" l="1"/>
  <c r="K105" i="17"/>
  <c r="N105" i="17" s="1"/>
  <c r="J103" i="17"/>
  <c r="I103" i="17"/>
  <c r="F103" i="17"/>
  <c r="M102" i="17"/>
  <c r="J102" i="17"/>
  <c r="I102" i="17"/>
  <c r="H102" i="17"/>
  <c r="K102" i="17" s="1"/>
  <c r="F102" i="17"/>
  <c r="M100" i="17"/>
  <c r="J100" i="17"/>
  <c r="I100" i="17"/>
  <c r="H100" i="17"/>
  <c r="K100" i="17" s="1"/>
  <c r="F100" i="17"/>
  <c r="M98" i="17"/>
  <c r="J98" i="17"/>
  <c r="I98" i="17"/>
  <c r="H98" i="17"/>
  <c r="F98" i="17"/>
  <c r="M97" i="17"/>
  <c r="J97" i="17"/>
  <c r="I97" i="17"/>
  <c r="H97" i="17"/>
  <c r="K97" i="17" s="1"/>
  <c r="F97" i="17"/>
  <c r="M96" i="17"/>
  <c r="J96" i="17"/>
  <c r="I96" i="17"/>
  <c r="H96" i="17"/>
  <c r="K96" i="17" s="1"/>
  <c r="F96" i="17"/>
  <c r="M95" i="17"/>
  <c r="J95" i="17"/>
  <c r="I95" i="17"/>
  <c r="H95" i="17"/>
  <c r="K95" i="17" s="1"/>
  <c r="F95" i="17"/>
  <c r="M94" i="17"/>
  <c r="J94" i="17"/>
  <c r="I94" i="17"/>
  <c r="F94" i="17"/>
  <c r="M93" i="17"/>
  <c r="J93" i="17"/>
  <c r="I93" i="17"/>
  <c r="F93" i="17"/>
  <c r="M92" i="17"/>
  <c r="J92" i="17"/>
  <c r="I92" i="17"/>
  <c r="H92" i="17"/>
  <c r="F92" i="17"/>
  <c r="M91" i="17"/>
  <c r="J91" i="17"/>
  <c r="I91" i="17"/>
  <c r="H91" i="17"/>
  <c r="K91" i="17" s="1"/>
  <c r="F91" i="17"/>
  <c r="M90" i="17"/>
  <c r="J90" i="17"/>
  <c r="I90" i="17"/>
  <c r="H90" i="17"/>
  <c r="K90" i="17" s="1"/>
  <c r="F90" i="17"/>
  <c r="M89" i="17"/>
  <c r="J89" i="17"/>
  <c r="I89" i="17"/>
  <c r="H89" i="17"/>
  <c r="K89" i="17" s="1"/>
  <c r="F89" i="17"/>
  <c r="M87" i="17"/>
  <c r="J87" i="17"/>
  <c r="I87" i="17"/>
  <c r="H87" i="17"/>
  <c r="F87" i="17"/>
  <c r="M86" i="17"/>
  <c r="J86" i="17"/>
  <c r="I86" i="17"/>
  <c r="H86" i="17"/>
  <c r="K86" i="17" s="1"/>
  <c r="F86" i="17"/>
  <c r="M85" i="17"/>
  <c r="J85" i="17"/>
  <c r="I85" i="17"/>
  <c r="H85" i="17"/>
  <c r="K85" i="17" s="1"/>
  <c r="F85" i="17"/>
  <c r="M84" i="17"/>
  <c r="J84" i="17"/>
  <c r="I84" i="17"/>
  <c r="H84" i="17"/>
  <c r="K84" i="17" s="1"/>
  <c r="F84" i="17"/>
  <c r="M83" i="17"/>
  <c r="J83" i="17"/>
  <c r="I83" i="17"/>
  <c r="H83" i="17"/>
  <c r="F83" i="17"/>
  <c r="M82" i="17"/>
  <c r="J82" i="17"/>
  <c r="I82" i="17"/>
  <c r="H82" i="17"/>
  <c r="K82" i="17" s="1"/>
  <c r="F82" i="17"/>
  <c r="M81" i="17"/>
  <c r="J81" i="17"/>
  <c r="I81" i="17"/>
  <c r="H81" i="17"/>
  <c r="K81" i="17" s="1"/>
  <c r="F81" i="17"/>
  <c r="M80" i="17"/>
  <c r="J80" i="17"/>
  <c r="I80" i="17"/>
  <c r="H80" i="17"/>
  <c r="K80" i="17" s="1"/>
  <c r="F80" i="17"/>
  <c r="M79" i="17"/>
  <c r="J79" i="17"/>
  <c r="I79" i="17"/>
  <c r="H79" i="17"/>
  <c r="F79" i="17"/>
  <c r="M78" i="17"/>
  <c r="J78" i="17"/>
  <c r="I78" i="17"/>
  <c r="H78" i="17"/>
  <c r="K78" i="17" s="1"/>
  <c r="F78" i="17"/>
  <c r="M77" i="17"/>
  <c r="J77" i="17"/>
  <c r="I77" i="17"/>
  <c r="H77" i="17"/>
  <c r="K77" i="17" s="1"/>
  <c r="F77" i="17"/>
  <c r="M76" i="17"/>
  <c r="J76" i="17"/>
  <c r="I76" i="17"/>
  <c r="H76" i="17"/>
  <c r="K76" i="17" s="1"/>
  <c r="F76" i="17"/>
  <c r="M75" i="17"/>
  <c r="J75" i="17"/>
  <c r="I75" i="17"/>
  <c r="H75" i="17"/>
  <c r="F75" i="17"/>
  <c r="M74" i="17"/>
  <c r="J74" i="17"/>
  <c r="I74" i="17"/>
  <c r="H74" i="17"/>
  <c r="K74" i="17" s="1"/>
  <c r="F74" i="17"/>
  <c r="M73" i="17"/>
  <c r="J73" i="17"/>
  <c r="I73" i="17"/>
  <c r="H73" i="17"/>
  <c r="K73" i="17" s="1"/>
  <c r="F73" i="17"/>
  <c r="M72" i="17"/>
  <c r="J72" i="17"/>
  <c r="I72" i="17"/>
  <c r="H72" i="17"/>
  <c r="K72" i="17" s="1"/>
  <c r="F72" i="17"/>
  <c r="M71" i="17"/>
  <c r="J71" i="17"/>
  <c r="I71" i="17"/>
  <c r="H71" i="17"/>
  <c r="F71" i="17"/>
  <c r="M70" i="17"/>
  <c r="J70" i="17"/>
  <c r="I70" i="17"/>
  <c r="H70" i="17"/>
  <c r="K70" i="17" s="1"/>
  <c r="F70" i="17"/>
  <c r="M69" i="17"/>
  <c r="J69" i="17"/>
  <c r="I69" i="17"/>
  <c r="H69" i="17"/>
  <c r="K69" i="17" s="1"/>
  <c r="F69" i="17"/>
  <c r="M68" i="17"/>
  <c r="J68" i="17"/>
  <c r="I68" i="17"/>
  <c r="H68" i="17"/>
  <c r="K68" i="17" s="1"/>
  <c r="F68" i="17"/>
  <c r="M67" i="17"/>
  <c r="J67" i="17"/>
  <c r="I67" i="17"/>
  <c r="H67" i="17"/>
  <c r="F67" i="17"/>
  <c r="M65" i="17"/>
  <c r="J65" i="17"/>
  <c r="I65" i="17"/>
  <c r="H65" i="17"/>
  <c r="K65" i="17" s="1"/>
  <c r="F65" i="17"/>
  <c r="M63" i="17"/>
  <c r="J63" i="17"/>
  <c r="I63" i="17"/>
  <c r="H63" i="17"/>
  <c r="K63" i="17" s="1"/>
  <c r="F63" i="17"/>
  <c r="M61" i="17"/>
  <c r="J61" i="17"/>
  <c r="I61" i="17"/>
  <c r="H61" i="17"/>
  <c r="K61" i="17" s="1"/>
  <c r="F61" i="17"/>
  <c r="M59" i="17"/>
  <c r="J59" i="17"/>
  <c r="I59" i="17"/>
  <c r="H59" i="17"/>
  <c r="F59" i="17"/>
  <c r="M57" i="17"/>
  <c r="J57" i="17"/>
  <c r="I57" i="17"/>
  <c r="H57" i="17"/>
  <c r="K57" i="17" s="1"/>
  <c r="F57" i="17"/>
  <c r="M55" i="17"/>
  <c r="J55" i="17"/>
  <c r="I55" i="17"/>
  <c r="H55" i="17"/>
  <c r="K55" i="17" s="1"/>
  <c r="F55" i="17"/>
  <c r="M53" i="17"/>
  <c r="J53" i="17"/>
  <c r="I53" i="17"/>
  <c r="H53" i="17"/>
  <c r="K53" i="17" s="1"/>
  <c r="F53" i="17"/>
  <c r="M51" i="17"/>
  <c r="J51" i="17"/>
  <c r="I51" i="17"/>
  <c r="H51" i="17"/>
  <c r="F51" i="17"/>
  <c r="M50" i="17"/>
  <c r="J50" i="17"/>
  <c r="I50" i="17"/>
  <c r="H50" i="17"/>
  <c r="K50" i="17" s="1"/>
  <c r="F50" i="17"/>
  <c r="M49" i="17"/>
  <c r="J49" i="17"/>
  <c r="I49" i="17"/>
  <c r="H49" i="17"/>
  <c r="K49" i="17" s="1"/>
  <c r="F49" i="17"/>
  <c r="M48" i="17"/>
  <c r="J48" i="17"/>
  <c r="I48" i="17"/>
  <c r="H48" i="17"/>
  <c r="K48" i="17" s="1"/>
  <c r="F48" i="17"/>
  <c r="M47" i="17"/>
  <c r="J47" i="17"/>
  <c r="I47" i="17"/>
  <c r="H47" i="17"/>
  <c r="F47" i="17"/>
  <c r="M45" i="17"/>
  <c r="K47" i="17" l="1"/>
  <c r="N47" i="17" s="1"/>
  <c r="K51" i="17"/>
  <c r="K59" i="17"/>
  <c r="N59" i="17" s="1"/>
  <c r="K67" i="17"/>
  <c r="N67" i="17" s="1"/>
  <c r="K71" i="17"/>
  <c r="N71" i="17" s="1"/>
  <c r="K75" i="17"/>
  <c r="K79" i="17"/>
  <c r="K83" i="17"/>
  <c r="N83" i="17" s="1"/>
  <c r="K87" i="17"/>
  <c r="N87" i="17" s="1"/>
  <c r="K92" i="17"/>
  <c r="N92" i="17" s="1"/>
  <c r="K98" i="17"/>
  <c r="N51" i="17"/>
  <c r="N73" i="17"/>
  <c r="N77" i="17"/>
  <c r="N81" i="17"/>
  <c r="N85" i="17"/>
  <c r="N90" i="17"/>
  <c r="N98" i="17"/>
  <c r="N102" i="17"/>
  <c r="N48" i="17"/>
  <c r="N50" i="17"/>
  <c r="N53" i="17"/>
  <c r="N57" i="17"/>
  <c r="N61" i="17"/>
  <c r="N65" i="17"/>
  <c r="N68" i="17"/>
  <c r="N70" i="17"/>
  <c r="N72" i="17"/>
  <c r="N74" i="17"/>
  <c r="N76" i="17"/>
  <c r="N78" i="17"/>
  <c r="N80" i="17"/>
  <c r="N82" i="17"/>
  <c r="N84" i="17"/>
  <c r="N86" i="17"/>
  <c r="N89" i="17"/>
  <c r="N91" i="17"/>
  <c r="N95" i="17"/>
  <c r="N97" i="17"/>
  <c r="N100" i="17"/>
  <c r="N49" i="17"/>
  <c r="N55" i="17"/>
  <c r="N63" i="17"/>
  <c r="N69" i="17"/>
  <c r="N75" i="17"/>
  <c r="N79" i="17"/>
  <c r="N96" i="17"/>
  <c r="J45" i="17"/>
  <c r="I45" i="17"/>
  <c r="H45" i="17"/>
  <c r="K45" i="17" s="1"/>
  <c r="N45" i="17" s="1"/>
  <c r="F45" i="17"/>
  <c r="M44" i="17"/>
  <c r="J44" i="17"/>
  <c r="I44" i="17"/>
  <c r="H44" i="17"/>
  <c r="K44" i="17" s="1"/>
  <c r="F44" i="17"/>
  <c r="M43" i="17"/>
  <c r="J43" i="17"/>
  <c r="I43" i="17"/>
  <c r="H43" i="17"/>
  <c r="F43" i="17"/>
  <c r="M42" i="17"/>
  <c r="J42" i="17"/>
  <c r="I42" i="17"/>
  <c r="H42" i="17"/>
  <c r="F42" i="17"/>
  <c r="M41" i="17"/>
  <c r="J41" i="17"/>
  <c r="I41" i="17"/>
  <c r="F41" i="17"/>
  <c r="M40" i="17"/>
  <c r="J40" i="17"/>
  <c r="I40" i="17"/>
  <c r="F40" i="17"/>
  <c r="J39" i="17"/>
  <c r="I39" i="17"/>
  <c r="H39" i="17"/>
  <c r="F39" i="17"/>
  <c r="M38" i="17"/>
  <c r="J38" i="17"/>
  <c r="I38" i="17"/>
  <c r="H38" i="17"/>
  <c r="K38" i="17" s="1"/>
  <c r="F38" i="17"/>
  <c r="M37" i="17"/>
  <c r="J37" i="17"/>
  <c r="I37" i="17"/>
  <c r="H37" i="17"/>
  <c r="K37" i="17" s="1"/>
  <c r="F37" i="17"/>
  <c r="M36" i="17"/>
  <c r="J36" i="17"/>
  <c r="I36" i="17"/>
  <c r="H36" i="17"/>
  <c r="F36" i="17"/>
  <c r="M35" i="17"/>
  <c r="J35" i="17"/>
  <c r="I35" i="17"/>
  <c r="H35" i="17"/>
  <c r="F35" i="17"/>
  <c r="M34" i="17"/>
  <c r="J34" i="17"/>
  <c r="I34" i="17"/>
  <c r="H34" i="17"/>
  <c r="K34" i="17" s="1"/>
  <c r="F34" i="17"/>
  <c r="M33" i="17"/>
  <c r="J33" i="17"/>
  <c r="I33" i="17"/>
  <c r="H33" i="17"/>
  <c r="F33" i="17"/>
  <c r="M32" i="17"/>
  <c r="J32" i="17"/>
  <c r="I32" i="17"/>
  <c r="H32" i="17"/>
  <c r="F32" i="17"/>
  <c r="M30" i="17"/>
  <c r="J30" i="17"/>
  <c r="I30" i="17"/>
  <c r="H30" i="17"/>
  <c r="F30" i="17"/>
  <c r="M29" i="17"/>
  <c r="J29" i="17"/>
  <c r="I29" i="17"/>
  <c r="H29" i="17"/>
  <c r="K29" i="17" s="1"/>
  <c r="F29" i="17"/>
  <c r="M28" i="17"/>
  <c r="J28" i="17"/>
  <c r="I28" i="17"/>
  <c r="H28" i="17"/>
  <c r="F28" i="17"/>
  <c r="M27" i="17"/>
  <c r="J27" i="17"/>
  <c r="I27" i="17"/>
  <c r="H27" i="17"/>
  <c r="F27" i="17"/>
  <c r="M26" i="17"/>
  <c r="J26" i="17"/>
  <c r="I26" i="17"/>
  <c r="H26" i="17"/>
  <c r="F26" i="17"/>
  <c r="M25" i="17"/>
  <c r="J25" i="17"/>
  <c r="I25" i="17"/>
  <c r="H25" i="17"/>
  <c r="K25" i="17" s="1"/>
  <c r="F25" i="17"/>
  <c r="M24" i="17"/>
  <c r="J24" i="17"/>
  <c r="I24" i="17"/>
  <c r="H24" i="17"/>
  <c r="F24" i="17"/>
  <c r="M23" i="17"/>
  <c r="J23" i="17"/>
  <c r="I23" i="17"/>
  <c r="H23" i="17"/>
  <c r="F23" i="17"/>
  <c r="M22" i="17"/>
  <c r="J22" i="17"/>
  <c r="I22" i="17"/>
  <c r="H22" i="17"/>
  <c r="F22" i="17"/>
  <c r="M21" i="17"/>
  <c r="J21" i="17"/>
  <c r="I21" i="17"/>
  <c r="H21" i="17"/>
  <c r="K21" i="17" s="1"/>
  <c r="F21" i="17"/>
  <c r="M20" i="17"/>
  <c r="J20" i="17"/>
  <c r="I20" i="17"/>
  <c r="H20" i="17"/>
  <c r="F20" i="17"/>
  <c r="M19" i="17"/>
  <c r="J19" i="17"/>
  <c r="I19" i="17"/>
  <c r="H19" i="17"/>
  <c r="F19" i="17"/>
  <c r="M18" i="17"/>
  <c r="J18" i="17"/>
  <c r="I18" i="17"/>
  <c r="H18" i="17"/>
  <c r="F18" i="17"/>
  <c r="M17" i="17"/>
  <c r="J17" i="17"/>
  <c r="I17" i="17"/>
  <c r="H17" i="17"/>
  <c r="K17" i="17" s="1"/>
  <c r="F17" i="17"/>
  <c r="M16" i="17"/>
  <c r="J16" i="17"/>
  <c r="I16" i="17"/>
  <c r="H16" i="17"/>
  <c r="F16" i="17"/>
  <c r="M15" i="17"/>
  <c r="J15" i="17"/>
  <c r="I15" i="17"/>
  <c r="H15" i="17"/>
  <c r="F15" i="17"/>
  <c r="M14" i="17"/>
  <c r="J14" i="17"/>
  <c r="I14" i="17"/>
  <c r="H14" i="17"/>
  <c r="F14" i="17"/>
  <c r="M13" i="17"/>
  <c r="J13" i="17"/>
  <c r="I13" i="17"/>
  <c r="H13" i="17"/>
  <c r="K13" i="17" s="1"/>
  <c r="F13" i="17"/>
  <c r="M12" i="17"/>
  <c r="J12" i="17"/>
  <c r="I12" i="17"/>
  <c r="H12" i="17"/>
  <c r="F12" i="17"/>
  <c r="M11" i="17"/>
  <c r="J11" i="17"/>
  <c r="I11" i="17"/>
  <c r="H11" i="17"/>
  <c r="F11" i="17"/>
  <c r="M10" i="17"/>
  <c r="J10" i="17"/>
  <c r="I10" i="17"/>
  <c r="H10" i="17"/>
  <c r="F10" i="17"/>
  <c r="M9" i="17"/>
  <c r="J9" i="17"/>
  <c r="I9" i="17"/>
  <c r="H9" i="17"/>
  <c r="K9" i="17" s="1"/>
  <c r="F9" i="17"/>
  <c r="M8" i="17"/>
  <c r="J8" i="17"/>
  <c r="I8" i="17"/>
  <c r="H8" i="17"/>
  <c r="F8" i="17"/>
  <c r="M7" i="17"/>
  <c r="J7" i="17"/>
  <c r="I7" i="17"/>
  <c r="H7" i="17"/>
  <c r="F7" i="17"/>
  <c r="M6" i="17"/>
  <c r="J6" i="17"/>
  <c r="I6" i="17"/>
  <c r="H6" i="17"/>
  <c r="F6" i="17"/>
  <c r="M5" i="17"/>
  <c r="J5" i="17"/>
  <c r="I5" i="17"/>
  <c r="H5" i="17"/>
  <c r="K5" i="17" s="1"/>
  <c r="F5" i="17"/>
  <c r="M40" i="8"/>
  <c r="J40" i="8"/>
  <c r="I40" i="8"/>
  <c r="H40" i="8"/>
  <c r="F40" i="8"/>
  <c r="M39" i="8"/>
  <c r="J39" i="8"/>
  <c r="I39" i="8"/>
  <c r="H39" i="8"/>
  <c r="F39" i="8"/>
  <c r="M38" i="8"/>
  <c r="J38" i="8"/>
  <c r="I38" i="8"/>
  <c r="H38" i="8"/>
  <c r="F38" i="8"/>
  <c r="M37" i="8"/>
  <c r="J37" i="8"/>
  <c r="I37" i="8"/>
  <c r="H37" i="8"/>
  <c r="F37" i="8"/>
  <c r="M36" i="8"/>
  <c r="J36" i="8"/>
  <c r="I36" i="8"/>
  <c r="H36" i="8"/>
  <c r="F36" i="8"/>
  <c r="J35" i="8"/>
  <c r="I35" i="8"/>
  <c r="H35" i="8"/>
  <c r="F35" i="8"/>
  <c r="M34" i="8"/>
  <c r="J34" i="8"/>
  <c r="I34" i="8"/>
  <c r="H34" i="8"/>
  <c r="F34" i="8"/>
  <c r="M33" i="8"/>
  <c r="K34" i="8" l="1"/>
  <c r="K6" i="17"/>
  <c r="K14" i="17"/>
  <c r="N14" i="17" s="1"/>
  <c r="K22" i="17"/>
  <c r="K30" i="17"/>
  <c r="N30" i="17" s="1"/>
  <c r="K11" i="17"/>
  <c r="N11" i="17" s="1"/>
  <c r="K15" i="17"/>
  <c r="N15" i="17" s="1"/>
  <c r="K19" i="17"/>
  <c r="N19" i="17" s="1"/>
  <c r="K23" i="17"/>
  <c r="N23" i="17" s="1"/>
  <c r="K27" i="17"/>
  <c r="K32" i="17"/>
  <c r="K36" i="17"/>
  <c r="K43" i="17"/>
  <c r="K40" i="8"/>
  <c r="N40" i="8" s="1"/>
  <c r="K10" i="17"/>
  <c r="K18" i="17"/>
  <c r="N18" i="17" s="1"/>
  <c r="K26" i="17"/>
  <c r="N26" i="17" s="1"/>
  <c r="K35" i="17"/>
  <c r="K39" i="17"/>
  <c r="N39" i="17" s="1"/>
  <c r="K42" i="17"/>
  <c r="N42" i="17" s="1"/>
  <c r="N34" i="8"/>
  <c r="K36" i="8"/>
  <c r="K38" i="8"/>
  <c r="N38" i="8" s="1"/>
  <c r="K7" i="17"/>
  <c r="N7" i="17" s="1"/>
  <c r="K39" i="8"/>
  <c r="N39" i="8" s="1"/>
  <c r="K8" i="17"/>
  <c r="N8" i="17" s="1"/>
  <c r="K12" i="17"/>
  <c r="K16" i="17"/>
  <c r="N16" i="17" s="1"/>
  <c r="K20" i="17"/>
  <c r="K24" i="17"/>
  <c r="N24" i="17" s="1"/>
  <c r="K28" i="17"/>
  <c r="N28" i="17" s="1"/>
  <c r="K33" i="17"/>
  <c r="N36" i="8"/>
  <c r="K37" i="8"/>
  <c r="N37" i="8" s="1"/>
  <c r="N38" i="17"/>
  <c r="N36" i="17"/>
  <c r="N44" i="17"/>
  <c r="N43" i="17"/>
  <c r="N5" i="17"/>
  <c r="N9" i="17"/>
  <c r="N13" i="17"/>
  <c r="N17" i="17"/>
  <c r="N21" i="17"/>
  <c r="N25" i="17"/>
  <c r="N27" i="17"/>
  <c r="N29" i="17"/>
  <c r="N32" i="17"/>
  <c r="N34" i="17"/>
  <c r="N6" i="17"/>
  <c r="N10" i="17"/>
  <c r="N12" i="17"/>
  <c r="N20" i="17"/>
  <c r="N22" i="17"/>
  <c r="N33" i="17"/>
  <c r="N35" i="17"/>
  <c r="N37" i="17"/>
  <c r="J33" i="8"/>
  <c r="I33" i="8"/>
  <c r="H33" i="8"/>
  <c r="F33" i="8" l="1"/>
  <c r="K33" i="8" l="1"/>
  <c r="N33" i="8" s="1"/>
  <c r="M32" i="8"/>
  <c r="J32" i="8"/>
  <c r="I32" i="8"/>
  <c r="H32" i="8"/>
  <c r="F32" i="8"/>
  <c r="M31" i="8"/>
  <c r="J31" i="8"/>
  <c r="I31" i="8"/>
  <c r="H31" i="8"/>
  <c r="F31" i="8"/>
  <c r="M30" i="8"/>
  <c r="J30" i="8"/>
  <c r="I30" i="8"/>
  <c r="H30" i="8"/>
  <c r="F30" i="8"/>
  <c r="K30" i="8" s="1"/>
  <c r="M29" i="8"/>
  <c r="J29" i="8"/>
  <c r="I29" i="8"/>
  <c r="H29" i="8"/>
  <c r="F29" i="8"/>
  <c r="M28" i="8"/>
  <c r="J28" i="8"/>
  <c r="I28" i="8"/>
  <c r="H28" i="8"/>
  <c r="F28" i="8"/>
  <c r="M27" i="8"/>
  <c r="J27" i="8"/>
  <c r="I27" i="8"/>
  <c r="H27" i="8"/>
  <c r="F27" i="8"/>
  <c r="M26" i="8"/>
  <c r="J26" i="8"/>
  <c r="I26" i="8"/>
  <c r="H26" i="8"/>
  <c r="F26" i="8"/>
  <c r="M25" i="8"/>
  <c r="J25" i="8"/>
  <c r="I25" i="8"/>
  <c r="H25" i="8"/>
  <c r="F25" i="8"/>
  <c r="M24" i="8"/>
  <c r="J24" i="8"/>
  <c r="I24" i="8"/>
  <c r="H24" i="8"/>
  <c r="F24" i="8"/>
  <c r="K24" i="8" s="1"/>
  <c r="M23" i="8"/>
  <c r="J23" i="8"/>
  <c r="I23" i="8"/>
  <c r="H23" i="8"/>
  <c r="F23" i="8"/>
  <c r="M22" i="8"/>
  <c r="J22" i="8"/>
  <c r="I22" i="8"/>
  <c r="H22" i="8"/>
  <c r="F22" i="8"/>
  <c r="M21" i="8"/>
  <c r="J21" i="8"/>
  <c r="I21" i="8"/>
  <c r="H21" i="8"/>
  <c r="F21" i="8"/>
  <c r="M20" i="8"/>
  <c r="J20" i="8"/>
  <c r="I20" i="8"/>
  <c r="H20" i="8"/>
  <c r="F20" i="8"/>
  <c r="M19" i="8"/>
  <c r="J19" i="8"/>
  <c r="I19" i="8"/>
  <c r="H19" i="8"/>
  <c r="F19" i="8"/>
  <c r="M18" i="8"/>
  <c r="J18" i="8"/>
  <c r="I18" i="8"/>
  <c r="H18" i="8"/>
  <c r="F18" i="8"/>
  <c r="M17" i="8"/>
  <c r="J17" i="8"/>
  <c r="I17" i="8"/>
  <c r="H17" i="8"/>
  <c r="F17" i="8"/>
  <c r="M16" i="8"/>
  <c r="J16" i="8"/>
  <c r="I16" i="8"/>
  <c r="H16" i="8"/>
  <c r="F16" i="8"/>
  <c r="M15" i="8"/>
  <c r="J15" i="8"/>
  <c r="I15" i="8"/>
  <c r="H15" i="8"/>
  <c r="F15" i="8"/>
  <c r="M14" i="8"/>
  <c r="K16" i="8" l="1"/>
  <c r="K18" i="8"/>
  <c r="N18" i="8" s="1"/>
  <c r="K20" i="8"/>
  <c r="K22" i="8"/>
  <c r="K26" i="8"/>
  <c r="N26" i="8" s="1"/>
  <c r="N27" i="8"/>
  <c r="K28" i="8"/>
  <c r="N31" i="8"/>
  <c r="K32" i="8"/>
  <c r="N32" i="8" s="1"/>
  <c r="K15" i="8"/>
  <c r="N15" i="8" s="1"/>
  <c r="N16" i="8"/>
  <c r="K17" i="8"/>
  <c r="N17" i="8" s="1"/>
  <c r="K19" i="8"/>
  <c r="N19" i="8" s="1"/>
  <c r="N20" i="8"/>
  <c r="K21" i="8"/>
  <c r="N21" i="8" s="1"/>
  <c r="N22" i="8"/>
  <c r="K23" i="8"/>
  <c r="N23" i="8" s="1"/>
  <c r="N24" i="8"/>
  <c r="K25" i="8"/>
  <c r="N25" i="8" s="1"/>
  <c r="K27" i="8"/>
  <c r="N28" i="8"/>
  <c r="K29" i="8"/>
  <c r="N29" i="8" s="1"/>
  <c r="N30" i="8"/>
  <c r="K31" i="8"/>
  <c r="J14" i="8"/>
  <c r="I14" i="8"/>
  <c r="H14" i="8"/>
  <c r="F14" i="8"/>
  <c r="K14" i="8" s="1"/>
  <c r="N14" i="8" s="1"/>
  <c r="AI553" i="7"/>
  <c r="S553" i="7" l="1"/>
  <c r="AA553" i="7"/>
  <c r="K553" i="7"/>
  <c r="S551" i="7"/>
  <c r="S550" i="7"/>
  <c r="K547" i="7"/>
  <c r="AI546" i="7"/>
  <c r="AQ543" i="7"/>
  <c r="S542" i="7"/>
  <c r="K541" i="7"/>
  <c r="AI538" i="7"/>
  <c r="AI537" i="7"/>
  <c r="AI536" i="7"/>
  <c r="K535" i="7"/>
  <c r="AA534" i="7"/>
  <c r="K537" i="7" l="1"/>
  <c r="S538" i="7"/>
  <c r="P538" i="7" s="1"/>
  <c r="AI541" i="7"/>
  <c r="S537" i="7"/>
  <c r="N537" i="7" s="1"/>
  <c r="S546" i="7"/>
  <c r="P546" i="7" s="1"/>
  <c r="AA546" i="7"/>
  <c r="AI543" i="7"/>
  <c r="S536" i="7"/>
  <c r="Q536" i="7" s="1"/>
  <c r="K550" i="7"/>
  <c r="J535" i="7"/>
  <c r="I535" i="7" s="1"/>
  <c r="H535" i="7"/>
  <c r="G535" i="7"/>
  <c r="N542" i="7"/>
  <c r="O542" i="7"/>
  <c r="P542" i="7"/>
  <c r="P551" i="7"/>
  <c r="O551" i="7"/>
  <c r="Q551" i="7"/>
  <c r="H541" i="7"/>
  <c r="G541" i="7"/>
  <c r="I541" i="7"/>
  <c r="AI542" i="7"/>
  <c r="K543" i="7"/>
  <c r="S541" i="7"/>
  <c r="Q541" i="7" s="1"/>
  <c r="AA541" i="7"/>
  <c r="AQ542" i="7"/>
  <c r="AA543" i="7"/>
  <c r="K546" i="7"/>
  <c r="AQ546" i="7"/>
  <c r="AA550" i="7"/>
  <c r="AQ551" i="7"/>
  <c r="AA542" i="7"/>
  <c r="K551" i="7"/>
  <c r="AI551" i="7"/>
  <c r="AI550" i="7"/>
  <c r="AA551" i="7"/>
  <c r="AA537" i="7"/>
  <c r="K542" i="7"/>
  <c r="J542" i="7" s="1"/>
  <c r="S543" i="7"/>
  <c r="N543" i="7" s="1"/>
  <c r="K540" i="7"/>
  <c r="AI540" i="7"/>
  <c r="S540" i="7"/>
  <c r="AQ545" i="7"/>
  <c r="AI545" i="7"/>
  <c r="AA545" i="7"/>
  <c r="S545" i="7"/>
  <c r="K545" i="7"/>
  <c r="I547" i="7"/>
  <c r="H547" i="7" s="1"/>
  <c r="J547" i="7"/>
  <c r="G547" i="7"/>
  <c r="AQ540" i="7"/>
  <c r="P550" i="7"/>
  <c r="Q550" i="7"/>
  <c r="N550" i="7"/>
  <c r="O550" i="7"/>
  <c r="AI534" i="7"/>
  <c r="S534" i="7"/>
  <c r="AQ549" i="7"/>
  <c r="AI549" i="7"/>
  <c r="AA549" i="7"/>
  <c r="S549" i="7"/>
  <c r="K549" i="7"/>
  <c r="AA540" i="7"/>
  <c r="K534" i="7"/>
  <c r="AQ539" i="7"/>
  <c r="AI539" i="7"/>
  <c r="AA539" i="7"/>
  <c r="S539" i="7"/>
  <c r="K539" i="7"/>
  <c r="K552" i="7"/>
  <c r="AI552" i="7"/>
  <c r="S552" i="7"/>
  <c r="AQ552" i="7"/>
  <c r="AA552" i="7"/>
  <c r="Q542" i="7"/>
  <c r="AQ544" i="7"/>
  <c r="AI544" i="7"/>
  <c r="AA544" i="7"/>
  <c r="S544" i="7"/>
  <c r="K544" i="7"/>
  <c r="AQ548" i="7"/>
  <c r="AI548" i="7"/>
  <c r="AA548" i="7"/>
  <c r="S548" i="7"/>
  <c r="K548" i="7"/>
  <c r="K536" i="7"/>
  <c r="AA536" i="7"/>
  <c r="AQ536" i="7"/>
  <c r="K538" i="7"/>
  <c r="AA538" i="7"/>
  <c r="AQ538" i="7"/>
  <c r="J541" i="7"/>
  <c r="I553" i="7"/>
  <c r="H553" i="7"/>
  <c r="G553" i="7" s="1"/>
  <c r="J553" i="7"/>
  <c r="Q553" i="7"/>
  <c r="P553" i="7"/>
  <c r="N553" i="7"/>
  <c r="O553" i="7"/>
  <c r="S547" i="7"/>
  <c r="AA547" i="7"/>
  <c r="AI547" i="7"/>
  <c r="AQ547" i="7"/>
  <c r="S535" i="7"/>
  <c r="AA535" i="7"/>
  <c r="AI535" i="7"/>
  <c r="AQ535" i="7"/>
  <c r="N551" i="7"/>
  <c r="S533" i="7"/>
  <c r="K531" i="7"/>
  <c r="I531" i="7" s="1"/>
  <c r="H531" i="7" s="1"/>
  <c r="AQ530" i="7"/>
  <c r="AI529" i="7"/>
  <c r="AQ527" i="7"/>
  <c r="AA526" i="7"/>
  <c r="AI525" i="7"/>
  <c r="K524" i="7"/>
  <c r="K523" i="7"/>
  <c r="J523" i="7" s="1"/>
  <c r="Q537" i="7" l="1"/>
  <c r="N538" i="7"/>
  <c r="O538" i="7"/>
  <c r="I546" i="7"/>
  <c r="N541" i="7"/>
  <c r="P541" i="7"/>
  <c r="H546" i="7"/>
  <c r="O537" i="7"/>
  <c r="P537" i="7"/>
  <c r="AA529" i="7"/>
  <c r="I537" i="7"/>
  <c r="J550" i="7"/>
  <c r="Q546" i="7"/>
  <c r="G537" i="7"/>
  <c r="H550" i="7"/>
  <c r="H537" i="7"/>
  <c r="I550" i="7"/>
  <c r="N546" i="7"/>
  <c r="J537" i="7"/>
  <c r="G550" i="7"/>
  <c r="O546" i="7"/>
  <c r="K529" i="7"/>
  <c r="G529" i="7" s="1"/>
  <c r="Q538" i="7"/>
  <c r="H542" i="7"/>
  <c r="AA533" i="7"/>
  <c r="K533" i="7"/>
  <c r="I533" i="7" s="1"/>
  <c r="H533" i="7" s="1"/>
  <c r="G546" i="7"/>
  <c r="I542" i="7"/>
  <c r="J546" i="7"/>
  <c r="G542" i="7"/>
  <c r="O541" i="7"/>
  <c r="P536" i="7"/>
  <c r="O536" i="7"/>
  <c r="N536" i="7" s="1"/>
  <c r="Q533" i="7"/>
  <c r="P533" i="7"/>
  <c r="J524" i="7"/>
  <c r="H524" i="7"/>
  <c r="G524" i="7" s="1"/>
  <c r="I524" i="7"/>
  <c r="P543" i="7"/>
  <c r="Q543" i="7"/>
  <c r="O543" i="7"/>
  <c r="J551" i="7"/>
  <c r="I551" i="7" s="1"/>
  <c r="G551" i="7"/>
  <c r="H551" i="7"/>
  <c r="J543" i="7"/>
  <c r="H543" i="7"/>
  <c r="G543" i="7" s="1"/>
  <c r="I543" i="7"/>
  <c r="S525" i="7"/>
  <c r="AI527" i="7"/>
  <c r="S526" i="7"/>
  <c r="AA527" i="7"/>
  <c r="AQ529" i="7"/>
  <c r="AI530" i="7"/>
  <c r="K525" i="7"/>
  <c r="I525" i="7" s="1"/>
  <c r="H525" i="7" s="1"/>
  <c r="AA525" i="7"/>
  <c r="AQ525" i="7"/>
  <c r="K527" i="7"/>
  <c r="G527" i="7" s="1"/>
  <c r="S527" i="7"/>
  <c r="S529" i="7"/>
  <c r="AI526" i="7"/>
  <c r="S530" i="7"/>
  <c r="G531" i="7"/>
  <c r="K526" i="7"/>
  <c r="K530" i="7"/>
  <c r="H530" i="7" s="1"/>
  <c r="AA530" i="7"/>
  <c r="O535" i="7"/>
  <c r="N535" i="7" s="1"/>
  <c r="Q535" i="7"/>
  <c r="P535" i="7"/>
  <c r="I539" i="7"/>
  <c r="H539" i="7" s="1"/>
  <c r="J539" i="7"/>
  <c r="G539" i="7"/>
  <c r="H534" i="7"/>
  <c r="G534" i="7"/>
  <c r="I534" i="7"/>
  <c r="J534" i="7"/>
  <c r="P545" i="7"/>
  <c r="Q545" i="7"/>
  <c r="O545" i="7"/>
  <c r="N545" i="7"/>
  <c r="J538" i="7"/>
  <c r="G538" i="7"/>
  <c r="H538" i="7"/>
  <c r="I538" i="7"/>
  <c r="J544" i="7"/>
  <c r="G544" i="7"/>
  <c r="H544" i="7"/>
  <c r="I544" i="7"/>
  <c r="G545" i="7"/>
  <c r="H545" i="7"/>
  <c r="J545" i="7"/>
  <c r="I545" i="7" s="1"/>
  <c r="AQ533" i="7"/>
  <c r="AI533" i="7"/>
  <c r="N547" i="7"/>
  <c r="O547" i="7"/>
  <c r="Q547" i="7"/>
  <c r="P547" i="7" s="1"/>
  <c r="O548" i="7"/>
  <c r="N548" i="7" s="1"/>
  <c r="P548" i="7"/>
  <c r="Q548" i="7"/>
  <c r="G552" i="7"/>
  <c r="J552" i="7"/>
  <c r="I552" i="7"/>
  <c r="H552" i="7" s="1"/>
  <c r="P534" i="7"/>
  <c r="N534" i="7"/>
  <c r="O534" i="7"/>
  <c r="Q534" i="7"/>
  <c r="AI532" i="7"/>
  <c r="I523" i="7"/>
  <c r="O533" i="7"/>
  <c r="K528" i="7"/>
  <c r="J531" i="7"/>
  <c r="S531" i="7"/>
  <c r="AA531" i="7"/>
  <c r="AI531" i="7"/>
  <c r="AQ531" i="7"/>
  <c r="N533" i="7"/>
  <c r="O544" i="7"/>
  <c r="N544" i="7" s="1"/>
  <c r="P544" i="7"/>
  <c r="Q544" i="7"/>
  <c r="P552" i="7"/>
  <c r="Q552" i="7"/>
  <c r="O552" i="7"/>
  <c r="N552" i="7" s="1"/>
  <c r="G549" i="7"/>
  <c r="I549" i="7"/>
  <c r="H549" i="7" s="1"/>
  <c r="J549" i="7"/>
  <c r="G536" i="7"/>
  <c r="J536" i="7"/>
  <c r="I536" i="7"/>
  <c r="H536" i="7" s="1"/>
  <c r="G540" i="7"/>
  <c r="H540" i="7"/>
  <c r="I540" i="7"/>
  <c r="J540" i="7"/>
  <c r="J548" i="7"/>
  <c r="G548" i="7"/>
  <c r="H548" i="7"/>
  <c r="I548" i="7"/>
  <c r="O539" i="7"/>
  <c r="N539" i="7"/>
  <c r="P539" i="7"/>
  <c r="Q539" i="7"/>
  <c r="P549" i="7"/>
  <c r="Q549" i="7"/>
  <c r="O549" i="7"/>
  <c r="N549" i="7"/>
  <c r="P540" i="7"/>
  <c r="O540" i="7"/>
  <c r="N540" i="7" s="1"/>
  <c r="Q540" i="7"/>
  <c r="S532" i="7"/>
  <c r="AA532" i="7"/>
  <c r="AQ532" i="7"/>
  <c r="S523" i="7"/>
  <c r="AA523" i="7"/>
  <c r="AI523" i="7"/>
  <c r="AQ523" i="7"/>
  <c r="H523" i="7"/>
  <c r="K522" i="7"/>
  <c r="S522" i="7"/>
  <c r="AA522" i="7"/>
  <c r="AI522" i="7"/>
  <c r="AQ522" i="7"/>
  <c r="G523" i="7"/>
  <c r="S524" i="7"/>
  <c r="AA524" i="7"/>
  <c r="AI524" i="7"/>
  <c r="AQ524" i="7"/>
  <c r="S528" i="7"/>
  <c r="AA528" i="7"/>
  <c r="AI528" i="7"/>
  <c r="AQ528" i="7"/>
  <c r="K532" i="7"/>
  <c r="S521" i="7"/>
  <c r="AI519" i="7"/>
  <c r="AI518" i="7"/>
  <c r="K514" i="7"/>
  <c r="H514" i="7" s="1"/>
  <c r="K513" i="7"/>
  <c r="AI512" i="7"/>
  <c r="AQ509" i="7"/>
  <c r="AI508" i="7"/>
  <c r="K506" i="7"/>
  <c r="K505" i="7"/>
  <c r="J529" i="7" l="1"/>
  <c r="I529" i="7" s="1"/>
  <c r="J525" i="7"/>
  <c r="N526" i="7"/>
  <c r="J533" i="7"/>
  <c r="G533" i="7"/>
  <c r="N529" i="7"/>
  <c r="AA519" i="7"/>
  <c r="K508" i="7"/>
  <c r="H508" i="7" s="1"/>
  <c r="S519" i="7"/>
  <c r="O519" i="7" s="1"/>
  <c r="H529" i="7"/>
  <c r="K509" i="7"/>
  <c r="I509" i="7" s="1"/>
  <c r="S512" i="7"/>
  <c r="O512" i="7" s="1"/>
  <c r="Q529" i="7"/>
  <c r="AQ508" i="7"/>
  <c r="I530" i="7"/>
  <c r="Q526" i="7"/>
  <c r="AA508" i="7"/>
  <c r="AA512" i="7"/>
  <c r="Q521" i="7"/>
  <c r="P521" i="7"/>
  <c r="J513" i="7"/>
  <c r="H513" i="7"/>
  <c r="G513" i="7" s="1"/>
  <c r="I513" i="7"/>
  <c r="H506" i="7"/>
  <c r="G506" i="7"/>
  <c r="J505" i="7"/>
  <c r="I505" i="7"/>
  <c r="H505" i="7"/>
  <c r="G505" i="7" s="1"/>
  <c r="H526" i="7"/>
  <c r="G526" i="7"/>
  <c r="P530" i="7"/>
  <c r="O530" i="7"/>
  <c r="I527" i="7"/>
  <c r="H527" i="7"/>
  <c r="P525" i="7"/>
  <c r="O525" i="7"/>
  <c r="Q527" i="7"/>
  <c r="O527" i="7"/>
  <c r="N527" i="7" s="1"/>
  <c r="P527" i="7"/>
  <c r="G525" i="7"/>
  <c r="AA521" i="7"/>
  <c r="G514" i="7"/>
  <c r="S518" i="7"/>
  <c r="K521" i="7"/>
  <c r="J521" i="7" s="1"/>
  <c r="AI521" i="7"/>
  <c r="S508" i="7"/>
  <c r="K519" i="7"/>
  <c r="AQ519" i="7"/>
  <c r="G530" i="7"/>
  <c r="Q530" i="7"/>
  <c r="J530" i="7"/>
  <c r="N525" i="7"/>
  <c r="P529" i="7"/>
  <c r="O529" i="7"/>
  <c r="P526" i="7"/>
  <c r="O526" i="7"/>
  <c r="AA518" i="7"/>
  <c r="I526" i="7"/>
  <c r="K518" i="7"/>
  <c r="H518" i="7" s="1"/>
  <c r="J527" i="7"/>
  <c r="J526" i="7"/>
  <c r="Q525" i="7"/>
  <c r="N530" i="7"/>
  <c r="J528" i="7"/>
  <c r="H528" i="7"/>
  <c r="I528" i="7"/>
  <c r="G528" i="7"/>
  <c r="O524" i="7"/>
  <c r="N524" i="7" s="1"/>
  <c r="Q524" i="7"/>
  <c r="P524" i="7"/>
  <c r="N531" i="7"/>
  <c r="P531" i="7"/>
  <c r="O531" i="7" s="1"/>
  <c r="Q531" i="7"/>
  <c r="AQ507" i="7"/>
  <c r="AA520" i="7"/>
  <c r="AI520" i="7"/>
  <c r="AQ520" i="7"/>
  <c r="K510" i="7"/>
  <c r="S510" i="7"/>
  <c r="AA510" i="7"/>
  <c r="AI510" i="7"/>
  <c r="AQ510" i="7"/>
  <c r="AA514" i="7"/>
  <c r="AI514" i="7"/>
  <c r="AQ514" i="7"/>
  <c r="N521" i="7"/>
  <c r="O522" i="7"/>
  <c r="Q522" i="7"/>
  <c r="P522" i="7"/>
  <c r="N522" i="7"/>
  <c r="Q523" i="7"/>
  <c r="O523" i="7"/>
  <c r="N523" i="7" s="1"/>
  <c r="P523" i="7"/>
  <c r="J532" i="7"/>
  <c r="H532" i="7"/>
  <c r="G532" i="7" s="1"/>
  <c r="I532" i="7"/>
  <c r="O528" i="7"/>
  <c r="N528" i="7" s="1"/>
  <c r="Q528" i="7"/>
  <c r="P528" i="7"/>
  <c r="G522" i="7"/>
  <c r="H522" i="7"/>
  <c r="I522" i="7"/>
  <c r="J522" i="7"/>
  <c r="P532" i="7"/>
  <c r="Q532" i="7"/>
  <c r="O532" i="7"/>
  <c r="N532" i="7" s="1"/>
  <c r="S507" i="7"/>
  <c r="AA507" i="7"/>
  <c r="AI507" i="7"/>
  <c r="S520" i="7"/>
  <c r="O521" i="7"/>
  <c r="J506" i="7"/>
  <c r="I506" i="7" s="1"/>
  <c r="S506" i="7"/>
  <c r="AA506" i="7"/>
  <c r="AI506" i="7"/>
  <c r="AQ506" i="7"/>
  <c r="S509" i="7"/>
  <c r="AA509" i="7"/>
  <c r="AI509" i="7"/>
  <c r="K511" i="7"/>
  <c r="J514" i="7"/>
  <c r="I514" i="7" s="1"/>
  <c r="S514" i="7"/>
  <c r="S505" i="7"/>
  <c r="AA505" i="7"/>
  <c r="AI505" i="7"/>
  <c r="K507" i="7"/>
  <c r="S511" i="7"/>
  <c r="AA511" i="7"/>
  <c r="AI511" i="7"/>
  <c r="AQ511" i="7"/>
  <c r="K512" i="7"/>
  <c r="S513" i="7"/>
  <c r="AA513" i="7"/>
  <c r="AI513" i="7"/>
  <c r="K515" i="7"/>
  <c r="S515" i="7"/>
  <c r="AA515" i="7"/>
  <c r="AI515" i="7"/>
  <c r="AQ515" i="7"/>
  <c r="K516" i="7"/>
  <c r="S516" i="7"/>
  <c r="AA516" i="7"/>
  <c r="AI516" i="7"/>
  <c r="AQ516" i="7"/>
  <c r="K517" i="7"/>
  <c r="S517" i="7"/>
  <c r="AA517" i="7"/>
  <c r="AI517" i="7"/>
  <c r="K520" i="7"/>
  <c r="K503" i="7"/>
  <c r="AA502" i="7"/>
  <c r="K500" i="7"/>
  <c r="AI499" i="7"/>
  <c r="K498" i="7"/>
  <c r="AI497" i="7"/>
  <c r="K494" i="7"/>
  <c r="K490" i="7"/>
  <c r="K487" i="7"/>
  <c r="K486" i="7"/>
  <c r="AI485" i="7"/>
  <c r="S484" i="7"/>
  <c r="K482" i="7"/>
  <c r="AA481" i="7"/>
  <c r="AQ480" i="7"/>
  <c r="AI479" i="7"/>
  <c r="S477" i="7"/>
  <c r="AQ476" i="7"/>
  <c r="AQ475" i="7"/>
  <c r="K474" i="7"/>
  <c r="AI473" i="7"/>
  <c r="K471" i="7"/>
  <c r="J471" i="7" s="1"/>
  <c r="I471" i="7" s="1"/>
  <c r="AI470" i="7"/>
  <c r="K469" i="7"/>
  <c r="AI468" i="7"/>
  <c r="AQ467" i="7"/>
  <c r="AQ466" i="7"/>
  <c r="K465" i="7"/>
  <c r="AI464" i="7"/>
  <c r="AI463" i="7"/>
  <c r="AQ462" i="7"/>
  <c r="S461" i="7"/>
  <c r="K460" i="7"/>
  <c r="K459" i="7"/>
  <c r="K458" i="7"/>
  <c r="AI457" i="7"/>
  <c r="AI456" i="7"/>
  <c r="AA455" i="7"/>
  <c r="K454" i="7"/>
  <c r="S453" i="7"/>
  <c r="K451" i="7"/>
  <c r="AI450" i="7"/>
  <c r="AA447" i="7"/>
  <c r="J508" i="7" l="1"/>
  <c r="I508" i="7"/>
  <c r="G508" i="7"/>
  <c r="J509" i="7"/>
  <c r="N519" i="7"/>
  <c r="K468" i="7"/>
  <c r="I468" i="7" s="1"/>
  <c r="P519" i="7"/>
  <c r="H509" i="7"/>
  <c r="G509" i="7" s="1"/>
  <c r="Q519" i="7"/>
  <c r="S470" i="7"/>
  <c r="N470" i="7" s="1"/>
  <c r="AI460" i="7"/>
  <c r="K463" i="7"/>
  <c r="G463" i="7" s="1"/>
  <c r="AA497" i="7"/>
  <c r="AA499" i="7"/>
  <c r="S497" i="7"/>
  <c r="K499" i="7"/>
  <c r="K447" i="7"/>
  <c r="G447" i="7" s="1"/>
  <c r="AQ453" i="7"/>
  <c r="S464" i="7"/>
  <c r="O464" i="7" s="1"/>
  <c r="AI477" i="7"/>
  <c r="AA479" i="7"/>
  <c r="N512" i="7"/>
  <c r="K453" i="7"/>
  <c r="AI455" i="7"/>
  <c r="AQ461" i="7"/>
  <c r="K466" i="7"/>
  <c r="AA468" i="7"/>
  <c r="S479" i="7"/>
  <c r="P479" i="7" s="1"/>
  <c r="S485" i="7"/>
  <c r="Q512" i="7"/>
  <c r="P512" i="7" s="1"/>
  <c r="AQ502" i="7"/>
  <c r="AA450" i="7"/>
  <c r="AI462" i="7"/>
  <c r="AQ463" i="7"/>
  <c r="AQ484" i="7"/>
  <c r="S502" i="7"/>
  <c r="S447" i="7"/>
  <c r="Q447" i="7" s="1"/>
  <c r="S450" i="7"/>
  <c r="P450" i="7" s="1"/>
  <c r="AA462" i="7"/>
  <c r="AA463" i="7"/>
  <c r="AA464" i="7"/>
  <c r="AQ468" i="7"/>
  <c r="S473" i="7"/>
  <c r="Q473" i="7" s="1"/>
  <c r="K484" i="7"/>
  <c r="H484" i="7" s="1"/>
  <c r="AA485" i="7"/>
  <c r="AQ499" i="7"/>
  <c r="K502" i="7"/>
  <c r="I502" i="7" s="1"/>
  <c r="H502" i="7" s="1"/>
  <c r="J474" i="7"/>
  <c r="J482" i="7"/>
  <c r="G482" i="7"/>
  <c r="H482" i="7"/>
  <c r="J486" i="7"/>
  <c r="H486" i="7"/>
  <c r="I486" i="7"/>
  <c r="J500" i="7"/>
  <c r="I500" i="7" s="1"/>
  <c r="G500" i="7"/>
  <c r="H500" i="7"/>
  <c r="J458" i="7"/>
  <c r="H458" i="7"/>
  <c r="G458" i="7" s="1"/>
  <c r="I458" i="7"/>
  <c r="J498" i="7"/>
  <c r="G498" i="7"/>
  <c r="I498" i="7"/>
  <c r="H498" i="7" s="1"/>
  <c r="J503" i="7"/>
  <c r="I503" i="7"/>
  <c r="H503" i="7" s="1"/>
  <c r="G503" i="7"/>
  <c r="I465" i="7"/>
  <c r="H465" i="7"/>
  <c r="G465" i="7" s="1"/>
  <c r="H469" i="7"/>
  <c r="G469" i="7"/>
  <c r="J490" i="7"/>
  <c r="H490" i="7"/>
  <c r="I490" i="7"/>
  <c r="Q461" i="7"/>
  <c r="N461" i="7"/>
  <c r="P461" i="7"/>
  <c r="O461" i="7" s="1"/>
  <c r="J451" i="7"/>
  <c r="I451" i="7"/>
  <c r="H451" i="7" s="1"/>
  <c r="G451" i="7"/>
  <c r="I460" i="7"/>
  <c r="H460" i="7"/>
  <c r="P518" i="7"/>
  <c r="O518" i="7"/>
  <c r="P508" i="7"/>
  <c r="O508" i="7"/>
  <c r="S467" i="7"/>
  <c r="AI476" i="7"/>
  <c r="AI481" i="7"/>
  <c r="AI453" i="7"/>
  <c r="AQ455" i="7"/>
  <c r="AQ456" i="7"/>
  <c r="S460" i="7"/>
  <c r="O460" i="7" s="1"/>
  <c r="AI467" i="7"/>
  <c r="S480" i="7"/>
  <c r="AI480" i="7"/>
  <c r="K481" i="7"/>
  <c r="H481" i="7" s="1"/>
  <c r="AI484" i="7"/>
  <c r="J518" i="7"/>
  <c r="AI447" i="7"/>
  <c r="K450" i="7"/>
  <c r="J450" i="7" s="1"/>
  <c r="AA453" i="7"/>
  <c r="S455" i="7"/>
  <c r="Q455" i="7" s="1"/>
  <c r="P455" i="7" s="1"/>
  <c r="S456" i="7"/>
  <c r="AA457" i="7"/>
  <c r="AA460" i="7"/>
  <c r="AQ460" i="7"/>
  <c r="AA461" i="7"/>
  <c r="S462" i="7"/>
  <c r="S463" i="7"/>
  <c r="O463" i="7" s="1"/>
  <c r="K464" i="7"/>
  <c r="H464" i="7" s="1"/>
  <c r="AQ464" i="7"/>
  <c r="K467" i="7"/>
  <c r="G467" i="7" s="1"/>
  <c r="S476" i="7"/>
  <c r="N476" i="7" s="1"/>
  <c r="AA476" i="7"/>
  <c r="K479" i="7"/>
  <c r="G479" i="7" s="1"/>
  <c r="AQ479" i="7"/>
  <c r="S481" i="7"/>
  <c r="AA484" i="7"/>
  <c r="K485" i="7"/>
  <c r="I485" i="7" s="1"/>
  <c r="AQ485" i="7"/>
  <c r="AQ497" i="7"/>
  <c r="AI502" i="7"/>
  <c r="G518" i="7"/>
  <c r="J519" i="7"/>
  <c r="I519" i="7" s="1"/>
  <c r="H519" i="7"/>
  <c r="G519" i="7"/>
  <c r="I521" i="7"/>
  <c r="H521" i="7"/>
  <c r="G521" i="7" s="1"/>
  <c r="K476" i="7"/>
  <c r="J476" i="7" s="1"/>
  <c r="AA456" i="7"/>
  <c r="S457" i="7"/>
  <c r="N457" i="7" s="1"/>
  <c r="AQ457" i="7"/>
  <c r="AI461" i="7"/>
  <c r="AA467" i="7"/>
  <c r="K480" i="7"/>
  <c r="H480" i="7" s="1"/>
  <c r="AA480" i="7"/>
  <c r="AQ481" i="7"/>
  <c r="Q518" i="7"/>
  <c r="K456" i="7"/>
  <c r="J456" i="7" s="1"/>
  <c r="K457" i="7"/>
  <c r="J457" i="7" s="1"/>
  <c r="K461" i="7"/>
  <c r="S468" i="7"/>
  <c r="S499" i="7"/>
  <c r="O499" i="7" s="1"/>
  <c r="N499" i="7" s="1"/>
  <c r="N518" i="7"/>
  <c r="N508" i="7"/>
  <c r="I518" i="7"/>
  <c r="Q508" i="7"/>
  <c r="AI449" i="7"/>
  <c r="AA449" i="7"/>
  <c r="S449" i="7"/>
  <c r="K449" i="7"/>
  <c r="P453" i="7"/>
  <c r="Q453" i="7"/>
  <c r="J454" i="7"/>
  <c r="H454" i="7"/>
  <c r="I454" i="7"/>
  <c r="K478" i="7"/>
  <c r="AQ478" i="7"/>
  <c r="AI478" i="7"/>
  <c r="AA478" i="7"/>
  <c r="S478" i="7"/>
  <c r="P484" i="7"/>
  <c r="Q484" i="7"/>
  <c r="N484" i="7"/>
  <c r="O484" i="7"/>
  <c r="G486" i="7"/>
  <c r="G490" i="7"/>
  <c r="K462" i="7"/>
  <c r="K475" i="7"/>
  <c r="AI475" i="7"/>
  <c r="S475" i="7"/>
  <c r="N477" i="7"/>
  <c r="P477" i="7"/>
  <c r="O477" i="7" s="1"/>
  <c r="Q477" i="7"/>
  <c r="G515" i="7"/>
  <c r="J515" i="7"/>
  <c r="I515" i="7" s="1"/>
  <c r="H515" i="7"/>
  <c r="J511" i="7"/>
  <c r="G511" i="7"/>
  <c r="H511" i="7"/>
  <c r="I511" i="7"/>
  <c r="P506" i="7"/>
  <c r="N506" i="7"/>
  <c r="O506" i="7"/>
  <c r="J510" i="7"/>
  <c r="G510" i="7"/>
  <c r="H510" i="7"/>
  <c r="I510" i="7"/>
  <c r="G454" i="7"/>
  <c r="AA475" i="7"/>
  <c r="AQ472" i="7"/>
  <c r="AI472" i="7"/>
  <c r="AA472" i="7"/>
  <c r="S472" i="7"/>
  <c r="K472" i="7"/>
  <c r="H459" i="7"/>
  <c r="G459" i="7" s="1"/>
  <c r="J459" i="7"/>
  <c r="I459" i="7"/>
  <c r="AI446" i="7"/>
  <c r="AA446" i="7"/>
  <c r="S446" i="7"/>
  <c r="K446" i="7"/>
  <c r="AA448" i="7"/>
  <c r="K448" i="7"/>
  <c r="AI448" i="7"/>
  <c r="S448" i="7"/>
  <c r="AQ452" i="7"/>
  <c r="AI452" i="7"/>
  <c r="AA452" i="7"/>
  <c r="S452" i="7"/>
  <c r="K452" i="7"/>
  <c r="K455" i="7"/>
  <c r="K483" i="7"/>
  <c r="AQ483" i="7"/>
  <c r="AI483" i="7"/>
  <c r="AA483" i="7"/>
  <c r="S483" i="7"/>
  <c r="O453" i="7"/>
  <c r="N453" i="7"/>
  <c r="AQ488" i="7"/>
  <c r="AI488" i="7"/>
  <c r="AA488" i="7"/>
  <c r="S488" i="7"/>
  <c r="K488" i="7"/>
  <c r="K489" i="7"/>
  <c r="AQ491" i="7"/>
  <c r="AI491" i="7"/>
  <c r="AA491" i="7"/>
  <c r="S491" i="7"/>
  <c r="K491" i="7"/>
  <c r="AQ492" i="7"/>
  <c r="AI492" i="7"/>
  <c r="AA492" i="7"/>
  <c r="S492" i="7"/>
  <c r="K492" i="7"/>
  <c r="AQ495" i="7"/>
  <c r="AI495" i="7"/>
  <c r="AA495" i="7"/>
  <c r="S495" i="7"/>
  <c r="K495" i="7"/>
  <c r="O509" i="7"/>
  <c r="N509" i="7" s="1"/>
  <c r="P509" i="7"/>
  <c r="Q509" i="7"/>
  <c r="S459" i="7"/>
  <c r="AA459" i="7"/>
  <c r="G460" i="7"/>
  <c r="S466" i="7"/>
  <c r="AI466" i="7"/>
  <c r="K477" i="7"/>
  <c r="K470" i="7"/>
  <c r="I487" i="7"/>
  <c r="H487" i="7" s="1"/>
  <c r="J487" i="7"/>
  <c r="I494" i="7"/>
  <c r="J494" i="7"/>
  <c r="AQ496" i="7"/>
  <c r="AI496" i="7"/>
  <c r="AA496" i="7"/>
  <c r="S496" i="7"/>
  <c r="K496" i="7"/>
  <c r="AQ504" i="7"/>
  <c r="AI504" i="7"/>
  <c r="AA504" i="7"/>
  <c r="S504" i="7"/>
  <c r="K504" i="7"/>
  <c r="J520" i="7"/>
  <c r="H520" i="7"/>
  <c r="I520" i="7"/>
  <c r="G520" i="7"/>
  <c r="AI459" i="7"/>
  <c r="S454" i="7"/>
  <c r="AA454" i="7"/>
  <c r="AI454" i="7"/>
  <c r="AQ454" i="7"/>
  <c r="J460" i="7"/>
  <c r="J465" i="7"/>
  <c r="S465" i="7"/>
  <c r="AA465" i="7"/>
  <c r="AI465" i="7"/>
  <c r="AA470" i="7"/>
  <c r="H471" i="7"/>
  <c r="K473" i="7"/>
  <c r="I474" i="7"/>
  <c r="AA477" i="7"/>
  <c r="AQ477" i="7"/>
  <c r="K493" i="7"/>
  <c r="S493" i="7"/>
  <c r="AA493" i="7"/>
  <c r="AI493" i="7"/>
  <c r="AQ493" i="7"/>
  <c r="J469" i="7"/>
  <c r="I469" i="7"/>
  <c r="AQ501" i="7"/>
  <c r="AI501" i="7"/>
  <c r="AA501" i="7"/>
  <c r="S501" i="7"/>
  <c r="K501" i="7"/>
  <c r="O517" i="7"/>
  <c r="Q517" i="7"/>
  <c r="N517" i="7"/>
  <c r="P517" i="7"/>
  <c r="G512" i="7"/>
  <c r="J512" i="7"/>
  <c r="H512" i="7"/>
  <c r="I512" i="7"/>
  <c r="N511" i="7"/>
  <c r="Q511" i="7"/>
  <c r="P511" i="7"/>
  <c r="O511" i="7" s="1"/>
  <c r="N505" i="7"/>
  <c r="P505" i="7"/>
  <c r="O505" i="7" s="1"/>
  <c r="Q505" i="7"/>
  <c r="AQ459" i="7"/>
  <c r="AA466" i="7"/>
  <c r="S451" i="7"/>
  <c r="AA451" i="7"/>
  <c r="AI451" i="7"/>
  <c r="AQ451" i="7"/>
  <c r="S458" i="7"/>
  <c r="AA458" i="7"/>
  <c r="AI458" i="7"/>
  <c r="AQ458" i="7"/>
  <c r="G471" i="7"/>
  <c r="AA473" i="7"/>
  <c r="AQ473" i="7"/>
  <c r="H474" i="7"/>
  <c r="G474" i="7" s="1"/>
  <c r="G487" i="7"/>
  <c r="S489" i="7"/>
  <c r="AA489" i="7"/>
  <c r="AI489" i="7"/>
  <c r="H494" i="7"/>
  <c r="G494" i="7" s="1"/>
  <c r="K497" i="7"/>
  <c r="G516" i="7"/>
  <c r="H516" i="7"/>
  <c r="I516" i="7"/>
  <c r="J516" i="7"/>
  <c r="O515" i="7"/>
  <c r="P515" i="7"/>
  <c r="Q515" i="7"/>
  <c r="N515" i="7"/>
  <c r="N513" i="7"/>
  <c r="O513" i="7"/>
  <c r="P513" i="7"/>
  <c r="O514" i="7"/>
  <c r="N514" i="7"/>
  <c r="P514" i="7"/>
  <c r="N510" i="7"/>
  <c r="O510" i="7"/>
  <c r="P510" i="7"/>
  <c r="Q510" i="7"/>
  <c r="S487" i="7"/>
  <c r="AA487" i="7"/>
  <c r="AI487" i="7"/>
  <c r="AQ487" i="7"/>
  <c r="S494" i="7"/>
  <c r="AA494" i="7"/>
  <c r="AI494" i="7"/>
  <c r="AQ494" i="7"/>
  <c r="G517" i="7"/>
  <c r="I517" i="7"/>
  <c r="H517" i="7"/>
  <c r="J517" i="7"/>
  <c r="O516" i="7"/>
  <c r="Q516" i="7"/>
  <c r="P516" i="7"/>
  <c r="N516" i="7"/>
  <c r="H507" i="7"/>
  <c r="J507" i="7"/>
  <c r="I507" i="7" s="1"/>
  <c r="G507" i="7"/>
  <c r="P520" i="7"/>
  <c r="Q520" i="7"/>
  <c r="O520" i="7"/>
  <c r="N520" i="7" s="1"/>
  <c r="O507" i="7"/>
  <c r="Q507" i="7"/>
  <c r="P507" i="7" s="1"/>
  <c r="N507" i="7"/>
  <c r="S469" i="7"/>
  <c r="AA469" i="7"/>
  <c r="AI469" i="7"/>
  <c r="AQ469" i="7"/>
  <c r="S471" i="7"/>
  <c r="AA471" i="7"/>
  <c r="AI471" i="7"/>
  <c r="AQ471" i="7"/>
  <c r="S474" i="7"/>
  <c r="AA474" i="7"/>
  <c r="AI474" i="7"/>
  <c r="AQ474" i="7"/>
  <c r="I482" i="7"/>
  <c r="S482" i="7"/>
  <c r="AA482" i="7"/>
  <c r="AI482" i="7"/>
  <c r="AQ482" i="7"/>
  <c r="S486" i="7"/>
  <c r="AA486" i="7"/>
  <c r="AI486" i="7"/>
  <c r="S490" i="7"/>
  <c r="AA490" i="7"/>
  <c r="AI490" i="7"/>
  <c r="AQ490" i="7"/>
  <c r="S498" i="7"/>
  <c r="AA498" i="7"/>
  <c r="AI498" i="7"/>
  <c r="S500" i="7"/>
  <c r="AA500" i="7"/>
  <c r="AI500" i="7"/>
  <c r="AQ500" i="7"/>
  <c r="S503" i="7"/>
  <c r="AA503" i="7"/>
  <c r="AI503" i="7"/>
  <c r="AQ503" i="7"/>
  <c r="K445" i="7"/>
  <c r="I445" i="7" s="1"/>
  <c r="K444" i="7"/>
  <c r="AI442" i="7"/>
  <c r="G499" i="7" l="1"/>
  <c r="H468" i="7"/>
  <c r="H499" i="7"/>
  <c r="P462" i="7"/>
  <c r="I480" i="7"/>
  <c r="Q468" i="7"/>
  <c r="I456" i="7"/>
  <c r="Q476" i="7"/>
  <c r="N497" i="7"/>
  <c r="G457" i="7"/>
  <c r="P502" i="7"/>
  <c r="N467" i="7"/>
  <c r="O467" i="7"/>
  <c r="O485" i="7"/>
  <c r="G453" i="7"/>
  <c r="H463" i="7"/>
  <c r="Q450" i="7"/>
  <c r="Q481" i="7"/>
  <c r="O497" i="7"/>
  <c r="P497" i="7"/>
  <c r="Q479" i="7"/>
  <c r="O476" i="7"/>
  <c r="J499" i="7"/>
  <c r="J468" i="7"/>
  <c r="I499" i="7"/>
  <c r="I447" i="7"/>
  <c r="H447" i="7" s="1"/>
  <c r="Q485" i="7"/>
  <c r="J502" i="7"/>
  <c r="J447" i="7"/>
  <c r="N485" i="7"/>
  <c r="G468" i="7"/>
  <c r="H466" i="7"/>
  <c r="G466" i="7" s="1"/>
  <c r="I463" i="7"/>
  <c r="N455" i="7"/>
  <c r="I466" i="7"/>
  <c r="O455" i="7"/>
  <c r="J466" i="7"/>
  <c r="I484" i="7"/>
  <c r="J463" i="7"/>
  <c r="Q470" i="7"/>
  <c r="I464" i="7"/>
  <c r="N464" i="7"/>
  <c r="P464" i="7"/>
  <c r="H453" i="7"/>
  <c r="J461" i="7"/>
  <c r="P470" i="7"/>
  <c r="O470" i="7" s="1"/>
  <c r="I453" i="7"/>
  <c r="I457" i="7"/>
  <c r="Q464" i="7"/>
  <c r="J453" i="7"/>
  <c r="N447" i="7"/>
  <c r="O502" i="7"/>
  <c r="N502" i="7" s="1"/>
  <c r="Q499" i="7"/>
  <c r="Q502" i="7"/>
  <c r="G464" i="7"/>
  <c r="G456" i="7"/>
  <c r="P456" i="7"/>
  <c r="I450" i="7"/>
  <c r="P485" i="7"/>
  <c r="G502" i="7"/>
  <c r="N479" i="7"/>
  <c r="O473" i="7"/>
  <c r="N473" i="7" s="1"/>
  <c r="N450" i="7"/>
  <c r="P473" i="7"/>
  <c r="O450" i="7"/>
  <c r="P476" i="7"/>
  <c r="H456" i="7"/>
  <c r="O479" i="7"/>
  <c r="P480" i="7"/>
  <c r="N460" i="7"/>
  <c r="Q480" i="7"/>
  <c r="J467" i="7"/>
  <c r="O447" i="7"/>
  <c r="N463" i="7"/>
  <c r="O462" i="7"/>
  <c r="H479" i="7"/>
  <c r="P447" i="7"/>
  <c r="G484" i="7"/>
  <c r="AI444" i="7"/>
  <c r="G461" i="7"/>
  <c r="N462" i="7"/>
  <c r="J479" i="7"/>
  <c r="J484" i="7"/>
  <c r="H444" i="7"/>
  <c r="G444" i="7"/>
  <c r="Q457" i="7"/>
  <c r="P457" i="7"/>
  <c r="O457" i="7" s="1"/>
  <c r="G481" i="7"/>
  <c r="G480" i="7"/>
  <c r="J480" i="7"/>
  <c r="P481" i="7"/>
  <c r="O481" i="7" s="1"/>
  <c r="N481" i="7"/>
  <c r="S442" i="7"/>
  <c r="AA444" i="7"/>
  <c r="G485" i="7"/>
  <c r="K442" i="7"/>
  <c r="J442" i="7" s="1"/>
  <c r="AA442" i="7"/>
  <c r="S444" i="7"/>
  <c r="P444" i="7" s="1"/>
  <c r="G445" i="7"/>
  <c r="P499" i="7"/>
  <c r="J481" i="7"/>
  <c r="I481" i="7"/>
  <c r="N456" i="7"/>
  <c r="G450" i="7"/>
  <c r="H485" i="7"/>
  <c r="P463" i="7"/>
  <c r="J464" i="7"/>
  <c r="Q456" i="7"/>
  <c r="H457" i="7"/>
  <c r="I461" i="7"/>
  <c r="H461" i="7"/>
  <c r="Q467" i="7"/>
  <c r="P467" i="7"/>
  <c r="N468" i="7"/>
  <c r="O468" i="7"/>
  <c r="P468" i="7"/>
  <c r="H476" i="7"/>
  <c r="G476" i="7"/>
  <c r="I476" i="7"/>
  <c r="I467" i="7"/>
  <c r="H467" i="7"/>
  <c r="O480" i="7"/>
  <c r="N480" i="7"/>
  <c r="Q460" i="7"/>
  <c r="P460" i="7"/>
  <c r="H445" i="7"/>
  <c r="J485" i="7"/>
  <c r="Q463" i="7"/>
  <c r="I479" i="7"/>
  <c r="O456" i="7"/>
  <c r="H450" i="7"/>
  <c r="J493" i="7"/>
  <c r="G493" i="7"/>
  <c r="H493" i="7"/>
  <c r="I493" i="7"/>
  <c r="Q466" i="7"/>
  <c r="N466" i="7"/>
  <c r="P466" i="7"/>
  <c r="O466" i="7" s="1"/>
  <c r="O503" i="7"/>
  <c r="N503" i="7" s="1"/>
  <c r="P503" i="7"/>
  <c r="Q503" i="7"/>
  <c r="N494" i="7"/>
  <c r="Q494" i="7"/>
  <c r="P494" i="7"/>
  <c r="O494" i="7" s="1"/>
  <c r="Q514" i="7"/>
  <c r="O501" i="7"/>
  <c r="P501" i="7"/>
  <c r="N501" i="7"/>
  <c r="Q501" i="7"/>
  <c r="P493" i="7"/>
  <c r="Q493" i="7"/>
  <c r="N493" i="7"/>
  <c r="O493" i="7"/>
  <c r="G473" i="7"/>
  <c r="J473" i="7"/>
  <c r="I473" i="7" s="1"/>
  <c r="H473" i="7"/>
  <c r="O496" i="7"/>
  <c r="P496" i="7"/>
  <c r="N496" i="7"/>
  <c r="Q496" i="7"/>
  <c r="O492" i="7"/>
  <c r="P492" i="7"/>
  <c r="Q492" i="7"/>
  <c r="N492" i="7"/>
  <c r="O452" i="7"/>
  <c r="P452" i="7"/>
  <c r="N452" i="7"/>
  <c r="Q452" i="7"/>
  <c r="Q462" i="7"/>
  <c r="G475" i="7"/>
  <c r="H475" i="7"/>
  <c r="I475" i="7"/>
  <c r="J475" i="7"/>
  <c r="H462" i="7"/>
  <c r="G462" i="7" s="1"/>
  <c r="I462" i="7"/>
  <c r="J462" i="7"/>
  <c r="G449" i="7"/>
  <c r="H449" i="7"/>
  <c r="I449" i="7"/>
  <c r="J449" i="7"/>
  <c r="N500" i="7"/>
  <c r="O500" i="7"/>
  <c r="P500" i="7"/>
  <c r="O487" i="7"/>
  <c r="N487" i="7" s="1"/>
  <c r="Q487" i="7"/>
  <c r="P487" i="7"/>
  <c r="Q513" i="7"/>
  <c r="J495" i="7"/>
  <c r="G495" i="7"/>
  <c r="I495" i="7"/>
  <c r="H495" i="7"/>
  <c r="H455" i="7"/>
  <c r="G455" i="7" s="1"/>
  <c r="I455" i="7"/>
  <c r="J455" i="7"/>
  <c r="N448" i="7"/>
  <c r="O448" i="7"/>
  <c r="P448" i="7"/>
  <c r="Q448" i="7"/>
  <c r="G472" i="7"/>
  <c r="H472" i="7"/>
  <c r="I472" i="7"/>
  <c r="J472" i="7"/>
  <c r="N482" i="7"/>
  <c r="P482" i="7"/>
  <c r="O482" i="7" s="1"/>
  <c r="Q482" i="7"/>
  <c r="N469" i="7"/>
  <c r="Q469" i="7"/>
  <c r="P469" i="7"/>
  <c r="O469" i="7" s="1"/>
  <c r="G501" i="7"/>
  <c r="H501" i="7"/>
  <c r="I501" i="7"/>
  <c r="J501" i="7"/>
  <c r="N454" i="7"/>
  <c r="P454" i="7"/>
  <c r="O454" i="7" s="1"/>
  <c r="Q454" i="7"/>
  <c r="P504" i="7"/>
  <c r="O504" i="7"/>
  <c r="N504" i="7"/>
  <c r="G496" i="7"/>
  <c r="H496" i="7"/>
  <c r="J496" i="7"/>
  <c r="I496" i="7"/>
  <c r="G470" i="7"/>
  <c r="I470" i="7"/>
  <c r="J470" i="7"/>
  <c r="H470" i="7"/>
  <c r="Q459" i="7"/>
  <c r="P459" i="7" s="1"/>
  <c r="N459" i="7"/>
  <c r="O459" i="7"/>
  <c r="G492" i="7"/>
  <c r="H492" i="7"/>
  <c r="I492" i="7"/>
  <c r="J492" i="7"/>
  <c r="H489" i="7"/>
  <c r="G489" i="7" s="1"/>
  <c r="J489" i="7"/>
  <c r="I489" i="7"/>
  <c r="P483" i="7"/>
  <c r="Q483" i="7"/>
  <c r="O483" i="7"/>
  <c r="N483" i="7" s="1"/>
  <c r="G483" i="7"/>
  <c r="H483" i="7"/>
  <c r="I483" i="7"/>
  <c r="J483" i="7"/>
  <c r="G452" i="7"/>
  <c r="H452" i="7"/>
  <c r="I452" i="7"/>
  <c r="J452" i="7"/>
  <c r="J448" i="7"/>
  <c r="G448" i="7"/>
  <c r="H448" i="7"/>
  <c r="I448" i="7"/>
  <c r="O446" i="7"/>
  <c r="P446" i="7"/>
  <c r="N446" i="7"/>
  <c r="Q446" i="7"/>
  <c r="Q506" i="7"/>
  <c r="P478" i="7"/>
  <c r="O478" i="7" s="1"/>
  <c r="Q478" i="7"/>
  <c r="N478" i="7"/>
  <c r="H478" i="7"/>
  <c r="G478" i="7" s="1"/>
  <c r="I478" i="7"/>
  <c r="J478" i="7"/>
  <c r="J444" i="7"/>
  <c r="I444" i="7"/>
  <c r="J445" i="7"/>
  <c r="O498" i="7"/>
  <c r="N498" i="7" s="1"/>
  <c r="P498" i="7"/>
  <c r="Q498" i="7"/>
  <c r="O474" i="7"/>
  <c r="N474" i="7" s="1"/>
  <c r="Q474" i="7"/>
  <c r="P474" i="7"/>
  <c r="P465" i="7"/>
  <c r="O465" i="7" s="1"/>
  <c r="N465" i="7"/>
  <c r="Q465" i="7"/>
  <c r="H477" i="7"/>
  <c r="G477" i="7"/>
  <c r="J477" i="7"/>
  <c r="I477" i="7" s="1"/>
  <c r="G491" i="7"/>
  <c r="H491" i="7"/>
  <c r="I491" i="7"/>
  <c r="J491" i="7"/>
  <c r="J488" i="7"/>
  <c r="G488" i="7"/>
  <c r="I488" i="7"/>
  <c r="H488" i="7"/>
  <c r="O449" i="7"/>
  <c r="P449" i="7"/>
  <c r="N449" i="7"/>
  <c r="Q449" i="7"/>
  <c r="AI445" i="7"/>
  <c r="AA445" i="7"/>
  <c r="S445" i="7"/>
  <c r="O490" i="7"/>
  <c r="N490" i="7" s="1"/>
  <c r="P490" i="7"/>
  <c r="Q490" i="7"/>
  <c r="N486" i="7"/>
  <c r="P486" i="7"/>
  <c r="O486" i="7" s="1"/>
  <c r="Q486" i="7"/>
  <c r="N471" i="7"/>
  <c r="P471" i="7"/>
  <c r="O471" i="7"/>
  <c r="H497" i="7"/>
  <c r="G497" i="7" s="1"/>
  <c r="I497" i="7"/>
  <c r="J497" i="7"/>
  <c r="P489" i="7"/>
  <c r="O489" i="7" s="1"/>
  <c r="Q489" i="7"/>
  <c r="N489" i="7"/>
  <c r="N458" i="7"/>
  <c r="P458" i="7"/>
  <c r="O458" i="7" s="1"/>
  <c r="Q458" i="7"/>
  <c r="N451" i="7"/>
  <c r="P451" i="7"/>
  <c r="O451" i="7" s="1"/>
  <c r="Q451" i="7"/>
  <c r="G504" i="7"/>
  <c r="H504" i="7"/>
  <c r="J504" i="7"/>
  <c r="I504" i="7"/>
  <c r="N495" i="7"/>
  <c r="O495" i="7"/>
  <c r="P495" i="7"/>
  <c r="O491" i="7"/>
  <c r="P491" i="7"/>
  <c r="Q491" i="7"/>
  <c r="N491" i="7"/>
  <c r="N488" i="7"/>
  <c r="O488" i="7"/>
  <c r="Q488" i="7"/>
  <c r="P488" i="7"/>
  <c r="G446" i="7"/>
  <c r="H446" i="7"/>
  <c r="J446" i="7"/>
  <c r="I446" i="7"/>
  <c r="O472" i="7"/>
  <c r="Q472" i="7"/>
  <c r="N472" i="7"/>
  <c r="P472" i="7"/>
  <c r="Q497" i="7"/>
  <c r="O475" i="7"/>
  <c r="N475" i="7"/>
  <c r="Q475" i="7"/>
  <c r="P475" i="7" s="1"/>
  <c r="K443" i="7"/>
  <c r="S443" i="7"/>
  <c r="AA443" i="7"/>
  <c r="AI443" i="7"/>
  <c r="AI441" i="7"/>
  <c r="N444" i="7" l="1"/>
  <c r="O444" i="7"/>
  <c r="G442" i="7"/>
  <c r="K441" i="7"/>
  <c r="I441" i="7" s="1"/>
  <c r="I442" i="7"/>
  <c r="H442" i="7"/>
  <c r="AA441" i="7"/>
  <c r="S441" i="7"/>
  <c r="O442" i="7"/>
  <c r="Q442" i="7"/>
  <c r="P442" i="7"/>
  <c r="Q444" i="7"/>
  <c r="N442" i="7"/>
  <c r="O443" i="7"/>
  <c r="P443" i="7"/>
  <c r="Q443" i="7"/>
  <c r="N443" i="7"/>
  <c r="Q471" i="7"/>
  <c r="N445" i="7"/>
  <c r="O445" i="7"/>
  <c r="P445" i="7"/>
  <c r="Q445" i="7"/>
  <c r="Q504" i="7"/>
  <c r="J443" i="7"/>
  <c r="H443" i="7"/>
  <c r="G443" i="7" s="1"/>
  <c r="I443" i="7"/>
  <c r="Q495" i="7"/>
  <c r="Q500" i="7"/>
  <c r="AI440" i="7"/>
  <c r="AI438" i="7"/>
  <c r="AA437" i="7"/>
  <c r="AI436" i="7"/>
  <c r="AI434" i="7"/>
  <c r="AI433" i="7"/>
  <c r="S432" i="7"/>
  <c r="AI431" i="7"/>
  <c r="S429" i="7"/>
  <c r="AI428" i="7"/>
  <c r="AA427" i="7"/>
  <c r="AI424" i="7"/>
  <c r="AI423" i="7"/>
  <c r="S421" i="7"/>
  <c r="Q421" i="7" s="1"/>
  <c r="AI420" i="7"/>
  <c r="AA419" i="7"/>
  <c r="AI416" i="7"/>
  <c r="S415" i="7"/>
  <c r="AI414" i="7"/>
  <c r="K411" i="7"/>
  <c r="AA410" i="7"/>
  <c r="AI407" i="7"/>
  <c r="K406" i="7"/>
  <c r="H406" i="7" s="1"/>
  <c r="AI403" i="7"/>
  <c r="K402" i="7"/>
  <c r="H402" i="7" s="1"/>
  <c r="J441" i="7" l="1"/>
  <c r="S433" i="7"/>
  <c r="P433" i="7" s="1"/>
  <c r="AA440" i="7"/>
  <c r="AA415" i="7"/>
  <c r="AA424" i="7"/>
  <c r="K424" i="7"/>
  <c r="I424" i="7" s="1"/>
  <c r="S416" i="7"/>
  <c r="P416" i="7" s="1"/>
  <c r="AA432" i="7"/>
  <c r="S437" i="7"/>
  <c r="O437" i="7" s="1"/>
  <c r="K432" i="7"/>
  <c r="I432" i="7" s="1"/>
  <c r="K437" i="7"/>
  <c r="AA403" i="7"/>
  <c r="AA407" i="7"/>
  <c r="S414" i="7"/>
  <c r="P414" i="7" s="1"/>
  <c r="AA420" i="7"/>
  <c r="AA428" i="7"/>
  <c r="AI432" i="7"/>
  <c r="H441" i="7"/>
  <c r="K403" i="7"/>
  <c r="G403" i="7" s="1"/>
  <c r="K407" i="7"/>
  <c r="G407" i="7" s="1"/>
  <c r="AI415" i="7"/>
  <c r="K420" i="7"/>
  <c r="G420" i="7" s="1"/>
  <c r="K428" i="7"/>
  <c r="I428" i="7" s="1"/>
  <c r="AA433" i="7"/>
  <c r="G441" i="7"/>
  <c r="O415" i="7"/>
  <c r="N415" i="7"/>
  <c r="I411" i="7"/>
  <c r="G411" i="7"/>
  <c r="J411" i="7"/>
  <c r="H411" i="7"/>
  <c r="AI402" i="7"/>
  <c r="AI411" i="7"/>
  <c r="AA402" i="7"/>
  <c r="S403" i="7"/>
  <c r="AA406" i="7"/>
  <c r="S407" i="7"/>
  <c r="AI410" i="7"/>
  <c r="AA411" i="7"/>
  <c r="AA414" i="7"/>
  <c r="K415" i="7"/>
  <c r="S420" i="7"/>
  <c r="K427" i="7"/>
  <c r="I427" i="7" s="1"/>
  <c r="S428" i="7"/>
  <c r="AI437" i="7"/>
  <c r="S440" i="7"/>
  <c r="Q441" i="7"/>
  <c r="P441" i="7"/>
  <c r="N441" i="7"/>
  <c r="O441" i="7"/>
  <c r="AI406" i="7"/>
  <c r="K436" i="7"/>
  <c r="I436" i="7" s="1"/>
  <c r="S402" i="7"/>
  <c r="P402" i="7" s="1"/>
  <c r="AI421" i="7"/>
  <c r="AI429" i="7"/>
  <c r="K440" i="7"/>
  <c r="I440" i="7" s="1"/>
  <c r="S410" i="7"/>
  <c r="N410" i="7" s="1"/>
  <c r="S436" i="7"/>
  <c r="Q436" i="7" s="1"/>
  <c r="AA436" i="7"/>
  <c r="S406" i="7"/>
  <c r="P406" i="7" s="1"/>
  <c r="K410" i="7"/>
  <c r="S411" i="7"/>
  <c r="K414" i="7"/>
  <c r="J414" i="7" s="1"/>
  <c r="S424" i="7"/>
  <c r="K433" i="7"/>
  <c r="G433" i="7" s="1"/>
  <c r="N429" i="7"/>
  <c r="P432" i="7"/>
  <c r="Q432" i="7"/>
  <c r="AI435" i="7"/>
  <c r="AA435" i="7"/>
  <c r="S435" i="7"/>
  <c r="K435" i="7"/>
  <c r="Q415" i="7"/>
  <c r="AI417" i="7"/>
  <c r="AA417" i="7"/>
  <c r="S417" i="7"/>
  <c r="K417" i="7"/>
  <c r="AI422" i="7"/>
  <c r="AA422" i="7"/>
  <c r="S422" i="7"/>
  <c r="K422" i="7"/>
  <c r="AI430" i="7"/>
  <c r="AA430" i="7"/>
  <c r="S430" i="7"/>
  <c r="K430" i="7"/>
  <c r="K425" i="7"/>
  <c r="AA425" i="7"/>
  <c r="J402" i="7"/>
  <c r="J406" i="7"/>
  <c r="K419" i="7"/>
  <c r="S423" i="7"/>
  <c r="Q429" i="7"/>
  <c r="S431" i="7"/>
  <c r="N421" i="7"/>
  <c r="AI439" i="7"/>
  <c r="AA439" i="7"/>
  <c r="S439" i="7"/>
  <c r="K439" i="7"/>
  <c r="K404" i="7"/>
  <c r="S404" i="7"/>
  <c r="AA404" i="7"/>
  <c r="AI404" i="7"/>
  <c r="S408" i="7"/>
  <c r="AA408" i="7"/>
  <c r="K412" i="7"/>
  <c r="S412" i="7"/>
  <c r="AA412" i="7"/>
  <c r="AI412" i="7"/>
  <c r="K416" i="7"/>
  <c r="AA416" i="7"/>
  <c r="K421" i="7"/>
  <c r="P421" i="7"/>
  <c r="AA421" i="7"/>
  <c r="S425" i="7"/>
  <c r="AI425" i="7"/>
  <c r="K429" i="7"/>
  <c r="P429" i="7"/>
  <c r="AA429" i="7"/>
  <c r="O432" i="7"/>
  <c r="AI418" i="7"/>
  <c r="AA418" i="7"/>
  <c r="S418" i="7"/>
  <c r="K418" i="7"/>
  <c r="AI426" i="7"/>
  <c r="AA426" i="7"/>
  <c r="S426" i="7"/>
  <c r="K426" i="7"/>
  <c r="G402" i="7"/>
  <c r="G406" i="7"/>
  <c r="I402" i="7"/>
  <c r="I406" i="7"/>
  <c r="K408" i="7"/>
  <c r="AI408" i="7"/>
  <c r="K405" i="7"/>
  <c r="S405" i="7"/>
  <c r="AA405" i="7"/>
  <c r="AI405" i="7"/>
  <c r="K409" i="7"/>
  <c r="S409" i="7"/>
  <c r="AA409" i="7"/>
  <c r="AI409" i="7"/>
  <c r="K413" i="7"/>
  <c r="S413" i="7"/>
  <c r="AA413" i="7"/>
  <c r="AI413" i="7"/>
  <c r="P415" i="7"/>
  <c r="S419" i="7"/>
  <c r="AI419" i="7"/>
  <c r="O421" i="7"/>
  <c r="K423" i="7"/>
  <c r="AA423" i="7"/>
  <c r="S427" i="7"/>
  <c r="AI427" i="7"/>
  <c r="O429" i="7"/>
  <c r="K431" i="7"/>
  <c r="AA431" i="7"/>
  <c r="N432" i="7"/>
  <c r="K434" i="7"/>
  <c r="S434" i="7"/>
  <c r="AA434" i="7"/>
  <c r="K438" i="7"/>
  <c r="S438" i="7"/>
  <c r="AA438" i="7"/>
  <c r="K401" i="7"/>
  <c r="AA400" i="7"/>
  <c r="S397" i="7"/>
  <c r="AA396" i="7"/>
  <c r="S393" i="7"/>
  <c r="AA392" i="7"/>
  <c r="AI390" i="7"/>
  <c r="AI389" i="7"/>
  <c r="S388" i="7"/>
  <c r="P388" i="7" s="1"/>
  <c r="AI385" i="7"/>
  <c r="S384" i="7"/>
  <c r="P384" i="7" s="1"/>
  <c r="AI381" i="7"/>
  <c r="AI380" i="7"/>
  <c r="AA379" i="7"/>
  <c r="AI376" i="7"/>
  <c r="AA375" i="7"/>
  <c r="AI372" i="7"/>
  <c r="AA371" i="7"/>
  <c r="AI368" i="7"/>
  <c r="K367" i="7"/>
  <c r="G367" i="7" s="1"/>
  <c r="AI364" i="7"/>
  <c r="AA363" i="7"/>
  <c r="AI360" i="7"/>
  <c r="AA359" i="7"/>
  <c r="AI356" i="7"/>
  <c r="Q424" i="7" l="1"/>
  <c r="H432" i="7"/>
  <c r="Q414" i="7"/>
  <c r="J427" i="7"/>
  <c r="O414" i="7"/>
  <c r="J407" i="7"/>
  <c r="Q402" i="7"/>
  <c r="Q437" i="7"/>
  <c r="N414" i="7"/>
  <c r="Q433" i="7"/>
  <c r="J432" i="7"/>
  <c r="J424" i="7"/>
  <c r="H424" i="7"/>
  <c r="Q420" i="7"/>
  <c r="O433" i="7"/>
  <c r="N433" i="7"/>
  <c r="P420" i="7"/>
  <c r="O406" i="7"/>
  <c r="N437" i="7"/>
  <c r="P437" i="7"/>
  <c r="G432" i="7"/>
  <c r="G424" i="7"/>
  <c r="H437" i="7"/>
  <c r="K384" i="7"/>
  <c r="H384" i="7" s="1"/>
  <c r="O402" i="7"/>
  <c r="N402" i="7"/>
  <c r="S400" i="7"/>
  <c r="P400" i="7" s="1"/>
  <c r="H428" i="7"/>
  <c r="AI359" i="7"/>
  <c r="K393" i="7"/>
  <c r="I393" i="7" s="1"/>
  <c r="S396" i="7"/>
  <c r="P396" i="7" s="1"/>
  <c r="J403" i="7"/>
  <c r="N416" i="7"/>
  <c r="I414" i="7"/>
  <c r="Q416" i="7"/>
  <c r="I437" i="7"/>
  <c r="P428" i="7"/>
  <c r="G437" i="7"/>
  <c r="N406" i="7"/>
  <c r="J437" i="7"/>
  <c r="H420" i="7"/>
  <c r="J420" i="7"/>
  <c r="K388" i="7"/>
  <c r="H388" i="7" s="1"/>
  <c r="O416" i="7"/>
  <c r="Q406" i="7"/>
  <c r="J433" i="7"/>
  <c r="G428" i="7"/>
  <c r="J428" i="7"/>
  <c r="I420" i="7"/>
  <c r="I403" i="7"/>
  <c r="H403" i="7"/>
  <c r="AA397" i="7"/>
  <c r="Q428" i="7"/>
  <c r="S392" i="7"/>
  <c r="P392" i="7" s="1"/>
  <c r="I410" i="7"/>
  <c r="H433" i="7"/>
  <c r="J410" i="7"/>
  <c r="I407" i="7"/>
  <c r="H407" i="7"/>
  <c r="AA393" i="7"/>
  <c r="S371" i="7"/>
  <c r="O371" i="7" s="1"/>
  <c r="AA388" i="7"/>
  <c r="K397" i="7"/>
  <c r="I397" i="7" s="1"/>
  <c r="I433" i="7"/>
  <c r="Q410" i="7"/>
  <c r="Q397" i="7"/>
  <c r="N397" i="7"/>
  <c r="O397" i="7"/>
  <c r="P397" i="7"/>
  <c r="Q393" i="7"/>
  <c r="N393" i="7"/>
  <c r="O393" i="7"/>
  <c r="P393" i="7"/>
  <c r="H401" i="7"/>
  <c r="G401" i="7"/>
  <c r="Q440" i="7"/>
  <c r="P440" i="7"/>
  <c r="O440" i="7"/>
  <c r="N440" i="7"/>
  <c r="Q407" i="7"/>
  <c r="P407" i="7"/>
  <c r="N407" i="7"/>
  <c r="O407" i="7"/>
  <c r="Q403" i="7"/>
  <c r="P403" i="7"/>
  <c r="N403" i="7"/>
  <c r="O403" i="7"/>
  <c r="H410" i="7"/>
  <c r="G410" i="7"/>
  <c r="P410" i="7"/>
  <c r="O410" i="7"/>
  <c r="H440" i="7"/>
  <c r="J440" i="7"/>
  <c r="G440" i="7"/>
  <c r="H427" i="7"/>
  <c r="G427" i="7"/>
  <c r="N420" i="7"/>
  <c r="O420" i="7"/>
  <c r="I415" i="7"/>
  <c r="H415" i="7"/>
  <c r="J415" i="7"/>
  <c r="G415" i="7"/>
  <c r="S359" i="7"/>
  <c r="O359" i="7" s="1"/>
  <c r="S363" i="7"/>
  <c r="O363" i="7" s="1"/>
  <c r="AI379" i="7"/>
  <c r="AI384" i="7"/>
  <c r="AI388" i="7"/>
  <c r="AA389" i="7"/>
  <c r="K392" i="7"/>
  <c r="H392" i="7" s="1"/>
  <c r="AI393" i="7"/>
  <c r="K396" i="7"/>
  <c r="H396" i="7" s="1"/>
  <c r="AI397" i="7"/>
  <c r="K400" i="7"/>
  <c r="H400" i="7" s="1"/>
  <c r="N424" i="7"/>
  <c r="O424" i="7"/>
  <c r="P424" i="7"/>
  <c r="Q411" i="7"/>
  <c r="N411" i="7"/>
  <c r="P411" i="7"/>
  <c r="O411" i="7"/>
  <c r="H436" i="7"/>
  <c r="G436" i="7"/>
  <c r="J436" i="7"/>
  <c r="AA367" i="7"/>
  <c r="K375" i="7"/>
  <c r="G375" i="7" s="1"/>
  <c r="AI400" i="7"/>
  <c r="H414" i="7"/>
  <c r="G414" i="7"/>
  <c r="P436" i="7"/>
  <c r="N436" i="7"/>
  <c r="O436" i="7"/>
  <c r="N428" i="7"/>
  <c r="O428" i="7"/>
  <c r="AI363" i="7"/>
  <c r="S367" i="7"/>
  <c r="O367" i="7" s="1"/>
  <c r="AI367" i="7"/>
  <c r="AI371" i="7"/>
  <c r="S375" i="7"/>
  <c r="O375" i="7" s="1"/>
  <c r="AI375" i="7"/>
  <c r="S379" i="7"/>
  <c r="O379" i="7" s="1"/>
  <c r="K359" i="7"/>
  <c r="G359" i="7" s="1"/>
  <c r="K363" i="7"/>
  <c r="G363" i="7" s="1"/>
  <c r="K371" i="7"/>
  <c r="G371" i="7" s="1"/>
  <c r="K379" i="7"/>
  <c r="G379" i="7" s="1"/>
  <c r="AA384" i="7"/>
  <c r="S389" i="7"/>
  <c r="AI392" i="7"/>
  <c r="AI396" i="7"/>
  <c r="K389" i="7"/>
  <c r="H367" i="7"/>
  <c r="I367" i="7"/>
  <c r="J367" i="7"/>
  <c r="AI382" i="7"/>
  <c r="AA382" i="7"/>
  <c r="S382" i="7"/>
  <c r="K382" i="7"/>
  <c r="AI365" i="7"/>
  <c r="AA365" i="7"/>
  <c r="S365" i="7"/>
  <c r="K365" i="7"/>
  <c r="AA373" i="7"/>
  <c r="S373" i="7"/>
  <c r="K373" i="7"/>
  <c r="AI373" i="7"/>
  <c r="AI361" i="7"/>
  <c r="AA361" i="7"/>
  <c r="S361" i="7"/>
  <c r="K361" i="7"/>
  <c r="AI369" i="7"/>
  <c r="AA369" i="7"/>
  <c r="S369" i="7"/>
  <c r="K369" i="7"/>
  <c r="AI377" i="7"/>
  <c r="AA377" i="7"/>
  <c r="S377" i="7"/>
  <c r="K377" i="7"/>
  <c r="AI357" i="7"/>
  <c r="AA357" i="7"/>
  <c r="S357" i="7"/>
  <c r="K357" i="7"/>
  <c r="Q434" i="7"/>
  <c r="N434" i="7"/>
  <c r="O434" i="7"/>
  <c r="P434" i="7"/>
  <c r="H431" i="7"/>
  <c r="G431" i="7"/>
  <c r="I431" i="7"/>
  <c r="J431" i="7"/>
  <c r="H423" i="7"/>
  <c r="G423" i="7"/>
  <c r="I423" i="7"/>
  <c r="J423" i="7"/>
  <c r="G418" i="7"/>
  <c r="J418" i="7"/>
  <c r="H418" i="7"/>
  <c r="I418" i="7"/>
  <c r="N425" i="7"/>
  <c r="Q425" i="7"/>
  <c r="P425" i="7"/>
  <c r="O425" i="7"/>
  <c r="J416" i="7"/>
  <c r="I416" i="7"/>
  <c r="G416" i="7"/>
  <c r="H416" i="7"/>
  <c r="N412" i="7"/>
  <c r="Q412" i="7"/>
  <c r="O412" i="7"/>
  <c r="P412" i="7"/>
  <c r="N408" i="7"/>
  <c r="O408" i="7"/>
  <c r="P408" i="7"/>
  <c r="Q408" i="7"/>
  <c r="J439" i="7"/>
  <c r="G439" i="7"/>
  <c r="H439" i="7"/>
  <c r="I439" i="7"/>
  <c r="P431" i="7"/>
  <c r="Q431" i="7"/>
  <c r="O431" i="7"/>
  <c r="N431" i="7"/>
  <c r="P423" i="7"/>
  <c r="Q423" i="7"/>
  <c r="O423" i="7"/>
  <c r="N423" i="7"/>
  <c r="N435" i="7"/>
  <c r="O435" i="7"/>
  <c r="P435" i="7"/>
  <c r="Q435" i="7"/>
  <c r="P427" i="7"/>
  <c r="N427" i="7"/>
  <c r="O427" i="7"/>
  <c r="Q427" i="7"/>
  <c r="J408" i="7"/>
  <c r="G408" i="7"/>
  <c r="I408" i="7"/>
  <c r="H408" i="7"/>
  <c r="J429" i="7"/>
  <c r="I429" i="7"/>
  <c r="H429" i="7"/>
  <c r="G429" i="7"/>
  <c r="J404" i="7"/>
  <c r="G404" i="7"/>
  <c r="I404" i="7"/>
  <c r="H404" i="7"/>
  <c r="O430" i="7"/>
  <c r="N430" i="7"/>
  <c r="P430" i="7"/>
  <c r="Q430" i="7"/>
  <c r="O417" i="7"/>
  <c r="Q417" i="7"/>
  <c r="N417" i="7"/>
  <c r="P417" i="7"/>
  <c r="J435" i="7"/>
  <c r="G435" i="7"/>
  <c r="H435" i="7"/>
  <c r="I435" i="7"/>
  <c r="O384" i="7"/>
  <c r="O388" i="7"/>
  <c r="K356" i="7"/>
  <c r="S356" i="7"/>
  <c r="AA356" i="7"/>
  <c r="K360" i="7"/>
  <c r="S360" i="7"/>
  <c r="AA360" i="7"/>
  <c r="K364" i="7"/>
  <c r="S364" i="7"/>
  <c r="AA364" i="7"/>
  <c r="K368" i="7"/>
  <c r="S368" i="7"/>
  <c r="AA368" i="7"/>
  <c r="K372" i="7"/>
  <c r="S372" i="7"/>
  <c r="AA372" i="7"/>
  <c r="K376" i="7"/>
  <c r="S376" i="7"/>
  <c r="AA376" i="7"/>
  <c r="K380" i="7"/>
  <c r="S380" i="7"/>
  <c r="AA380" i="7"/>
  <c r="K381" i="7"/>
  <c r="S381" i="7"/>
  <c r="AA381" i="7"/>
  <c r="N384" i="7"/>
  <c r="K385" i="7"/>
  <c r="S385" i="7"/>
  <c r="AA385" i="7"/>
  <c r="N388" i="7"/>
  <c r="J401" i="7"/>
  <c r="AI401" i="7"/>
  <c r="AA401" i="7"/>
  <c r="S401" i="7"/>
  <c r="I438" i="7"/>
  <c r="J438" i="7"/>
  <c r="G438" i="7"/>
  <c r="H438" i="7"/>
  <c r="P419" i="7"/>
  <c r="N419" i="7"/>
  <c r="O419" i="7"/>
  <c r="Q419" i="7"/>
  <c r="G413" i="7"/>
  <c r="J413" i="7"/>
  <c r="H413" i="7"/>
  <c r="I413" i="7"/>
  <c r="G409" i="7"/>
  <c r="H409" i="7"/>
  <c r="J409" i="7"/>
  <c r="I409" i="7"/>
  <c r="G405" i="7"/>
  <c r="H405" i="7"/>
  <c r="I405" i="7"/>
  <c r="J405" i="7"/>
  <c r="O426" i="7"/>
  <c r="P426" i="7"/>
  <c r="N426" i="7"/>
  <c r="Q426" i="7"/>
  <c r="N404" i="7"/>
  <c r="O404" i="7"/>
  <c r="Q404" i="7"/>
  <c r="P404" i="7"/>
  <c r="H419" i="7"/>
  <c r="I419" i="7"/>
  <c r="J419" i="7"/>
  <c r="G419" i="7"/>
  <c r="G430" i="7"/>
  <c r="H430" i="7"/>
  <c r="I430" i="7"/>
  <c r="J430" i="7"/>
  <c r="O422" i="7"/>
  <c r="N422" i="7"/>
  <c r="P422" i="7"/>
  <c r="Q422" i="7"/>
  <c r="G417" i="7"/>
  <c r="H417" i="7"/>
  <c r="I417" i="7"/>
  <c r="J417" i="7"/>
  <c r="Q384" i="7"/>
  <c r="K386" i="7"/>
  <c r="S386" i="7"/>
  <c r="AA386" i="7"/>
  <c r="AI386" i="7"/>
  <c r="Q388" i="7"/>
  <c r="K390" i="7"/>
  <c r="S390" i="7"/>
  <c r="AA390" i="7"/>
  <c r="K394" i="7"/>
  <c r="S394" i="7"/>
  <c r="AA394" i="7"/>
  <c r="AI394" i="7"/>
  <c r="K398" i="7"/>
  <c r="S398" i="7"/>
  <c r="AA398" i="7"/>
  <c r="AI398" i="7"/>
  <c r="I401" i="7"/>
  <c r="Q438" i="7"/>
  <c r="N438" i="7"/>
  <c r="O438" i="7"/>
  <c r="P438" i="7"/>
  <c r="I434" i="7"/>
  <c r="J434" i="7"/>
  <c r="G434" i="7"/>
  <c r="H434" i="7"/>
  <c r="O413" i="7"/>
  <c r="P413" i="7"/>
  <c r="Q413" i="7"/>
  <c r="N413" i="7"/>
  <c r="O409" i="7"/>
  <c r="P409" i="7"/>
  <c r="Q409" i="7"/>
  <c r="N409" i="7"/>
  <c r="O405" i="7"/>
  <c r="P405" i="7"/>
  <c r="N405" i="7"/>
  <c r="Q405" i="7"/>
  <c r="G426" i="7"/>
  <c r="J426" i="7"/>
  <c r="H426" i="7"/>
  <c r="I426" i="7"/>
  <c r="O418" i="7"/>
  <c r="P418" i="7"/>
  <c r="N418" i="7"/>
  <c r="Q418" i="7"/>
  <c r="J421" i="7"/>
  <c r="I421" i="7"/>
  <c r="H421" i="7"/>
  <c r="G421" i="7"/>
  <c r="J412" i="7"/>
  <c r="I412" i="7"/>
  <c r="G412" i="7"/>
  <c r="H412" i="7"/>
  <c r="N439" i="7"/>
  <c r="O439" i="7"/>
  <c r="P439" i="7"/>
  <c r="Q439" i="7"/>
  <c r="J425" i="7"/>
  <c r="G425" i="7"/>
  <c r="H425" i="7"/>
  <c r="I425" i="7"/>
  <c r="G422" i="7"/>
  <c r="H422" i="7"/>
  <c r="I422" i="7"/>
  <c r="J422" i="7"/>
  <c r="K358" i="7"/>
  <c r="S358" i="7"/>
  <c r="AA358" i="7"/>
  <c r="AI358" i="7"/>
  <c r="K362" i="7"/>
  <c r="S362" i="7"/>
  <c r="AA362" i="7"/>
  <c r="AI362" i="7"/>
  <c r="K366" i="7"/>
  <c r="S366" i="7"/>
  <c r="AA366" i="7"/>
  <c r="AI366" i="7"/>
  <c r="K370" i="7"/>
  <c r="S370" i="7"/>
  <c r="AA370" i="7"/>
  <c r="AI370" i="7"/>
  <c r="K374" i="7"/>
  <c r="S374" i="7"/>
  <c r="AA374" i="7"/>
  <c r="AI374" i="7"/>
  <c r="K378" i="7"/>
  <c r="S378" i="7"/>
  <c r="AA378" i="7"/>
  <c r="AI378" i="7"/>
  <c r="K383" i="7"/>
  <c r="S383" i="7"/>
  <c r="AA383" i="7"/>
  <c r="AI383" i="7"/>
  <c r="K387" i="7"/>
  <c r="S387" i="7"/>
  <c r="AA387" i="7"/>
  <c r="AI387" i="7"/>
  <c r="K391" i="7"/>
  <c r="S391" i="7"/>
  <c r="AA391" i="7"/>
  <c r="AI391" i="7"/>
  <c r="K395" i="7"/>
  <c r="S395" i="7"/>
  <c r="AA395" i="7"/>
  <c r="AI395" i="7"/>
  <c r="K399" i="7"/>
  <c r="S399" i="7"/>
  <c r="AA399" i="7"/>
  <c r="AI399" i="7"/>
  <c r="AI355" i="7"/>
  <c r="K354" i="7"/>
  <c r="AI351" i="7"/>
  <c r="S350" i="7"/>
  <c r="AA349" i="7"/>
  <c r="AI347" i="7"/>
  <c r="AI346" i="7"/>
  <c r="AI345" i="7"/>
  <c r="AI343" i="7"/>
  <c r="AI342" i="7"/>
  <c r="AI341" i="7"/>
  <c r="AI339" i="7"/>
  <c r="AI338" i="7"/>
  <c r="AI337" i="7"/>
  <c r="AI336" i="7"/>
  <c r="S335" i="7"/>
  <c r="AI333" i="7"/>
  <c r="K332" i="7"/>
  <c r="G332" i="7" s="1"/>
  <c r="AI331" i="7"/>
  <c r="AI329" i="7"/>
  <c r="AA328" i="7"/>
  <c r="AI327" i="7"/>
  <c r="AI325" i="7"/>
  <c r="AA324" i="7"/>
  <c r="S323" i="7"/>
  <c r="AI321" i="7"/>
  <c r="K320" i="7"/>
  <c r="G320" i="7" s="1"/>
  <c r="AI317" i="7"/>
  <c r="AA316" i="7"/>
  <c r="AA313" i="7"/>
  <c r="AA312" i="7"/>
  <c r="K309" i="7"/>
  <c r="G309" i="7" s="1"/>
  <c r="AA308" i="7"/>
  <c r="AA305" i="7"/>
  <c r="AI303" i="7"/>
  <c r="AI302" i="7"/>
  <c r="AA301" i="7"/>
  <c r="AI300" i="7"/>
  <c r="AI297" i="7"/>
  <c r="K296" i="7"/>
  <c r="H296" i="7" s="1"/>
  <c r="AI293" i="7"/>
  <c r="K292" i="7"/>
  <c r="AA290" i="7"/>
  <c r="K289" i="7"/>
  <c r="S288" i="7"/>
  <c r="K286" i="7"/>
  <c r="S285" i="7"/>
  <c r="S284" i="7"/>
  <c r="P284" i="7" s="1"/>
  <c r="AA281" i="7"/>
  <c r="I384" i="7" l="1"/>
  <c r="J388" i="7"/>
  <c r="I388" i="7"/>
  <c r="G388" i="7"/>
  <c r="J371" i="7"/>
  <c r="Q396" i="7"/>
  <c r="J384" i="7"/>
  <c r="G384" i="7"/>
  <c r="Q359" i="7"/>
  <c r="N396" i="7"/>
  <c r="O396" i="7"/>
  <c r="K355" i="7"/>
  <c r="H355" i="7" s="1"/>
  <c r="Q375" i="7"/>
  <c r="Q392" i="7"/>
  <c r="H363" i="7"/>
  <c r="O400" i="7"/>
  <c r="H379" i="7"/>
  <c r="H393" i="7"/>
  <c r="S305" i="7"/>
  <c r="P305" i="7" s="1"/>
  <c r="AA342" i="7"/>
  <c r="Q400" i="7"/>
  <c r="N400" i="7"/>
  <c r="G393" i="7"/>
  <c r="J393" i="7"/>
  <c r="K285" i="7"/>
  <c r="I285" i="7" s="1"/>
  <c r="K335" i="7"/>
  <c r="I335" i="7" s="1"/>
  <c r="K338" i="7"/>
  <c r="G338" i="7" s="1"/>
  <c r="AI284" i="7"/>
  <c r="S301" i="7"/>
  <c r="Q301" i="7" s="1"/>
  <c r="K323" i="7"/>
  <c r="I323" i="7" s="1"/>
  <c r="O392" i="7"/>
  <c r="J379" i="7"/>
  <c r="N379" i="7"/>
  <c r="P379" i="7"/>
  <c r="N371" i="7"/>
  <c r="P371" i="7"/>
  <c r="I379" i="7"/>
  <c r="AA284" i="7"/>
  <c r="K297" i="7"/>
  <c r="I297" i="7" s="1"/>
  <c r="K346" i="7"/>
  <c r="G346" i="7" s="1"/>
  <c r="I400" i="7"/>
  <c r="N392" i="7"/>
  <c r="N359" i="7"/>
  <c r="P359" i="7"/>
  <c r="Q379" i="7"/>
  <c r="Q371" i="7"/>
  <c r="P363" i="7"/>
  <c r="I359" i="7"/>
  <c r="S281" i="7"/>
  <c r="Q281" i="7" s="1"/>
  <c r="K284" i="7"/>
  <c r="H284" i="7" s="1"/>
  <c r="AI292" i="7"/>
  <c r="AA293" i="7"/>
  <c r="AA323" i="7"/>
  <c r="AA335" i="7"/>
  <c r="AA337" i="7"/>
  <c r="K342" i="7"/>
  <c r="G342" i="7" s="1"/>
  <c r="AA350" i="7"/>
  <c r="N375" i="7"/>
  <c r="P375" i="7"/>
  <c r="N367" i="7"/>
  <c r="P367" i="7"/>
  <c r="I363" i="7"/>
  <c r="Q363" i="7"/>
  <c r="J359" i="7"/>
  <c r="H397" i="7"/>
  <c r="J397" i="7"/>
  <c r="AI349" i="7"/>
  <c r="N363" i="7"/>
  <c r="AA285" i="7"/>
  <c r="S292" i="7"/>
  <c r="P292" i="7" s="1"/>
  <c r="K293" i="7"/>
  <c r="AA297" i="7"/>
  <c r="K337" i="7"/>
  <c r="J337" i="7" s="1"/>
  <c r="AA338" i="7"/>
  <c r="AA346" i="7"/>
  <c r="K350" i="7"/>
  <c r="I350" i="7" s="1"/>
  <c r="AA355" i="7"/>
  <c r="Q367" i="7"/>
  <c r="J363" i="7"/>
  <c r="G397" i="7"/>
  <c r="H292" i="7"/>
  <c r="G292" i="7"/>
  <c r="Q323" i="7"/>
  <c r="N323" i="7"/>
  <c r="O323" i="7"/>
  <c r="P323" i="7"/>
  <c r="Q335" i="7"/>
  <c r="N335" i="7"/>
  <c r="O335" i="7"/>
  <c r="P335" i="7"/>
  <c r="I354" i="7"/>
  <c r="J354" i="7"/>
  <c r="G354" i="7"/>
  <c r="H354" i="7"/>
  <c r="Q285" i="7"/>
  <c r="N285" i="7"/>
  <c r="O285" i="7"/>
  <c r="P285" i="7"/>
  <c r="I289" i="7"/>
  <c r="G289" i="7"/>
  <c r="J289" i="7"/>
  <c r="H289" i="7"/>
  <c r="P288" i="7"/>
  <c r="O288" i="7"/>
  <c r="AA300" i="7"/>
  <c r="AI309" i="7"/>
  <c r="S320" i="7"/>
  <c r="O320" i="7" s="1"/>
  <c r="S324" i="7"/>
  <c r="O324" i="7" s="1"/>
  <c r="S328" i="7"/>
  <c r="O328" i="7" s="1"/>
  <c r="S332" i="7"/>
  <c r="O332" i="7" s="1"/>
  <c r="K281" i="7"/>
  <c r="AI285" i="7"/>
  <c r="K288" i="7"/>
  <c r="H288" i="7" s="1"/>
  <c r="AI288" i="7"/>
  <c r="AA289" i="7"/>
  <c r="AA292" i="7"/>
  <c r="S293" i="7"/>
  <c r="AA296" i="7"/>
  <c r="S297" i="7"/>
  <c r="S300" i="7"/>
  <c r="P300" i="7" s="1"/>
  <c r="K301" i="7"/>
  <c r="K305" i="7"/>
  <c r="H305" i="7" s="1"/>
  <c r="S308" i="7"/>
  <c r="AI308" i="7"/>
  <c r="S312" i="7"/>
  <c r="O312" i="7" s="1"/>
  <c r="AI312" i="7"/>
  <c r="K313" i="7"/>
  <c r="J313" i="7" s="1"/>
  <c r="S316" i="7"/>
  <c r="O316" i="7" s="1"/>
  <c r="AI316" i="7"/>
  <c r="K317" i="7"/>
  <c r="J317" i="7" s="1"/>
  <c r="AI323" i="7"/>
  <c r="K327" i="7"/>
  <c r="I327" i="7" s="1"/>
  <c r="S327" i="7"/>
  <c r="AA327" i="7"/>
  <c r="K331" i="7"/>
  <c r="I331" i="7" s="1"/>
  <c r="S331" i="7"/>
  <c r="AA331" i="7"/>
  <c r="AI335" i="7"/>
  <c r="S337" i="7"/>
  <c r="Q337" i="7" s="1"/>
  <c r="AI350" i="7"/>
  <c r="AA354" i="7"/>
  <c r="S355" i="7"/>
  <c r="I396" i="7"/>
  <c r="H375" i="7"/>
  <c r="I389" i="7"/>
  <c r="G389" i="7"/>
  <c r="H389" i="7"/>
  <c r="J389" i="7"/>
  <c r="AA288" i="7"/>
  <c r="K300" i="7"/>
  <c r="I300" i="7" s="1"/>
  <c r="AA309" i="7"/>
  <c r="AA320" i="7"/>
  <c r="K324" i="7"/>
  <c r="G324" i="7" s="1"/>
  <c r="AA332" i="7"/>
  <c r="K336" i="7"/>
  <c r="G336" i="7" s="1"/>
  <c r="AA336" i="7"/>
  <c r="S338" i="7"/>
  <c r="O338" i="7" s="1"/>
  <c r="S342" i="7"/>
  <c r="O342" i="7" s="1"/>
  <c r="S346" i="7"/>
  <c r="O346" i="7" s="1"/>
  <c r="S354" i="7"/>
  <c r="I392" i="7"/>
  <c r="G396" i="7"/>
  <c r="H371" i="7"/>
  <c r="I375" i="7"/>
  <c r="Q389" i="7"/>
  <c r="N389" i="7"/>
  <c r="P389" i="7"/>
  <c r="O389" i="7"/>
  <c r="AI289" i="7"/>
  <c r="AI296" i="7"/>
  <c r="S309" i="7"/>
  <c r="O309" i="7" s="1"/>
  <c r="AI313" i="7"/>
  <c r="AI320" i="7"/>
  <c r="AI324" i="7"/>
  <c r="AI328" i="7"/>
  <c r="AI332" i="7"/>
  <c r="S336" i="7"/>
  <c r="O336" i="7" s="1"/>
  <c r="AI354" i="7"/>
  <c r="AI281" i="7"/>
  <c r="S289" i="7"/>
  <c r="S296" i="7"/>
  <c r="P296" i="7" s="1"/>
  <c r="AI301" i="7"/>
  <c r="S313" i="7"/>
  <c r="N313" i="7" s="1"/>
  <c r="S317" i="7"/>
  <c r="N317" i="7" s="1"/>
  <c r="K328" i="7"/>
  <c r="G328" i="7" s="1"/>
  <c r="K308" i="7"/>
  <c r="H308" i="7" s="1"/>
  <c r="K312" i="7"/>
  <c r="G312" i="7" s="1"/>
  <c r="K316" i="7"/>
  <c r="G316" i="7" s="1"/>
  <c r="AA317" i="7"/>
  <c r="G335" i="7"/>
  <c r="K341" i="7"/>
  <c r="I341" i="7" s="1"/>
  <c r="S341" i="7"/>
  <c r="Q341" i="7" s="1"/>
  <c r="AA341" i="7"/>
  <c r="K345" i="7"/>
  <c r="I345" i="7" s="1"/>
  <c r="S345" i="7"/>
  <c r="Q345" i="7" s="1"/>
  <c r="AA345" i="7"/>
  <c r="K349" i="7"/>
  <c r="S349" i="7"/>
  <c r="Q349" i="7" s="1"/>
  <c r="G400" i="7"/>
  <c r="G392" i="7"/>
  <c r="J400" i="7"/>
  <c r="J396" i="7"/>
  <c r="J392" i="7"/>
  <c r="I371" i="7"/>
  <c r="J375" i="7"/>
  <c r="H359" i="7"/>
  <c r="J286" i="7"/>
  <c r="G286" i="7"/>
  <c r="I286" i="7"/>
  <c r="H286" i="7"/>
  <c r="AI322" i="7"/>
  <c r="AA322" i="7"/>
  <c r="S322" i="7"/>
  <c r="K322" i="7"/>
  <c r="AI330" i="7"/>
  <c r="AA330" i="7"/>
  <c r="S330" i="7"/>
  <c r="K330" i="7"/>
  <c r="AI344" i="7"/>
  <c r="AA344" i="7"/>
  <c r="S344" i="7"/>
  <c r="K344" i="7"/>
  <c r="P350" i="7"/>
  <c r="Q350" i="7"/>
  <c r="N350" i="7"/>
  <c r="O391" i="7"/>
  <c r="P391" i="7"/>
  <c r="N391" i="7"/>
  <c r="Q391" i="7"/>
  <c r="O383" i="7"/>
  <c r="P383" i="7"/>
  <c r="Q383" i="7"/>
  <c r="N383" i="7"/>
  <c r="Q368" i="7"/>
  <c r="N368" i="7"/>
  <c r="O368" i="7"/>
  <c r="P368" i="7"/>
  <c r="AI306" i="7"/>
  <c r="AA306" i="7"/>
  <c r="S306" i="7"/>
  <c r="K306" i="7"/>
  <c r="AI310" i="7"/>
  <c r="AA310" i="7"/>
  <c r="S310" i="7"/>
  <c r="K310" i="7"/>
  <c r="H332" i="7"/>
  <c r="I332" i="7"/>
  <c r="J332" i="7"/>
  <c r="AI353" i="7"/>
  <c r="AA353" i="7"/>
  <c r="S353" i="7"/>
  <c r="K353" i="7"/>
  <c r="G370" i="7"/>
  <c r="H370" i="7"/>
  <c r="I370" i="7"/>
  <c r="J370" i="7"/>
  <c r="O366" i="7"/>
  <c r="P366" i="7"/>
  <c r="Q366" i="7"/>
  <c r="N366" i="7"/>
  <c r="N390" i="7"/>
  <c r="Q390" i="7"/>
  <c r="O390" i="7"/>
  <c r="P390" i="7"/>
  <c r="Q380" i="7"/>
  <c r="N380" i="7"/>
  <c r="O380" i="7"/>
  <c r="P380" i="7"/>
  <c r="Q364" i="7"/>
  <c r="N364" i="7"/>
  <c r="O364" i="7"/>
  <c r="P364" i="7"/>
  <c r="N357" i="7"/>
  <c r="O357" i="7"/>
  <c r="P357" i="7"/>
  <c r="Q357" i="7"/>
  <c r="O284" i="7"/>
  <c r="N284" i="7"/>
  <c r="N288" i="7"/>
  <c r="J292" i="7"/>
  <c r="J296" i="7"/>
  <c r="O350" i="7"/>
  <c r="AI307" i="7"/>
  <c r="AA307" i="7"/>
  <c r="S307" i="7"/>
  <c r="K307" i="7"/>
  <c r="I309" i="7"/>
  <c r="J309" i="7"/>
  <c r="AI314" i="7"/>
  <c r="AA314" i="7"/>
  <c r="S314" i="7"/>
  <c r="K314" i="7"/>
  <c r="AI318" i="7"/>
  <c r="AA318" i="7"/>
  <c r="S318" i="7"/>
  <c r="K318" i="7"/>
  <c r="AI326" i="7"/>
  <c r="AA326" i="7"/>
  <c r="S326" i="7"/>
  <c r="K326" i="7"/>
  <c r="AI334" i="7"/>
  <c r="AA334" i="7"/>
  <c r="S334" i="7"/>
  <c r="K334" i="7"/>
  <c r="AI340" i="7"/>
  <c r="AA340" i="7"/>
  <c r="S340" i="7"/>
  <c r="K340" i="7"/>
  <c r="AI348" i="7"/>
  <c r="AA348" i="7"/>
  <c r="S348" i="7"/>
  <c r="K348" i="7"/>
  <c r="O399" i="7"/>
  <c r="P399" i="7"/>
  <c r="Q399" i="7"/>
  <c r="N399" i="7"/>
  <c r="N386" i="7"/>
  <c r="O386" i="7"/>
  <c r="P386" i="7"/>
  <c r="Q386" i="7"/>
  <c r="Q376" i="7"/>
  <c r="N376" i="7"/>
  <c r="O376" i="7"/>
  <c r="P376" i="7"/>
  <c r="Q360" i="7"/>
  <c r="N360" i="7"/>
  <c r="O360" i="7"/>
  <c r="P360" i="7"/>
  <c r="G296" i="7"/>
  <c r="Q284" i="7"/>
  <c r="K290" i="7"/>
  <c r="S290" i="7"/>
  <c r="I292" i="7"/>
  <c r="K294" i="7"/>
  <c r="S294" i="7"/>
  <c r="AA294" i="7"/>
  <c r="K302" i="7"/>
  <c r="AA302" i="7"/>
  <c r="K303" i="7"/>
  <c r="S303" i="7"/>
  <c r="AA303" i="7"/>
  <c r="G387" i="7"/>
  <c r="H387" i="7"/>
  <c r="I387" i="7"/>
  <c r="J387" i="7"/>
  <c r="H320" i="7"/>
  <c r="I320" i="7"/>
  <c r="J320" i="7"/>
  <c r="AI352" i="7"/>
  <c r="AA352" i="7"/>
  <c r="S352" i="7"/>
  <c r="K352" i="7"/>
  <c r="O395" i="7"/>
  <c r="P395" i="7"/>
  <c r="Q395" i="7"/>
  <c r="N395" i="7"/>
  <c r="Q372" i="7"/>
  <c r="N372" i="7"/>
  <c r="O372" i="7"/>
  <c r="P372" i="7"/>
  <c r="Q356" i="7"/>
  <c r="N356" i="7"/>
  <c r="O356" i="7"/>
  <c r="P356" i="7"/>
  <c r="N369" i="7"/>
  <c r="O369" i="7"/>
  <c r="P369" i="7"/>
  <c r="Q369" i="7"/>
  <c r="N382" i="7"/>
  <c r="O382" i="7"/>
  <c r="P382" i="7"/>
  <c r="Q382" i="7"/>
  <c r="K282" i="7"/>
  <c r="S282" i="7"/>
  <c r="AA282" i="7"/>
  <c r="AI282" i="7"/>
  <c r="S286" i="7"/>
  <c r="AA286" i="7"/>
  <c r="AI286" i="7"/>
  <c r="Q288" i="7"/>
  <c r="AI290" i="7"/>
  <c r="AI294" i="7"/>
  <c r="I296" i="7"/>
  <c r="K298" i="7"/>
  <c r="S298" i="7"/>
  <c r="AA298" i="7"/>
  <c r="AI298" i="7"/>
  <c r="S302" i="7"/>
  <c r="K283" i="7"/>
  <c r="S283" i="7"/>
  <c r="AA283" i="7"/>
  <c r="AI283" i="7"/>
  <c r="K287" i="7"/>
  <c r="S287" i="7"/>
  <c r="AA287" i="7"/>
  <c r="AI287" i="7"/>
  <c r="K291" i="7"/>
  <c r="S291" i="7"/>
  <c r="AA291" i="7"/>
  <c r="AI291" i="7"/>
  <c r="K295" i="7"/>
  <c r="S295" i="7"/>
  <c r="AA295" i="7"/>
  <c r="AI295" i="7"/>
  <c r="K299" i="7"/>
  <c r="S299" i="7"/>
  <c r="AA299" i="7"/>
  <c r="AI299" i="7"/>
  <c r="K304" i="7"/>
  <c r="S304" i="7"/>
  <c r="AA304" i="7"/>
  <c r="AI304" i="7"/>
  <c r="AI305" i="7"/>
  <c r="H309" i="7"/>
  <c r="O387" i="7"/>
  <c r="N387" i="7"/>
  <c r="P387" i="7"/>
  <c r="Q387" i="7"/>
  <c r="G374" i="7"/>
  <c r="H374" i="7"/>
  <c r="I374" i="7"/>
  <c r="J374" i="7"/>
  <c r="O370" i="7"/>
  <c r="P370" i="7"/>
  <c r="Q370" i="7"/>
  <c r="N370" i="7"/>
  <c r="G358" i="7"/>
  <c r="H358" i="7"/>
  <c r="I358" i="7"/>
  <c r="J358" i="7"/>
  <c r="O401" i="7"/>
  <c r="P401" i="7"/>
  <c r="Q401" i="7"/>
  <c r="N401" i="7"/>
  <c r="J357" i="7"/>
  <c r="G357" i="7"/>
  <c r="H357" i="7"/>
  <c r="I357" i="7"/>
  <c r="J369" i="7"/>
  <c r="G369" i="7"/>
  <c r="H369" i="7"/>
  <c r="I369" i="7"/>
  <c r="J382" i="7"/>
  <c r="G382" i="7"/>
  <c r="H382" i="7"/>
  <c r="I382" i="7"/>
  <c r="K321" i="7"/>
  <c r="S321" i="7"/>
  <c r="AA321" i="7"/>
  <c r="K325" i="7"/>
  <c r="S325" i="7"/>
  <c r="AA325" i="7"/>
  <c r="K329" i="7"/>
  <c r="S329" i="7"/>
  <c r="AA329" i="7"/>
  <c r="K333" i="7"/>
  <c r="S333" i="7"/>
  <c r="AA333" i="7"/>
  <c r="K339" i="7"/>
  <c r="S339" i="7"/>
  <c r="AA339" i="7"/>
  <c r="K343" i="7"/>
  <c r="S343" i="7"/>
  <c r="AA343" i="7"/>
  <c r="K347" i="7"/>
  <c r="S347" i="7"/>
  <c r="AA347" i="7"/>
  <c r="K351" i="7"/>
  <c r="S351" i="7"/>
  <c r="AA351" i="7"/>
  <c r="G378" i="7"/>
  <c r="H378" i="7"/>
  <c r="I378" i="7"/>
  <c r="J378" i="7"/>
  <c r="O374" i="7"/>
  <c r="P374" i="7"/>
  <c r="Q374" i="7"/>
  <c r="N374" i="7"/>
  <c r="G362" i="7"/>
  <c r="H362" i="7"/>
  <c r="I362" i="7"/>
  <c r="J362" i="7"/>
  <c r="O358" i="7"/>
  <c r="P358" i="7"/>
  <c r="Q358" i="7"/>
  <c r="N358" i="7"/>
  <c r="J398" i="7"/>
  <c r="I398" i="7"/>
  <c r="G398" i="7"/>
  <c r="H398" i="7"/>
  <c r="J394" i="7"/>
  <c r="I394" i="7"/>
  <c r="G394" i="7"/>
  <c r="H394" i="7"/>
  <c r="I385" i="7"/>
  <c r="J385" i="7"/>
  <c r="G385" i="7"/>
  <c r="H385" i="7"/>
  <c r="I381" i="7"/>
  <c r="J381" i="7"/>
  <c r="G381" i="7"/>
  <c r="H381" i="7"/>
  <c r="N377" i="7"/>
  <c r="O377" i="7"/>
  <c r="P377" i="7"/>
  <c r="Q377" i="7"/>
  <c r="N361" i="7"/>
  <c r="O361" i="7"/>
  <c r="P361" i="7"/>
  <c r="Q361" i="7"/>
  <c r="N373" i="7"/>
  <c r="O373" i="7"/>
  <c r="P373" i="7"/>
  <c r="Q373" i="7"/>
  <c r="N365" i="7"/>
  <c r="O365" i="7"/>
  <c r="P365" i="7"/>
  <c r="Q365" i="7"/>
  <c r="G399" i="7"/>
  <c r="J399" i="7"/>
  <c r="H399" i="7"/>
  <c r="I399" i="7"/>
  <c r="G395" i="7"/>
  <c r="J395" i="7"/>
  <c r="H395" i="7"/>
  <c r="I395" i="7"/>
  <c r="G391" i="7"/>
  <c r="J391" i="7"/>
  <c r="H391" i="7"/>
  <c r="I391" i="7"/>
  <c r="G383" i="7"/>
  <c r="H383" i="7"/>
  <c r="I383" i="7"/>
  <c r="J383" i="7"/>
  <c r="O378" i="7"/>
  <c r="P378" i="7"/>
  <c r="Q378" i="7"/>
  <c r="N378" i="7"/>
  <c r="G366" i="7"/>
  <c r="H366" i="7"/>
  <c r="I366" i="7"/>
  <c r="J366" i="7"/>
  <c r="O362" i="7"/>
  <c r="P362" i="7"/>
  <c r="Q362" i="7"/>
  <c r="N362" i="7"/>
  <c r="N398" i="7"/>
  <c r="Q398" i="7"/>
  <c r="O398" i="7"/>
  <c r="P398" i="7"/>
  <c r="N394" i="7"/>
  <c r="Q394" i="7"/>
  <c r="O394" i="7"/>
  <c r="P394" i="7"/>
  <c r="J390" i="7"/>
  <c r="G390" i="7"/>
  <c r="H390" i="7"/>
  <c r="I390" i="7"/>
  <c r="J386" i="7"/>
  <c r="I386" i="7"/>
  <c r="G386" i="7"/>
  <c r="H386" i="7"/>
  <c r="Q385" i="7"/>
  <c r="N385" i="7"/>
  <c r="P385" i="7"/>
  <c r="O385" i="7"/>
  <c r="Q381" i="7"/>
  <c r="N381" i="7"/>
  <c r="O381" i="7"/>
  <c r="P381" i="7"/>
  <c r="I380" i="7"/>
  <c r="J380" i="7"/>
  <c r="G380" i="7"/>
  <c r="H380" i="7"/>
  <c r="I376" i="7"/>
  <c r="J376" i="7"/>
  <c r="G376" i="7"/>
  <c r="H376" i="7"/>
  <c r="I372" i="7"/>
  <c r="J372" i="7"/>
  <c r="G372" i="7"/>
  <c r="H372" i="7"/>
  <c r="I368" i="7"/>
  <c r="J368" i="7"/>
  <c r="G368" i="7"/>
  <c r="H368" i="7"/>
  <c r="I364" i="7"/>
  <c r="J364" i="7"/>
  <c r="G364" i="7"/>
  <c r="H364" i="7"/>
  <c r="I360" i="7"/>
  <c r="J360" i="7"/>
  <c r="G360" i="7"/>
  <c r="H360" i="7"/>
  <c r="I356" i="7"/>
  <c r="J356" i="7"/>
  <c r="G356" i="7"/>
  <c r="H356" i="7"/>
  <c r="J377" i="7"/>
  <c r="G377" i="7"/>
  <c r="H377" i="7"/>
  <c r="I377" i="7"/>
  <c r="J361" i="7"/>
  <c r="G361" i="7"/>
  <c r="H361" i="7"/>
  <c r="I361" i="7"/>
  <c r="J373" i="7"/>
  <c r="G373" i="7"/>
  <c r="H373" i="7"/>
  <c r="I373" i="7"/>
  <c r="J365" i="7"/>
  <c r="G365" i="7"/>
  <c r="H365" i="7"/>
  <c r="I365" i="7"/>
  <c r="K311" i="7"/>
  <c r="S311" i="7"/>
  <c r="AA311" i="7"/>
  <c r="AI311" i="7"/>
  <c r="K315" i="7"/>
  <c r="S315" i="7"/>
  <c r="AA315" i="7"/>
  <c r="AI315" i="7"/>
  <c r="K319" i="7"/>
  <c r="S319" i="7"/>
  <c r="AA319" i="7"/>
  <c r="AI319" i="7"/>
  <c r="AI280" i="7"/>
  <c r="K279" i="7"/>
  <c r="AI277" i="7"/>
  <c r="AI276" i="7"/>
  <c r="AI275" i="7"/>
  <c r="AI273" i="7"/>
  <c r="AA272" i="7"/>
  <c r="AI271" i="7"/>
  <c r="AI269" i="7"/>
  <c r="AA268" i="7"/>
  <c r="AI267" i="7"/>
  <c r="AI265" i="7"/>
  <c r="AA264" i="7"/>
  <c r="AI263" i="7"/>
  <c r="AI261" i="7"/>
  <c r="AA260" i="7"/>
  <c r="AI259" i="7"/>
  <c r="AI258" i="7"/>
  <c r="AI257" i="7"/>
  <c r="AA256" i="7"/>
  <c r="AI255" i="7"/>
  <c r="AI253" i="7"/>
  <c r="AA252" i="7"/>
  <c r="AI251" i="7"/>
  <c r="AI249" i="7"/>
  <c r="AA248" i="7"/>
  <c r="AI247" i="7"/>
  <c r="AI245" i="7"/>
  <c r="AA244" i="7"/>
  <c r="AI243" i="7"/>
  <c r="AI241" i="7"/>
  <c r="AA240" i="7"/>
  <c r="AI239" i="7"/>
  <c r="AI237" i="7"/>
  <c r="AA236" i="7"/>
  <c r="AI235" i="7"/>
  <c r="AI234" i="7"/>
  <c r="AI233" i="7"/>
  <c r="AA232" i="7"/>
  <c r="AI231" i="7"/>
  <c r="AI229" i="7"/>
  <c r="AA228" i="7"/>
  <c r="AI227" i="7"/>
  <c r="AI225" i="7"/>
  <c r="AA224" i="7"/>
  <c r="AI223" i="7"/>
  <c r="AI222" i="7"/>
  <c r="AI221" i="7"/>
  <c r="AA220" i="7"/>
  <c r="AI219" i="7"/>
  <c r="AI218" i="7"/>
  <c r="AI217" i="7"/>
  <c r="AA216" i="7"/>
  <c r="AI215" i="7"/>
  <c r="AI214" i="7"/>
  <c r="AI213" i="7"/>
  <c r="AA212" i="7"/>
  <c r="AI211" i="7"/>
  <c r="AI209" i="7"/>
  <c r="AA208" i="7"/>
  <c r="H316" i="7" l="1"/>
  <c r="J342" i="7"/>
  <c r="J346" i="7"/>
  <c r="H338" i="7"/>
  <c r="I346" i="7"/>
  <c r="H337" i="7"/>
  <c r="Q316" i="7"/>
  <c r="O337" i="7"/>
  <c r="I355" i="7"/>
  <c r="P309" i="7"/>
  <c r="H335" i="7"/>
  <c r="Q308" i="7"/>
  <c r="P338" i="7"/>
  <c r="Q324" i="7"/>
  <c r="I338" i="7"/>
  <c r="J297" i="7"/>
  <c r="G350" i="7"/>
  <c r="N338" i="7"/>
  <c r="H346" i="7"/>
  <c r="J338" i="7"/>
  <c r="G323" i="7"/>
  <c r="J335" i="7"/>
  <c r="J336" i="7"/>
  <c r="S248" i="7"/>
  <c r="P248" i="7" s="1"/>
  <c r="N305" i="7"/>
  <c r="O305" i="7"/>
  <c r="Q346" i="7"/>
  <c r="N312" i="7"/>
  <c r="G288" i="7"/>
  <c r="N346" i="7"/>
  <c r="Q305" i="7"/>
  <c r="N292" i="7"/>
  <c r="I288" i="7"/>
  <c r="J355" i="7"/>
  <c r="N316" i="7"/>
  <c r="Q320" i="7"/>
  <c r="J285" i="7"/>
  <c r="G355" i="7"/>
  <c r="I284" i="7"/>
  <c r="G284" i="7"/>
  <c r="P316" i="7"/>
  <c r="G285" i="7"/>
  <c r="H285" i="7"/>
  <c r="K276" i="7"/>
  <c r="H276" i="7" s="1"/>
  <c r="K259" i="7"/>
  <c r="I259" i="7" s="1"/>
  <c r="K223" i="7"/>
  <c r="I223" i="7" s="1"/>
  <c r="N301" i="7"/>
  <c r="S244" i="7"/>
  <c r="P244" i="7" s="1"/>
  <c r="AA276" i="7"/>
  <c r="AA215" i="7"/>
  <c r="S264" i="7"/>
  <c r="P264" i="7" s="1"/>
  <c r="O296" i="7"/>
  <c r="J350" i="7"/>
  <c r="H324" i="7"/>
  <c r="I312" i="7"/>
  <c r="I337" i="7"/>
  <c r="P301" i="7"/>
  <c r="K215" i="7"/>
  <c r="I215" i="7" s="1"/>
  <c r="S228" i="7"/>
  <c r="P228" i="7" s="1"/>
  <c r="K231" i="7"/>
  <c r="I231" i="7" s="1"/>
  <c r="Q296" i="7"/>
  <c r="P346" i="7"/>
  <c r="I336" i="7"/>
  <c r="N324" i="7"/>
  <c r="P324" i="7"/>
  <c r="G337" i="7"/>
  <c r="P332" i="7"/>
  <c r="I324" i="7"/>
  <c r="AA211" i="7"/>
  <c r="AA219" i="7"/>
  <c r="S260" i="7"/>
  <c r="P260" i="7" s="1"/>
  <c r="K263" i="7"/>
  <c r="I263" i="7" s="1"/>
  <c r="H350" i="7"/>
  <c r="I308" i="7"/>
  <c r="J300" i="7"/>
  <c r="N296" i="7"/>
  <c r="J288" i="7"/>
  <c r="J284" i="7"/>
  <c r="J324" i="7"/>
  <c r="J323" i="7"/>
  <c r="H297" i="7"/>
  <c r="K211" i="7"/>
  <c r="I211" i="7" s="1"/>
  <c r="K219" i="7"/>
  <c r="I219" i="7" s="1"/>
  <c r="S224" i="7"/>
  <c r="P224" i="7" s="1"/>
  <c r="K227" i="7"/>
  <c r="I227" i="7" s="1"/>
  <c r="S232" i="7"/>
  <c r="P232" i="7" s="1"/>
  <c r="K243" i="7"/>
  <c r="I243" i="7" s="1"/>
  <c r="S272" i="7"/>
  <c r="P272" i="7" s="1"/>
  <c r="K275" i="7"/>
  <c r="I275" i="7" s="1"/>
  <c r="Q331" i="7"/>
  <c r="G305" i="7"/>
  <c r="I342" i="7"/>
  <c r="N332" i="7"/>
  <c r="H328" i="7"/>
  <c r="P312" i="7"/>
  <c r="H312" i="7"/>
  <c r="O301" i="7"/>
  <c r="H323" i="7"/>
  <c r="G297" i="7"/>
  <c r="N281" i="7"/>
  <c r="I293" i="7"/>
  <c r="H293" i="7"/>
  <c r="AA255" i="7"/>
  <c r="AA267" i="7"/>
  <c r="N342" i="7"/>
  <c r="S208" i="7"/>
  <c r="P208" i="7" s="1"/>
  <c r="S212" i="7"/>
  <c r="P212" i="7" s="1"/>
  <c r="S216" i="7"/>
  <c r="P216" i="7" s="1"/>
  <c r="S220" i="7"/>
  <c r="P220" i="7" s="1"/>
  <c r="AA231" i="7"/>
  <c r="S240" i="7"/>
  <c r="P240" i="7" s="1"/>
  <c r="AA247" i="7"/>
  <c r="K251" i="7"/>
  <c r="G251" i="7" s="1"/>
  <c r="S256" i="7"/>
  <c r="P256" i="7" s="1"/>
  <c r="AA263" i="7"/>
  <c r="AA280" i="7"/>
  <c r="Q332" i="7"/>
  <c r="I305" i="7"/>
  <c r="Q292" i="7"/>
  <c r="Q342" i="7"/>
  <c r="N336" i="7"/>
  <c r="P336" i="7"/>
  <c r="N328" i="7"/>
  <c r="P328" i="7"/>
  <c r="J312" i="7"/>
  <c r="AA239" i="7"/>
  <c r="AA235" i="7"/>
  <c r="K239" i="7"/>
  <c r="J239" i="7" s="1"/>
  <c r="AA251" i="7"/>
  <c r="K255" i="7"/>
  <c r="J255" i="7" s="1"/>
  <c r="K271" i="7"/>
  <c r="G271" i="7" s="1"/>
  <c r="J308" i="7"/>
  <c r="Q312" i="7"/>
  <c r="P342" i="7"/>
  <c r="AA223" i="7"/>
  <c r="AA227" i="7"/>
  <c r="K235" i="7"/>
  <c r="S236" i="7"/>
  <c r="P236" i="7" s="1"/>
  <c r="AA243" i="7"/>
  <c r="K247" i="7"/>
  <c r="J247" i="7" s="1"/>
  <c r="S252" i="7"/>
  <c r="P252" i="7" s="1"/>
  <c r="AA259" i="7"/>
  <c r="K267" i="7"/>
  <c r="S268" i="7"/>
  <c r="P268" i="7" s="1"/>
  <c r="AA271" i="7"/>
  <c r="AA275" i="7"/>
  <c r="K280" i="7"/>
  <c r="H280" i="7" s="1"/>
  <c r="H342" i="7"/>
  <c r="H336" i="7"/>
  <c r="J305" i="7"/>
  <c r="O292" i="7"/>
  <c r="Q336" i="7"/>
  <c r="Q328" i="7"/>
  <c r="N320" i="7"/>
  <c r="P320" i="7"/>
  <c r="J293" i="7"/>
  <c r="O281" i="7"/>
  <c r="P281" i="7"/>
  <c r="G293" i="7"/>
  <c r="I279" i="7"/>
  <c r="G279" i="7"/>
  <c r="J279" i="7"/>
  <c r="H279" i="7"/>
  <c r="H349" i="7"/>
  <c r="G349" i="7"/>
  <c r="J349" i="7"/>
  <c r="P327" i="7"/>
  <c r="O327" i="7"/>
  <c r="N327" i="7"/>
  <c r="I313" i="7"/>
  <c r="G313" i="7"/>
  <c r="H313" i="7"/>
  <c r="N308" i="7"/>
  <c r="O308" i="7"/>
  <c r="I281" i="7"/>
  <c r="H281" i="7"/>
  <c r="J281" i="7"/>
  <c r="G281" i="7"/>
  <c r="P349" i="7"/>
  <c r="N349" i="7"/>
  <c r="O349" i="7"/>
  <c r="H345" i="7"/>
  <c r="G345" i="7"/>
  <c r="J345" i="7"/>
  <c r="I301" i="7"/>
  <c r="H301" i="7"/>
  <c r="J301" i="7"/>
  <c r="G301" i="7"/>
  <c r="AI279" i="7"/>
  <c r="K208" i="7"/>
  <c r="G208" i="7" s="1"/>
  <c r="S211" i="7"/>
  <c r="K212" i="7"/>
  <c r="J212" i="7" s="1"/>
  <c r="S215" i="7"/>
  <c r="K216" i="7"/>
  <c r="I216" i="7" s="1"/>
  <c r="S219" i="7"/>
  <c r="K220" i="7"/>
  <c r="J220" i="7" s="1"/>
  <c r="S223" i="7"/>
  <c r="K224" i="7"/>
  <c r="J224" i="7" s="1"/>
  <c r="S227" i="7"/>
  <c r="K228" i="7"/>
  <c r="J228" i="7" s="1"/>
  <c r="S231" i="7"/>
  <c r="K232" i="7"/>
  <c r="J232" i="7" s="1"/>
  <c r="S235" i="7"/>
  <c r="K236" i="7"/>
  <c r="J236" i="7" s="1"/>
  <c r="S239" i="7"/>
  <c r="K240" i="7"/>
  <c r="I240" i="7" s="1"/>
  <c r="S243" i="7"/>
  <c r="K244" i="7"/>
  <c r="I244" i="7" s="1"/>
  <c r="S247" i="7"/>
  <c r="K248" i="7"/>
  <c r="G248" i="7" s="1"/>
  <c r="S251" i="7"/>
  <c r="K252" i="7"/>
  <c r="J252" i="7" s="1"/>
  <c r="S255" i="7"/>
  <c r="K256" i="7"/>
  <c r="J256" i="7" s="1"/>
  <c r="S259" i="7"/>
  <c r="K260" i="7"/>
  <c r="J260" i="7" s="1"/>
  <c r="S263" i="7"/>
  <c r="K264" i="7"/>
  <c r="J264" i="7" s="1"/>
  <c r="S267" i="7"/>
  <c r="K268" i="7"/>
  <c r="G268" i="7" s="1"/>
  <c r="S271" i="7"/>
  <c r="K272" i="7"/>
  <c r="I272" i="7" s="1"/>
  <c r="S275" i="7"/>
  <c r="AA279" i="7"/>
  <c r="S280" i="7"/>
  <c r="P280" i="7" s="1"/>
  <c r="Q338" i="7"/>
  <c r="I328" i="7"/>
  <c r="I316" i="7"/>
  <c r="N300" i="7"/>
  <c r="O300" i="7"/>
  <c r="N355" i="7"/>
  <c r="P355" i="7"/>
  <c r="P345" i="7"/>
  <c r="N345" i="7"/>
  <c r="O345" i="7"/>
  <c r="H341" i="7"/>
  <c r="G341" i="7"/>
  <c r="J341" i="7"/>
  <c r="G308" i="7"/>
  <c r="Q313" i="7"/>
  <c r="P313" i="7"/>
  <c r="O313" i="7"/>
  <c r="H331" i="7"/>
  <c r="G331" i="7"/>
  <c r="J331" i="7"/>
  <c r="Q297" i="7"/>
  <c r="P297" i="7"/>
  <c r="N297" i="7"/>
  <c r="O297" i="7"/>
  <c r="Q293" i="7"/>
  <c r="P293" i="7"/>
  <c r="O293" i="7"/>
  <c r="N293" i="7"/>
  <c r="AI212" i="7"/>
  <c r="AI216" i="7"/>
  <c r="AI228" i="7"/>
  <c r="AI232" i="7"/>
  <c r="AI240" i="7"/>
  <c r="AI260" i="7"/>
  <c r="S276" i="7"/>
  <c r="N276" i="7" s="1"/>
  <c r="J328" i="7"/>
  <c r="J316" i="7"/>
  <c r="N337" i="7"/>
  <c r="P337" i="7"/>
  <c r="N309" i="7"/>
  <c r="O355" i="7"/>
  <c r="Q355" i="7"/>
  <c r="P341" i="7"/>
  <c r="N341" i="7"/>
  <c r="O341" i="7"/>
  <c r="Q317" i="7"/>
  <c r="P317" i="7"/>
  <c r="O317" i="7"/>
  <c r="Q289" i="7"/>
  <c r="N289" i="7"/>
  <c r="O289" i="7"/>
  <c r="P289" i="7"/>
  <c r="Q354" i="7"/>
  <c r="N354" i="7"/>
  <c r="O354" i="7"/>
  <c r="P354" i="7"/>
  <c r="H300" i="7"/>
  <c r="G300" i="7"/>
  <c r="P331" i="7"/>
  <c r="O331" i="7"/>
  <c r="N331" i="7"/>
  <c r="H327" i="7"/>
  <c r="G327" i="7"/>
  <c r="J327" i="7"/>
  <c r="I317" i="7"/>
  <c r="G317" i="7"/>
  <c r="H317" i="7"/>
  <c r="AI208" i="7"/>
  <c r="AI220" i="7"/>
  <c r="AI224" i="7"/>
  <c r="AI236" i="7"/>
  <c r="AI244" i="7"/>
  <c r="AI248" i="7"/>
  <c r="AI252" i="7"/>
  <c r="AI256" i="7"/>
  <c r="AI264" i="7"/>
  <c r="AI268" i="7"/>
  <c r="AI272" i="7"/>
  <c r="S279" i="7"/>
  <c r="I349" i="7"/>
  <c r="Q327" i="7"/>
  <c r="Q300" i="7"/>
  <c r="Q309" i="7"/>
  <c r="P308" i="7"/>
  <c r="I339" i="7"/>
  <c r="J339" i="7"/>
  <c r="G339" i="7"/>
  <c r="H339" i="7"/>
  <c r="Q325" i="7"/>
  <c r="N325" i="7"/>
  <c r="O325" i="7"/>
  <c r="P325" i="7"/>
  <c r="N302" i="7"/>
  <c r="O302" i="7"/>
  <c r="Q302" i="7"/>
  <c r="P302" i="7"/>
  <c r="J298" i="7"/>
  <c r="I298" i="7"/>
  <c r="G298" i="7"/>
  <c r="H298" i="7"/>
  <c r="N303" i="7"/>
  <c r="Q303" i="7"/>
  <c r="O303" i="7"/>
  <c r="P303" i="7"/>
  <c r="J340" i="7"/>
  <c r="G340" i="7"/>
  <c r="H340" i="7"/>
  <c r="I340" i="7"/>
  <c r="N318" i="7"/>
  <c r="O318" i="7"/>
  <c r="P318" i="7"/>
  <c r="Q318" i="7"/>
  <c r="G307" i="7"/>
  <c r="H307" i="7"/>
  <c r="J307" i="7"/>
  <c r="I307" i="7"/>
  <c r="N353" i="7"/>
  <c r="O353" i="7"/>
  <c r="P353" i="7"/>
  <c r="Q353" i="7"/>
  <c r="N310" i="7"/>
  <c r="O310" i="7"/>
  <c r="Q310" i="7"/>
  <c r="P310" i="7"/>
  <c r="N330" i="7"/>
  <c r="O330" i="7"/>
  <c r="P330" i="7"/>
  <c r="Q330" i="7"/>
  <c r="I351" i="7"/>
  <c r="J351" i="7"/>
  <c r="G351" i="7"/>
  <c r="H351" i="7"/>
  <c r="Q343" i="7"/>
  <c r="N343" i="7"/>
  <c r="O343" i="7"/>
  <c r="P343" i="7"/>
  <c r="I321" i="7"/>
  <c r="J321" i="7"/>
  <c r="G321" i="7"/>
  <c r="H321" i="7"/>
  <c r="N352" i="7"/>
  <c r="O352" i="7"/>
  <c r="P352" i="7"/>
  <c r="Q352" i="7"/>
  <c r="J290" i="7"/>
  <c r="G290" i="7"/>
  <c r="H290" i="7"/>
  <c r="I290" i="7"/>
  <c r="N334" i="7"/>
  <c r="O334" i="7"/>
  <c r="P334" i="7"/>
  <c r="Q334" i="7"/>
  <c r="J306" i="7"/>
  <c r="G306" i="7"/>
  <c r="I306" i="7"/>
  <c r="H306" i="7"/>
  <c r="J322" i="7"/>
  <c r="G322" i="7"/>
  <c r="H322" i="7"/>
  <c r="I322" i="7"/>
  <c r="O319" i="7"/>
  <c r="P319" i="7"/>
  <c r="Q319" i="7"/>
  <c r="N319" i="7"/>
  <c r="G315" i="7"/>
  <c r="H315" i="7"/>
  <c r="I315" i="7"/>
  <c r="J315" i="7"/>
  <c r="G311" i="7"/>
  <c r="H311" i="7"/>
  <c r="I311" i="7"/>
  <c r="J311" i="7"/>
  <c r="Q351" i="7"/>
  <c r="N351" i="7"/>
  <c r="O351" i="7"/>
  <c r="P351" i="7"/>
  <c r="Q339" i="7"/>
  <c r="N339" i="7"/>
  <c r="O339" i="7"/>
  <c r="P339" i="7"/>
  <c r="I333" i="7"/>
  <c r="J333" i="7"/>
  <c r="G333" i="7"/>
  <c r="H333" i="7"/>
  <c r="Q321" i="7"/>
  <c r="N321" i="7"/>
  <c r="O321" i="7"/>
  <c r="P321" i="7"/>
  <c r="G304" i="7"/>
  <c r="H304" i="7"/>
  <c r="J304" i="7"/>
  <c r="I304" i="7"/>
  <c r="G299" i="7"/>
  <c r="H299" i="7"/>
  <c r="J299" i="7"/>
  <c r="I299" i="7"/>
  <c r="G295" i="7"/>
  <c r="H295" i="7"/>
  <c r="I295" i="7"/>
  <c r="J295" i="7"/>
  <c r="G291" i="7"/>
  <c r="H291" i="7"/>
  <c r="J291" i="7"/>
  <c r="I291" i="7"/>
  <c r="G287" i="7"/>
  <c r="H287" i="7"/>
  <c r="I287" i="7"/>
  <c r="J287" i="7"/>
  <c r="G283" i="7"/>
  <c r="H283" i="7"/>
  <c r="J283" i="7"/>
  <c r="I283" i="7"/>
  <c r="N298" i="7"/>
  <c r="O298" i="7"/>
  <c r="Q298" i="7"/>
  <c r="P298" i="7"/>
  <c r="J352" i="7"/>
  <c r="G352" i="7"/>
  <c r="H352" i="7"/>
  <c r="I352" i="7"/>
  <c r="J302" i="7"/>
  <c r="G302" i="7"/>
  <c r="H302" i="7"/>
  <c r="I302" i="7"/>
  <c r="N290" i="7"/>
  <c r="O290" i="7"/>
  <c r="Q290" i="7"/>
  <c r="P290" i="7"/>
  <c r="N348" i="7"/>
  <c r="O348" i="7"/>
  <c r="P348" i="7"/>
  <c r="Q348" i="7"/>
  <c r="J334" i="7"/>
  <c r="G334" i="7"/>
  <c r="H334" i="7"/>
  <c r="I334" i="7"/>
  <c r="J318" i="7"/>
  <c r="G318" i="7"/>
  <c r="H318" i="7"/>
  <c r="I318" i="7"/>
  <c r="J353" i="7"/>
  <c r="G353" i="7"/>
  <c r="H353" i="7"/>
  <c r="I353" i="7"/>
  <c r="J310" i="7"/>
  <c r="G310" i="7"/>
  <c r="I310" i="7"/>
  <c r="H310" i="7"/>
  <c r="N344" i="7"/>
  <c r="O344" i="7"/>
  <c r="P344" i="7"/>
  <c r="Q344" i="7"/>
  <c r="J330" i="7"/>
  <c r="G330" i="7"/>
  <c r="H330" i="7"/>
  <c r="I330" i="7"/>
  <c r="K209" i="7"/>
  <c r="S209" i="7"/>
  <c r="AA209" i="7"/>
  <c r="K213" i="7"/>
  <c r="S213" i="7"/>
  <c r="AA213" i="7"/>
  <c r="K217" i="7"/>
  <c r="S217" i="7"/>
  <c r="AA217" i="7"/>
  <c r="K221" i="7"/>
  <c r="S221" i="7"/>
  <c r="AA221" i="7"/>
  <c r="K225" i="7"/>
  <c r="S225" i="7"/>
  <c r="AA225" i="7"/>
  <c r="K229" i="7"/>
  <c r="S229" i="7"/>
  <c r="AA229" i="7"/>
  <c r="K233" i="7"/>
  <c r="S233" i="7"/>
  <c r="AA233" i="7"/>
  <c r="K237" i="7"/>
  <c r="S237" i="7"/>
  <c r="AA237" i="7"/>
  <c r="K241" i="7"/>
  <c r="S241" i="7"/>
  <c r="AA241" i="7"/>
  <c r="K245" i="7"/>
  <c r="S245" i="7"/>
  <c r="AA245" i="7"/>
  <c r="K249" i="7"/>
  <c r="S249" i="7"/>
  <c r="AA249" i="7"/>
  <c r="K253" i="7"/>
  <c r="S253" i="7"/>
  <c r="AA253" i="7"/>
  <c r="K257" i="7"/>
  <c r="S257" i="7"/>
  <c r="AA257" i="7"/>
  <c r="K261" i="7"/>
  <c r="S261" i="7"/>
  <c r="AA261" i="7"/>
  <c r="K265" i="7"/>
  <c r="S265" i="7"/>
  <c r="AA265" i="7"/>
  <c r="K269" i="7"/>
  <c r="S269" i="7"/>
  <c r="AA269" i="7"/>
  <c r="K273" i="7"/>
  <c r="S273" i="7"/>
  <c r="AA273" i="7"/>
  <c r="K277" i="7"/>
  <c r="S277" i="7"/>
  <c r="AA277" i="7"/>
  <c r="G319" i="7"/>
  <c r="H319" i="7"/>
  <c r="I319" i="7"/>
  <c r="J319" i="7"/>
  <c r="O315" i="7"/>
  <c r="P315" i="7"/>
  <c r="Q315" i="7"/>
  <c r="N315" i="7"/>
  <c r="O311" i="7"/>
  <c r="P311" i="7"/>
  <c r="Q311" i="7"/>
  <c r="N311" i="7"/>
  <c r="I347" i="7"/>
  <c r="J347" i="7"/>
  <c r="G347" i="7"/>
  <c r="H347" i="7"/>
  <c r="Q333" i="7"/>
  <c r="N333" i="7"/>
  <c r="O333" i="7"/>
  <c r="P333" i="7"/>
  <c r="I329" i="7"/>
  <c r="J329" i="7"/>
  <c r="G329" i="7"/>
  <c r="H329" i="7"/>
  <c r="O304" i="7"/>
  <c r="P304" i="7"/>
  <c r="Q304" i="7"/>
  <c r="N304" i="7"/>
  <c r="O299" i="7"/>
  <c r="P299" i="7"/>
  <c r="Q299" i="7"/>
  <c r="N299" i="7"/>
  <c r="O295" i="7"/>
  <c r="P295" i="7"/>
  <c r="N295" i="7"/>
  <c r="Q295" i="7"/>
  <c r="O291" i="7"/>
  <c r="N291" i="7"/>
  <c r="P291" i="7"/>
  <c r="Q291" i="7"/>
  <c r="O287" i="7"/>
  <c r="P287" i="7"/>
  <c r="N287" i="7"/>
  <c r="Q287" i="7"/>
  <c r="O283" i="7"/>
  <c r="N283" i="7"/>
  <c r="P283" i="7"/>
  <c r="Q283" i="7"/>
  <c r="J282" i="7"/>
  <c r="G282" i="7"/>
  <c r="H282" i="7"/>
  <c r="I282" i="7"/>
  <c r="J294" i="7"/>
  <c r="G294" i="7"/>
  <c r="I294" i="7"/>
  <c r="H294" i="7"/>
  <c r="J348" i="7"/>
  <c r="G348" i="7"/>
  <c r="H348" i="7"/>
  <c r="I348" i="7"/>
  <c r="N326" i="7"/>
  <c r="O326" i="7"/>
  <c r="P326" i="7"/>
  <c r="Q326" i="7"/>
  <c r="N314" i="7"/>
  <c r="O314" i="7"/>
  <c r="P314" i="7"/>
  <c r="Q314" i="7"/>
  <c r="J344" i="7"/>
  <c r="G344" i="7"/>
  <c r="H344" i="7"/>
  <c r="I344" i="7"/>
  <c r="K210" i="7"/>
  <c r="S210" i="7"/>
  <c r="AA210" i="7"/>
  <c r="K230" i="7"/>
  <c r="S230" i="7"/>
  <c r="AA230" i="7"/>
  <c r="AI230" i="7"/>
  <c r="K234" i="7"/>
  <c r="S234" i="7"/>
  <c r="AA234" i="7"/>
  <c r="AI238" i="7"/>
  <c r="K242" i="7"/>
  <c r="S242" i="7"/>
  <c r="AA242" i="7"/>
  <c r="AI242" i="7"/>
  <c r="K246" i="7"/>
  <c r="S246" i="7"/>
  <c r="AA246" i="7"/>
  <c r="AI246" i="7"/>
  <c r="K254" i="7"/>
  <c r="S254" i="7"/>
  <c r="AA254" i="7"/>
  <c r="AI254" i="7"/>
  <c r="K258" i="7"/>
  <c r="S258" i="7"/>
  <c r="AA258" i="7"/>
  <c r="K262" i="7"/>
  <c r="S262" i="7"/>
  <c r="AA262" i="7"/>
  <c r="AI262" i="7"/>
  <c r="K266" i="7"/>
  <c r="S266" i="7"/>
  <c r="AA266" i="7"/>
  <c r="AI266" i="7"/>
  <c r="K270" i="7"/>
  <c r="S270" i="7"/>
  <c r="AA270" i="7"/>
  <c r="AI270" i="7"/>
  <c r="K274" i="7"/>
  <c r="S274" i="7"/>
  <c r="AA274" i="7"/>
  <c r="AI274" i="7"/>
  <c r="K278" i="7"/>
  <c r="S278" i="7"/>
  <c r="AA278" i="7"/>
  <c r="AI278" i="7"/>
  <c r="Q347" i="7"/>
  <c r="N347" i="7"/>
  <c r="O347" i="7"/>
  <c r="P347" i="7"/>
  <c r="I343" i="7"/>
  <c r="J343" i="7"/>
  <c r="G343" i="7"/>
  <c r="H343" i="7"/>
  <c r="Q329" i="7"/>
  <c r="N329" i="7"/>
  <c r="O329" i="7"/>
  <c r="P329" i="7"/>
  <c r="I325" i="7"/>
  <c r="J325" i="7"/>
  <c r="G325" i="7"/>
  <c r="H325" i="7"/>
  <c r="N286" i="7"/>
  <c r="O286" i="7"/>
  <c r="Q286" i="7"/>
  <c r="P286" i="7"/>
  <c r="N282" i="7"/>
  <c r="O282" i="7"/>
  <c r="Q282" i="7"/>
  <c r="P282" i="7"/>
  <c r="J303" i="7"/>
  <c r="I303" i="7"/>
  <c r="G303" i="7"/>
  <c r="H303" i="7"/>
  <c r="N294" i="7"/>
  <c r="O294" i="7"/>
  <c r="Q294" i="7"/>
  <c r="P294" i="7"/>
  <c r="N340" i="7"/>
  <c r="O340" i="7"/>
  <c r="P340" i="7"/>
  <c r="Q340" i="7"/>
  <c r="J326" i="7"/>
  <c r="G326" i="7"/>
  <c r="H326" i="7"/>
  <c r="I326" i="7"/>
  <c r="J314" i="7"/>
  <c r="G314" i="7"/>
  <c r="H314" i="7"/>
  <c r="I314" i="7"/>
  <c r="O307" i="7"/>
  <c r="P307" i="7"/>
  <c r="N307" i="7"/>
  <c r="Q307" i="7"/>
  <c r="N306" i="7"/>
  <c r="O306" i="7"/>
  <c r="Q306" i="7"/>
  <c r="P306" i="7"/>
  <c r="N322" i="7"/>
  <c r="O322" i="7"/>
  <c r="P322" i="7"/>
  <c r="Q322" i="7"/>
  <c r="AI210" i="7"/>
  <c r="K214" i="7"/>
  <c r="S214" i="7"/>
  <c r="AA214" i="7"/>
  <c r="K218" i="7"/>
  <c r="S218" i="7"/>
  <c r="AA218" i="7"/>
  <c r="K222" i="7"/>
  <c r="S222" i="7"/>
  <c r="AA222" i="7"/>
  <c r="K226" i="7"/>
  <c r="S226" i="7"/>
  <c r="AA226" i="7"/>
  <c r="AI226" i="7"/>
  <c r="K238" i="7"/>
  <c r="S238" i="7"/>
  <c r="AA238" i="7"/>
  <c r="K250" i="7"/>
  <c r="S250" i="7"/>
  <c r="AA250" i="7"/>
  <c r="AI250" i="7"/>
  <c r="AI206" i="7"/>
  <c r="AA201" i="7"/>
  <c r="AI198" i="7"/>
  <c r="S197" i="7"/>
  <c r="O197" i="7" s="1"/>
  <c r="AI196" i="7"/>
  <c r="K195" i="7"/>
  <c r="J195" i="7" s="1"/>
  <c r="S194" i="7"/>
  <c r="N194" i="7" s="1"/>
  <c r="AQ193" i="7"/>
  <c r="AA192" i="7"/>
  <c r="AQ191" i="7"/>
  <c r="AI190" i="7"/>
  <c r="AQ189" i="7"/>
  <c r="S188" i="7"/>
  <c r="N188" i="7" s="1"/>
  <c r="AI187" i="7"/>
  <c r="S186" i="7"/>
  <c r="N186" i="7" s="1"/>
  <c r="AA185" i="7"/>
  <c r="AA184" i="7"/>
  <c r="AQ183" i="7"/>
  <c r="AI182" i="7"/>
  <c r="AQ181" i="7"/>
  <c r="AA177" i="7"/>
  <c r="AA176" i="7"/>
  <c r="AQ175" i="7"/>
  <c r="AI174" i="7"/>
  <c r="AQ173" i="7"/>
  <c r="AA172" i="7"/>
  <c r="AI171" i="7"/>
  <c r="S170" i="7"/>
  <c r="N170" i="7" s="1"/>
  <c r="AA169" i="7"/>
  <c r="AQ168" i="7"/>
  <c r="AQ167" i="7"/>
  <c r="AI166" i="7"/>
  <c r="S165" i="7"/>
  <c r="S164" i="7"/>
  <c r="N164" i="7" s="1"/>
  <c r="AQ163" i="7"/>
  <c r="S162" i="7"/>
  <c r="N162" i="7" s="1"/>
  <c r="AQ161" i="7"/>
  <c r="AA160" i="7"/>
  <c r="AQ159" i="7"/>
  <c r="AI158" i="7"/>
  <c r="AQ157" i="7"/>
  <c r="S156" i="7"/>
  <c r="N156" i="7" s="1"/>
  <c r="AI155" i="7"/>
  <c r="S154" i="7"/>
  <c r="N154" i="7" s="1"/>
  <c r="AA153" i="7"/>
  <c r="AA152" i="7"/>
  <c r="AQ151" i="7"/>
  <c r="AI150" i="7"/>
  <c r="AQ149" i="7"/>
  <c r="AA147" i="7"/>
  <c r="S146" i="7"/>
  <c r="S145" i="7"/>
  <c r="AA144" i="7"/>
  <c r="AQ143" i="7"/>
  <c r="AI142" i="7"/>
  <c r="AA141" i="7"/>
  <c r="AI140" i="7"/>
  <c r="AQ139" i="7"/>
  <c r="AI138" i="7"/>
  <c r="AI137" i="7"/>
  <c r="AI136" i="7"/>
  <c r="AQ135" i="7"/>
  <c r="AQ133" i="7"/>
  <c r="AA132" i="7"/>
  <c r="AI131" i="7"/>
  <c r="AI130" i="7"/>
  <c r="AI129" i="7"/>
  <c r="AA128" i="7"/>
  <c r="S127" i="7"/>
  <c r="AI126" i="7"/>
  <c r="AA125" i="7"/>
  <c r="AI124" i="7"/>
  <c r="AQ123" i="7"/>
  <c r="S122" i="7"/>
  <c r="AI121" i="7"/>
  <c r="K120" i="7"/>
  <c r="AQ119" i="7"/>
  <c r="AI118" i="7"/>
  <c r="S117" i="7"/>
  <c r="S116" i="7"/>
  <c r="AA115" i="7"/>
  <c r="AQ114" i="7"/>
  <c r="AQ113" i="7"/>
  <c r="K109" i="7"/>
  <c r="AQ108" i="7"/>
  <c r="K107" i="7"/>
  <c r="AQ106" i="7"/>
  <c r="K105" i="7"/>
  <c r="AQ104" i="7"/>
  <c r="AA103" i="7"/>
  <c r="AQ102" i="7"/>
  <c r="K101" i="7"/>
  <c r="AQ100" i="7"/>
  <c r="K99" i="7"/>
  <c r="AQ98" i="7"/>
  <c r="AQ97" i="7"/>
  <c r="AQ96" i="7"/>
  <c r="AQ95" i="7"/>
  <c r="AQ94" i="7"/>
  <c r="AQ93" i="7"/>
  <c r="AQ92" i="7"/>
  <c r="AQ91" i="7"/>
  <c r="AQ90" i="7"/>
  <c r="AQ89" i="7"/>
  <c r="AQ88" i="7"/>
  <c r="AQ87" i="7"/>
  <c r="AQ86" i="7"/>
  <c r="AQ85" i="7"/>
  <c r="AQ84" i="7"/>
  <c r="AQ83" i="7"/>
  <c r="AQ82" i="7"/>
  <c r="AQ81" i="7"/>
  <c r="AQ80" i="7"/>
  <c r="AQ79" i="7"/>
  <c r="AQ78" i="7"/>
  <c r="AQ77" i="7"/>
  <c r="AQ76" i="7"/>
  <c r="AQ75" i="7"/>
  <c r="AQ69" i="7"/>
  <c r="AQ62" i="7"/>
  <c r="AQ59" i="7"/>
  <c r="AQ56" i="7"/>
  <c r="Q264" i="7" l="1"/>
  <c r="N264" i="7"/>
  <c r="Q248" i="7"/>
  <c r="N248" i="7"/>
  <c r="O248" i="7"/>
  <c r="I208" i="7"/>
  <c r="H259" i="7"/>
  <c r="N220" i="7"/>
  <c r="Q224" i="7"/>
  <c r="J223" i="7"/>
  <c r="G223" i="7"/>
  <c r="N228" i="7"/>
  <c r="Q280" i="7"/>
  <c r="J275" i="7"/>
  <c r="J272" i="7"/>
  <c r="O216" i="7"/>
  <c r="G259" i="7"/>
  <c r="Q232" i="7"/>
  <c r="O264" i="7"/>
  <c r="G272" i="7"/>
  <c r="J276" i="7"/>
  <c r="O232" i="7"/>
  <c r="J259" i="7"/>
  <c r="G276" i="7"/>
  <c r="G247" i="7"/>
  <c r="O272" i="7"/>
  <c r="O220" i="7"/>
  <c r="Q272" i="7"/>
  <c r="N268" i="7"/>
  <c r="O224" i="7"/>
  <c r="J263" i="7"/>
  <c r="J227" i="7"/>
  <c r="G263" i="7"/>
  <c r="G231" i="7"/>
  <c r="I220" i="7"/>
  <c r="Q276" i="7"/>
  <c r="N272" i="7"/>
  <c r="N224" i="7"/>
  <c r="J231" i="7"/>
  <c r="N244" i="7"/>
  <c r="G275" i="7"/>
  <c r="H275" i="7"/>
  <c r="Q256" i="7"/>
  <c r="G227" i="7"/>
  <c r="I232" i="7"/>
  <c r="O256" i="7"/>
  <c r="I276" i="7"/>
  <c r="Q244" i="7"/>
  <c r="O244" i="7"/>
  <c r="G239" i="7"/>
  <c r="AQ146" i="7"/>
  <c r="K174" i="7"/>
  <c r="K162" i="7"/>
  <c r="J162" i="7" s="1"/>
  <c r="K160" i="7"/>
  <c r="AI172" i="7"/>
  <c r="H223" i="7"/>
  <c r="S172" i="7"/>
  <c r="N172" i="7" s="1"/>
  <c r="S196" i="7"/>
  <c r="O196" i="7" s="1"/>
  <c r="AQ118" i="7"/>
  <c r="K141" i="7"/>
  <c r="J141" i="7" s="1"/>
  <c r="S144" i="7"/>
  <c r="S176" i="7"/>
  <c r="N176" i="7" s="1"/>
  <c r="H227" i="7"/>
  <c r="AI160" i="7"/>
  <c r="H231" i="7"/>
  <c r="AA99" i="7"/>
  <c r="K118" i="7"/>
  <c r="G118" i="7" s="1"/>
  <c r="K146" i="7"/>
  <c r="AA164" i="7"/>
  <c r="K176" i="7"/>
  <c r="AQ185" i="7"/>
  <c r="AI186" i="7"/>
  <c r="K185" i="7"/>
  <c r="O186" i="7"/>
  <c r="AQ187" i="7"/>
  <c r="H215" i="7"/>
  <c r="K186" i="7"/>
  <c r="G186" i="7" s="1"/>
  <c r="K187" i="7"/>
  <c r="G187" i="7" s="1"/>
  <c r="Q228" i="7"/>
  <c r="G240" i="7"/>
  <c r="N252" i="7"/>
  <c r="J240" i="7"/>
  <c r="N216" i="7"/>
  <c r="N208" i="7"/>
  <c r="O208" i="7"/>
  <c r="J251" i="7"/>
  <c r="J235" i="7"/>
  <c r="J215" i="7"/>
  <c r="G243" i="7"/>
  <c r="G219" i="7"/>
  <c r="G215" i="7"/>
  <c r="H219" i="7"/>
  <c r="H211" i="7"/>
  <c r="S153" i="7"/>
  <c r="N153" i="7" s="1"/>
  <c r="AI188" i="7"/>
  <c r="Q252" i="7"/>
  <c r="I236" i="7"/>
  <c r="Q208" i="7"/>
  <c r="G236" i="7"/>
  <c r="K153" i="7"/>
  <c r="J153" i="7" s="1"/>
  <c r="AA188" i="7"/>
  <c r="S190" i="7"/>
  <c r="Q216" i="7"/>
  <c r="O260" i="7"/>
  <c r="G255" i="7"/>
  <c r="G235" i="7"/>
  <c r="K97" i="7"/>
  <c r="H97" i="7" s="1"/>
  <c r="S121" i="7"/>
  <c r="AA136" i="7"/>
  <c r="K142" i="7"/>
  <c r="K150" i="7"/>
  <c r="G150" i="7" s="1"/>
  <c r="S158" i="7"/>
  <c r="AI165" i="7"/>
  <c r="AA171" i="7"/>
  <c r="K192" i="7"/>
  <c r="O252" i="7"/>
  <c r="O228" i="7"/>
  <c r="J243" i="7"/>
  <c r="J219" i="7"/>
  <c r="I280" i="7"/>
  <c r="Q268" i="7"/>
  <c r="Q260" i="7"/>
  <c r="I256" i="7"/>
  <c r="Q240" i="7"/>
  <c r="I228" i="7"/>
  <c r="G256" i="7"/>
  <c r="J268" i="7"/>
  <c r="N260" i="7"/>
  <c r="N256" i="7"/>
  <c r="N232" i="7"/>
  <c r="O268" i="7"/>
  <c r="O212" i="7"/>
  <c r="O280" i="7"/>
  <c r="J267" i="7"/>
  <c r="H263" i="7"/>
  <c r="H243" i="7"/>
  <c r="AQ138" i="7"/>
  <c r="AI147" i="7"/>
  <c r="S189" i="7"/>
  <c r="O189" i="7" s="1"/>
  <c r="I268" i="7"/>
  <c r="J244" i="7"/>
  <c r="N240" i="7"/>
  <c r="G280" i="7"/>
  <c r="J211" i="7"/>
  <c r="G267" i="7"/>
  <c r="G211" i="7"/>
  <c r="AA97" i="7"/>
  <c r="AQ107" i="7"/>
  <c r="S114" i="7"/>
  <c r="N114" i="7" s="1"/>
  <c r="AA121" i="7"/>
  <c r="K128" i="7"/>
  <c r="K138" i="7"/>
  <c r="G138" i="7" s="1"/>
  <c r="S147" i="7"/>
  <c r="O147" i="7" s="1"/>
  <c r="AQ153" i="7"/>
  <c r="AA173" i="7"/>
  <c r="AA174" i="7"/>
  <c r="AQ186" i="7"/>
  <c r="K189" i="7"/>
  <c r="AI193" i="7"/>
  <c r="S195" i="7"/>
  <c r="O195" i="7" s="1"/>
  <c r="I224" i="7"/>
  <c r="G244" i="7"/>
  <c r="G224" i="7"/>
  <c r="I260" i="7"/>
  <c r="G232" i="7"/>
  <c r="J280" i="7"/>
  <c r="J248" i="7"/>
  <c r="O240" i="7"/>
  <c r="I267" i="7"/>
  <c r="H267" i="7"/>
  <c r="I255" i="7"/>
  <c r="H255" i="7"/>
  <c r="Q212" i="7"/>
  <c r="O236" i="7"/>
  <c r="N236" i="7"/>
  <c r="I247" i="7"/>
  <c r="H247" i="7"/>
  <c r="I239" i="7"/>
  <c r="H239" i="7"/>
  <c r="I251" i="7"/>
  <c r="H251" i="7"/>
  <c r="AA166" i="7"/>
  <c r="AQ166" i="7"/>
  <c r="AQ170" i="7"/>
  <c r="AA198" i="7"/>
  <c r="AQ131" i="7"/>
  <c r="AQ142" i="7"/>
  <c r="AQ154" i="7"/>
  <c r="AQ155" i="7"/>
  <c r="S157" i="7"/>
  <c r="Q157" i="7" s="1"/>
  <c r="S166" i="7"/>
  <c r="N166" i="7" s="1"/>
  <c r="AQ169" i="7"/>
  <c r="AI170" i="7"/>
  <c r="AA182" i="7"/>
  <c r="AQ190" i="7"/>
  <c r="S198" i="7"/>
  <c r="Q198" i="7" s="1"/>
  <c r="K103" i="7"/>
  <c r="I103" i="7" s="1"/>
  <c r="AA105" i="7"/>
  <c r="AA107" i="7"/>
  <c r="AQ128" i="7"/>
  <c r="S130" i="7"/>
  <c r="O130" i="7" s="1"/>
  <c r="AA131" i="7"/>
  <c r="S132" i="7"/>
  <c r="N132" i="7" s="1"/>
  <c r="AA133" i="7"/>
  <c r="S136" i="7"/>
  <c r="N136" i="7" s="1"/>
  <c r="AA138" i="7"/>
  <c r="AQ141" i="7"/>
  <c r="AA142" i="7"/>
  <c r="AA146" i="7"/>
  <c r="AA150" i="7"/>
  <c r="AI153" i="7"/>
  <c r="K154" i="7"/>
  <c r="G154" i="7" s="1"/>
  <c r="AI154" i="7"/>
  <c r="K155" i="7"/>
  <c r="H155" i="7" s="1"/>
  <c r="AA156" i="7"/>
  <c r="K157" i="7"/>
  <c r="H157" i="7" s="1"/>
  <c r="AQ158" i="7"/>
  <c r="AI161" i="7"/>
  <c r="S163" i="7"/>
  <c r="O163" i="7" s="1"/>
  <c r="K165" i="7"/>
  <c r="H165" i="7" s="1"/>
  <c r="K166" i="7"/>
  <c r="J166" i="7" s="1"/>
  <c r="S169" i="7"/>
  <c r="N169" i="7" s="1"/>
  <c r="AA170" i="7"/>
  <c r="K171" i="7"/>
  <c r="G171" i="7" s="1"/>
  <c r="S173" i="7"/>
  <c r="N173" i="7" s="1"/>
  <c r="S182" i="7"/>
  <c r="AQ182" i="7"/>
  <c r="S184" i="7"/>
  <c r="N184" i="7" s="1"/>
  <c r="AA186" i="7"/>
  <c r="AA187" i="7"/>
  <c r="AI189" i="7"/>
  <c r="K190" i="7"/>
  <c r="I190" i="7" s="1"/>
  <c r="AA190" i="7"/>
  <c r="AA197" i="7"/>
  <c r="K198" i="7"/>
  <c r="H198" i="7" s="1"/>
  <c r="S201" i="7"/>
  <c r="O201" i="7" s="1"/>
  <c r="K206" i="7"/>
  <c r="AA206" i="7"/>
  <c r="N280" i="7"/>
  <c r="I271" i="7"/>
  <c r="H271" i="7"/>
  <c r="I235" i="7"/>
  <c r="H235" i="7"/>
  <c r="S155" i="7"/>
  <c r="Q155" i="7" s="1"/>
  <c r="AA157" i="7"/>
  <c r="S206" i="7"/>
  <c r="P206" i="7" s="1"/>
  <c r="AQ105" i="7"/>
  <c r="AQ132" i="7"/>
  <c r="O154" i="7"/>
  <c r="AI156" i="7"/>
  <c r="AI185" i="7"/>
  <c r="AI197" i="7"/>
  <c r="AQ99" i="7"/>
  <c r="AI114" i="7"/>
  <c r="AI117" i="7"/>
  <c r="AA118" i="7"/>
  <c r="AI120" i="7"/>
  <c r="S128" i="7"/>
  <c r="N128" i="7" s="1"/>
  <c r="K131" i="7"/>
  <c r="J131" i="7" s="1"/>
  <c r="K132" i="7"/>
  <c r="G132" i="7" s="1"/>
  <c r="S133" i="7"/>
  <c r="K137" i="7"/>
  <c r="J137" i="7" s="1"/>
  <c r="S141" i="7"/>
  <c r="S150" i="7"/>
  <c r="P150" i="7" s="1"/>
  <c r="AQ150" i="7"/>
  <c r="S152" i="7"/>
  <c r="N152" i="7" s="1"/>
  <c r="AA154" i="7"/>
  <c r="AA155" i="7"/>
  <c r="AI157" i="7"/>
  <c r="K158" i="7"/>
  <c r="I158" i="7" s="1"/>
  <c r="AA158" i="7"/>
  <c r="K169" i="7"/>
  <c r="I169" i="7" s="1"/>
  <c r="O170" i="7"/>
  <c r="AQ171" i="7"/>
  <c r="S174" i="7"/>
  <c r="AQ174" i="7"/>
  <c r="AI176" i="7"/>
  <c r="K182" i="7"/>
  <c r="S185" i="7"/>
  <c r="N185" i="7" s="1"/>
  <c r="S187" i="7"/>
  <c r="AA189" i="7"/>
  <c r="AI192" i="7"/>
  <c r="K194" i="7"/>
  <c r="AQ195" i="7"/>
  <c r="K197" i="7"/>
  <c r="G197" i="7" s="1"/>
  <c r="K201" i="7"/>
  <c r="G201" i="7" s="1"/>
  <c r="Q236" i="7"/>
  <c r="Q220" i="7"/>
  <c r="N212" i="7"/>
  <c r="J271" i="7"/>
  <c r="H107" i="7"/>
  <c r="H109" i="7"/>
  <c r="N116" i="7"/>
  <c r="N122" i="7"/>
  <c r="O122" i="7"/>
  <c r="H99" i="7"/>
  <c r="H101" i="7"/>
  <c r="N127" i="7"/>
  <c r="O127" i="7"/>
  <c r="AQ134" i="7"/>
  <c r="K134" i="7"/>
  <c r="I134" i="7" s="1"/>
  <c r="AA134" i="7"/>
  <c r="AQ145" i="7"/>
  <c r="AA145" i="7"/>
  <c r="K145" i="7"/>
  <c r="I145" i="7" s="1"/>
  <c r="AQ148" i="7"/>
  <c r="K148" i="7"/>
  <c r="H148" i="7" s="1"/>
  <c r="S148" i="7"/>
  <c r="N148" i="7" s="1"/>
  <c r="AA148" i="7"/>
  <c r="AI148" i="7"/>
  <c r="AA179" i="7"/>
  <c r="S179" i="7"/>
  <c r="AQ179" i="7"/>
  <c r="K179" i="7"/>
  <c r="I179" i="7" s="1"/>
  <c r="AQ180" i="7"/>
  <c r="K180" i="7"/>
  <c r="S180" i="7"/>
  <c r="N180" i="7" s="1"/>
  <c r="AA180" i="7"/>
  <c r="AI180" i="7"/>
  <c r="G195" i="7"/>
  <c r="S202" i="7"/>
  <c r="N202" i="7" s="1"/>
  <c r="AI202" i="7"/>
  <c r="K202" i="7"/>
  <c r="J202" i="7" s="1"/>
  <c r="AA202" i="7"/>
  <c r="AA130" i="7"/>
  <c r="AQ130" i="7"/>
  <c r="K130" i="7"/>
  <c r="I130" i="7" s="1"/>
  <c r="N146" i="7"/>
  <c r="O146" i="7"/>
  <c r="N165" i="7"/>
  <c r="AA168" i="7"/>
  <c r="K168" i="7"/>
  <c r="S168" i="7"/>
  <c r="N168" i="7" s="1"/>
  <c r="AI168" i="7"/>
  <c r="K177" i="7"/>
  <c r="I177" i="7" s="1"/>
  <c r="AI177" i="7"/>
  <c r="AQ177" i="7"/>
  <c r="S177" i="7"/>
  <c r="J185" i="7"/>
  <c r="S126" i="7"/>
  <c r="Q126" i="7" s="1"/>
  <c r="S135" i="7"/>
  <c r="AQ137" i="7"/>
  <c r="AA140" i="7"/>
  <c r="AA101" i="7"/>
  <c r="AQ103" i="7"/>
  <c r="K127" i="7"/>
  <c r="AA127" i="7"/>
  <c r="AQ127" i="7"/>
  <c r="S131" i="7"/>
  <c r="S134" i="7"/>
  <c r="S140" i="7"/>
  <c r="N140" i="7" s="1"/>
  <c r="AI179" i="7"/>
  <c r="AQ116" i="7"/>
  <c r="AI116" i="7"/>
  <c r="K125" i="7"/>
  <c r="J125" i="7" s="1"/>
  <c r="AQ125" i="7"/>
  <c r="S125" i="7"/>
  <c r="AA149" i="7"/>
  <c r="K149" i="7"/>
  <c r="AI149" i="7"/>
  <c r="S149" i="7"/>
  <c r="O149" i="7" s="1"/>
  <c r="H105" i="7"/>
  <c r="AA122" i="7"/>
  <c r="AQ122" i="7"/>
  <c r="K122" i="7"/>
  <c r="H122" i="7" s="1"/>
  <c r="AA137" i="7"/>
  <c r="S137" i="7"/>
  <c r="N137" i="7" s="1"/>
  <c r="AA113" i="7"/>
  <c r="K113" i="7"/>
  <c r="S120" i="7"/>
  <c r="N120" i="7" s="1"/>
  <c r="AA120" i="7"/>
  <c r="AI127" i="7"/>
  <c r="AQ140" i="7"/>
  <c r="AQ101" i="7"/>
  <c r="S123" i="7"/>
  <c r="Q123" i="7" s="1"/>
  <c r="AI123" i="7"/>
  <c r="AI125" i="7"/>
  <c r="AI135" i="7"/>
  <c r="AQ120" i="7"/>
  <c r="AI122" i="7"/>
  <c r="K123" i="7"/>
  <c r="I123" i="7" s="1"/>
  <c r="AA123" i="7"/>
  <c r="AI134" i="7"/>
  <c r="K135" i="7"/>
  <c r="I135" i="7" s="1"/>
  <c r="AA135" i="7"/>
  <c r="K140" i="7"/>
  <c r="AI145" i="7"/>
  <c r="AA126" i="7"/>
  <c r="AQ126" i="7"/>
  <c r="K126" i="7"/>
  <c r="I126" i="7" s="1"/>
  <c r="N145" i="7"/>
  <c r="S178" i="7"/>
  <c r="Q178" i="7" s="1"/>
  <c r="AI178" i="7"/>
  <c r="K178" i="7"/>
  <c r="I178" i="7" s="1"/>
  <c r="AQ178" i="7"/>
  <c r="AA178" i="7"/>
  <c r="AA181" i="7"/>
  <c r="AI181" i="7"/>
  <c r="K181" i="7"/>
  <c r="H181" i="7" s="1"/>
  <c r="S181" i="7"/>
  <c r="Q181" i="7" s="1"/>
  <c r="S205" i="7"/>
  <c r="O205" i="7" s="1"/>
  <c r="AI205" i="7"/>
  <c r="K205" i="7"/>
  <c r="G205" i="7" s="1"/>
  <c r="AA205" i="7"/>
  <c r="AQ156" i="7"/>
  <c r="K156" i="7"/>
  <c r="AQ188" i="7"/>
  <c r="K188" i="7"/>
  <c r="AI98" i="7"/>
  <c r="AI100" i="7"/>
  <c r="AI102" i="7"/>
  <c r="AI104" i="7"/>
  <c r="AI106" i="7"/>
  <c r="AI108" i="7"/>
  <c r="S118" i="7"/>
  <c r="Q118" i="7" s="1"/>
  <c r="AQ121" i="7"/>
  <c r="K124" i="7"/>
  <c r="AA124" i="7"/>
  <c r="AQ124" i="7"/>
  <c r="AI128" i="7"/>
  <c r="K129" i="7"/>
  <c r="J129" i="7" s="1"/>
  <c r="AA129" i="7"/>
  <c r="AQ129" i="7"/>
  <c r="AI132" i="7"/>
  <c r="K133" i="7"/>
  <c r="J133" i="7" s="1"/>
  <c r="AI133" i="7"/>
  <c r="AQ136" i="7"/>
  <c r="S138" i="7"/>
  <c r="AI141" i="7"/>
  <c r="S142" i="7"/>
  <c r="K144" i="7"/>
  <c r="H144" i="7" s="1"/>
  <c r="AQ144" i="7"/>
  <c r="AI146" i="7"/>
  <c r="K147" i="7"/>
  <c r="I147" i="7" s="1"/>
  <c r="AQ147" i="7"/>
  <c r="K152" i="7"/>
  <c r="S160" i="7"/>
  <c r="N160" i="7" s="1"/>
  <c r="K161" i="7"/>
  <c r="G161" i="7" s="1"/>
  <c r="AI162" i="7"/>
  <c r="AA163" i="7"/>
  <c r="AA165" i="7"/>
  <c r="AI169" i="7"/>
  <c r="K170" i="7"/>
  <c r="H170" i="7" s="1"/>
  <c r="S171" i="7"/>
  <c r="K173" i="7"/>
  <c r="AI173" i="7"/>
  <c r="AQ176" i="7"/>
  <c r="K184" i="7"/>
  <c r="S192" i="7"/>
  <c r="N192" i="7" s="1"/>
  <c r="K193" i="7"/>
  <c r="I193" i="7" s="1"/>
  <c r="AI194" i="7"/>
  <c r="AA195" i="7"/>
  <c r="AI201" i="7"/>
  <c r="H272" i="7"/>
  <c r="H268" i="7"/>
  <c r="H264" i="7"/>
  <c r="G264" i="7"/>
  <c r="I264" i="7"/>
  <c r="H260" i="7"/>
  <c r="G260" i="7"/>
  <c r="H256" i="7"/>
  <c r="H252" i="7"/>
  <c r="G252" i="7"/>
  <c r="I252" i="7"/>
  <c r="H248" i="7"/>
  <c r="I248" i="7"/>
  <c r="H244" i="7"/>
  <c r="H240" i="7"/>
  <c r="H236" i="7"/>
  <c r="H232" i="7"/>
  <c r="H228" i="7"/>
  <c r="G228" i="7"/>
  <c r="H224" i="7"/>
  <c r="H220" i="7"/>
  <c r="G220" i="7"/>
  <c r="H216" i="7"/>
  <c r="J216" i="7"/>
  <c r="G216" i="7"/>
  <c r="H212" i="7"/>
  <c r="G212" i="7"/>
  <c r="I212" i="7"/>
  <c r="H208" i="7"/>
  <c r="J208" i="7"/>
  <c r="AI144" i="7"/>
  <c r="AQ165" i="7"/>
  <c r="AQ184" i="7"/>
  <c r="AA193" i="7"/>
  <c r="AI195" i="7"/>
  <c r="AQ164" i="7"/>
  <c r="K164" i="7"/>
  <c r="AQ172" i="7"/>
  <c r="K172" i="7"/>
  <c r="AQ196" i="7"/>
  <c r="AA196" i="7"/>
  <c r="K196" i="7"/>
  <c r="G196" i="7" s="1"/>
  <c r="Q279" i="7"/>
  <c r="N279" i="7"/>
  <c r="P279" i="7"/>
  <c r="O279" i="7"/>
  <c r="AQ152" i="7"/>
  <c r="AA161" i="7"/>
  <c r="AI163" i="7"/>
  <c r="S98" i="7"/>
  <c r="S100" i="7"/>
  <c r="S102" i="7"/>
  <c r="S104" i="7"/>
  <c r="S106" i="7"/>
  <c r="S108" i="7"/>
  <c r="K119" i="7"/>
  <c r="I119" i="7" s="1"/>
  <c r="S119" i="7"/>
  <c r="Q119" i="7" s="1"/>
  <c r="AA119" i="7"/>
  <c r="AI119" i="7"/>
  <c r="K121" i="7"/>
  <c r="J121" i="7" s="1"/>
  <c r="S124" i="7"/>
  <c r="N124" i="7" s="1"/>
  <c r="S129" i="7"/>
  <c r="K136" i="7"/>
  <c r="K139" i="7"/>
  <c r="H139" i="7" s="1"/>
  <c r="S139" i="7"/>
  <c r="Q139" i="7" s="1"/>
  <c r="AA139" i="7"/>
  <c r="AI139" i="7"/>
  <c r="K143" i="7"/>
  <c r="I143" i="7" s="1"/>
  <c r="S143" i="7"/>
  <c r="Q143" i="7" s="1"/>
  <c r="AA143" i="7"/>
  <c r="AI143" i="7"/>
  <c r="AI152" i="7"/>
  <c r="AQ160" i="7"/>
  <c r="S161" i="7"/>
  <c r="P161" i="7" s="1"/>
  <c r="O162" i="7"/>
  <c r="AA162" i="7"/>
  <c r="AQ162" i="7"/>
  <c r="K163" i="7"/>
  <c r="H163" i="7" s="1"/>
  <c r="AI164" i="7"/>
  <c r="AI184" i="7"/>
  <c r="AQ192" i="7"/>
  <c r="S193" i="7"/>
  <c r="O193" i="7" s="1"/>
  <c r="O194" i="7"/>
  <c r="AA194" i="7"/>
  <c r="AQ194" i="7"/>
  <c r="K151" i="7"/>
  <c r="I151" i="7" s="1"/>
  <c r="S151" i="7"/>
  <c r="P151" i="7" s="1"/>
  <c r="AA151" i="7"/>
  <c r="AI151" i="7"/>
  <c r="K159" i="7"/>
  <c r="H159" i="7" s="1"/>
  <c r="S159" i="7"/>
  <c r="P159" i="7" s="1"/>
  <c r="AA159" i="7"/>
  <c r="AI159" i="7"/>
  <c r="K167" i="7"/>
  <c r="I167" i="7" s="1"/>
  <c r="S167" i="7"/>
  <c r="AA167" i="7"/>
  <c r="AI167" i="7"/>
  <c r="K175" i="7"/>
  <c r="H175" i="7" s="1"/>
  <c r="S175" i="7"/>
  <c r="Q175" i="7" s="1"/>
  <c r="AA175" i="7"/>
  <c r="AI175" i="7"/>
  <c r="K183" i="7"/>
  <c r="I183" i="7" s="1"/>
  <c r="S183" i="7"/>
  <c r="P183" i="7" s="1"/>
  <c r="AA183" i="7"/>
  <c r="AI183" i="7"/>
  <c r="K191" i="7"/>
  <c r="I191" i="7" s="1"/>
  <c r="S191" i="7"/>
  <c r="AA191" i="7"/>
  <c r="AI191" i="7"/>
  <c r="P276" i="7"/>
  <c r="O276" i="7"/>
  <c r="Q275" i="7"/>
  <c r="P275" i="7"/>
  <c r="O275" i="7"/>
  <c r="N275" i="7"/>
  <c r="Q271" i="7"/>
  <c r="P271" i="7"/>
  <c r="N271" i="7"/>
  <c r="O271" i="7"/>
  <c r="Q267" i="7"/>
  <c r="P267" i="7"/>
  <c r="O267" i="7"/>
  <c r="N267" i="7"/>
  <c r="Q263" i="7"/>
  <c r="P263" i="7"/>
  <c r="O263" i="7"/>
  <c r="N263" i="7"/>
  <c r="Q259" i="7"/>
  <c r="P259" i="7"/>
  <c r="N259" i="7"/>
  <c r="O259" i="7"/>
  <c r="Q255" i="7"/>
  <c r="P255" i="7"/>
  <c r="O255" i="7"/>
  <c r="N255" i="7"/>
  <c r="Q251" i="7"/>
  <c r="P251" i="7"/>
  <c r="O251" i="7"/>
  <c r="N251" i="7"/>
  <c r="Q247" i="7"/>
  <c r="P247" i="7"/>
  <c r="O247" i="7"/>
  <c r="N247" i="7"/>
  <c r="Q243" i="7"/>
  <c r="P243" i="7"/>
  <c r="O243" i="7"/>
  <c r="N243" i="7"/>
  <c r="Q239" i="7"/>
  <c r="P239" i="7"/>
  <c r="O239" i="7"/>
  <c r="N239" i="7"/>
  <c r="Q235" i="7"/>
  <c r="P235" i="7"/>
  <c r="O235" i="7"/>
  <c r="N235" i="7"/>
  <c r="Q231" i="7"/>
  <c r="P231" i="7"/>
  <c r="O231" i="7"/>
  <c r="N231" i="7"/>
  <c r="Q227" i="7"/>
  <c r="P227" i="7"/>
  <c r="N227" i="7"/>
  <c r="O227" i="7"/>
  <c r="Q223" i="7"/>
  <c r="P223" i="7"/>
  <c r="N223" i="7"/>
  <c r="O223" i="7"/>
  <c r="Q219" i="7"/>
  <c r="P219" i="7"/>
  <c r="N219" i="7"/>
  <c r="O219" i="7"/>
  <c r="Q215" i="7"/>
  <c r="P215" i="7"/>
  <c r="O215" i="7"/>
  <c r="N215" i="7"/>
  <c r="Q211" i="7"/>
  <c r="P211" i="7"/>
  <c r="O211" i="7"/>
  <c r="N211" i="7"/>
  <c r="AQ109" i="7"/>
  <c r="AI109" i="7"/>
  <c r="AA109" i="7"/>
  <c r="AQ110" i="7"/>
  <c r="AI110" i="7"/>
  <c r="AA110" i="7"/>
  <c r="S110" i="7"/>
  <c r="K110" i="7"/>
  <c r="AQ111" i="7"/>
  <c r="AI111" i="7"/>
  <c r="AA111" i="7"/>
  <c r="S111" i="7"/>
  <c r="K111" i="7"/>
  <c r="AA112" i="7"/>
  <c r="S112" i="7"/>
  <c r="K112" i="7"/>
  <c r="AQ112" i="7"/>
  <c r="J99" i="7"/>
  <c r="J101" i="7"/>
  <c r="J105" i="7"/>
  <c r="J107" i="7"/>
  <c r="J109" i="7"/>
  <c r="K115" i="7"/>
  <c r="AQ115" i="7"/>
  <c r="P116" i="7"/>
  <c r="O116" i="7"/>
  <c r="Q116" i="7"/>
  <c r="H120" i="7"/>
  <c r="I120" i="7"/>
  <c r="G120" i="7"/>
  <c r="J120" i="7"/>
  <c r="K56" i="7"/>
  <c r="S56" i="7"/>
  <c r="AA56" i="7"/>
  <c r="AI56" i="7"/>
  <c r="K57" i="7"/>
  <c r="S57" i="7"/>
  <c r="AA57" i="7"/>
  <c r="AI57" i="7"/>
  <c r="AQ57" i="7"/>
  <c r="K58" i="7"/>
  <c r="S58" i="7"/>
  <c r="AA58" i="7"/>
  <c r="AI58" i="7"/>
  <c r="AQ58" i="7"/>
  <c r="K59" i="7"/>
  <c r="S59" i="7"/>
  <c r="AA59" i="7"/>
  <c r="AI59" i="7"/>
  <c r="K60" i="7"/>
  <c r="S60" i="7"/>
  <c r="AA60" i="7"/>
  <c r="AI60" i="7"/>
  <c r="AQ60" i="7"/>
  <c r="K61" i="7"/>
  <c r="S61" i="7"/>
  <c r="AA61" i="7"/>
  <c r="AI61" i="7"/>
  <c r="AQ61" i="7"/>
  <c r="K62" i="7"/>
  <c r="S62" i="7"/>
  <c r="AA62" i="7"/>
  <c r="AI62" i="7"/>
  <c r="K63" i="7"/>
  <c r="S63" i="7"/>
  <c r="AA63" i="7"/>
  <c r="AI63" i="7"/>
  <c r="AQ63" i="7"/>
  <c r="K64" i="7"/>
  <c r="S64" i="7"/>
  <c r="AA64" i="7"/>
  <c r="AI64" i="7"/>
  <c r="AQ64" i="7"/>
  <c r="K65" i="7"/>
  <c r="S65" i="7"/>
  <c r="AA65" i="7"/>
  <c r="AI65" i="7"/>
  <c r="AQ65" i="7"/>
  <c r="K66" i="7"/>
  <c r="S66" i="7"/>
  <c r="AA66" i="7"/>
  <c r="AI66" i="7"/>
  <c r="AQ66" i="7"/>
  <c r="K67" i="7"/>
  <c r="S67" i="7"/>
  <c r="AA67" i="7"/>
  <c r="AI67" i="7"/>
  <c r="AQ67" i="7"/>
  <c r="K68" i="7"/>
  <c r="S68" i="7"/>
  <c r="AA68" i="7"/>
  <c r="AI68" i="7"/>
  <c r="AQ68" i="7"/>
  <c r="K69" i="7"/>
  <c r="S69" i="7"/>
  <c r="AA69" i="7"/>
  <c r="AI69" i="7"/>
  <c r="K70" i="7"/>
  <c r="S70" i="7"/>
  <c r="AA70" i="7"/>
  <c r="AI70" i="7"/>
  <c r="AQ70" i="7"/>
  <c r="K71" i="7"/>
  <c r="S71" i="7"/>
  <c r="AA71" i="7"/>
  <c r="AI71" i="7"/>
  <c r="AQ71" i="7"/>
  <c r="K72" i="7"/>
  <c r="S72" i="7"/>
  <c r="AA72" i="7"/>
  <c r="AI72" i="7"/>
  <c r="AQ72" i="7"/>
  <c r="K73" i="7"/>
  <c r="S73" i="7"/>
  <c r="AA73" i="7"/>
  <c r="AI73" i="7"/>
  <c r="AQ73" i="7"/>
  <c r="K74" i="7"/>
  <c r="S74" i="7"/>
  <c r="AA74" i="7"/>
  <c r="AI74" i="7"/>
  <c r="AQ74" i="7"/>
  <c r="K75" i="7"/>
  <c r="S75" i="7"/>
  <c r="AA75" i="7"/>
  <c r="AI75" i="7"/>
  <c r="K76" i="7"/>
  <c r="S76" i="7"/>
  <c r="AA76" i="7"/>
  <c r="AI76" i="7"/>
  <c r="K77" i="7"/>
  <c r="S77" i="7"/>
  <c r="AA77" i="7"/>
  <c r="AI77" i="7"/>
  <c r="K78" i="7"/>
  <c r="S78" i="7"/>
  <c r="AA78" i="7"/>
  <c r="AI78" i="7"/>
  <c r="K79" i="7"/>
  <c r="S79" i="7"/>
  <c r="AA79" i="7"/>
  <c r="AI79" i="7"/>
  <c r="K80" i="7"/>
  <c r="S80" i="7"/>
  <c r="AA80" i="7"/>
  <c r="AI80" i="7"/>
  <c r="K81" i="7"/>
  <c r="S81" i="7"/>
  <c r="AA81" i="7"/>
  <c r="AI81" i="7"/>
  <c r="K82" i="7"/>
  <c r="S82" i="7"/>
  <c r="AA82" i="7"/>
  <c r="AI82" i="7"/>
  <c r="K83" i="7"/>
  <c r="S83" i="7"/>
  <c r="AA83" i="7"/>
  <c r="AI83" i="7"/>
  <c r="K84" i="7"/>
  <c r="S84" i="7"/>
  <c r="AA84" i="7"/>
  <c r="AI84" i="7"/>
  <c r="K85" i="7"/>
  <c r="S85" i="7"/>
  <c r="AA85" i="7"/>
  <c r="AI85" i="7"/>
  <c r="K86" i="7"/>
  <c r="S86" i="7"/>
  <c r="AA86" i="7"/>
  <c r="AI86" i="7"/>
  <c r="K87" i="7"/>
  <c r="S87" i="7"/>
  <c r="AA87" i="7"/>
  <c r="AI87" i="7"/>
  <c r="K88" i="7"/>
  <c r="S88" i="7"/>
  <c r="AA88" i="7"/>
  <c r="AI88" i="7"/>
  <c r="K89" i="7"/>
  <c r="S89" i="7"/>
  <c r="AA89" i="7"/>
  <c r="AI89" i="7"/>
  <c r="K90" i="7"/>
  <c r="S90" i="7"/>
  <c r="AA90" i="7"/>
  <c r="AI90" i="7"/>
  <c r="K91" i="7"/>
  <c r="S91" i="7"/>
  <c r="AA91" i="7"/>
  <c r="AI91" i="7"/>
  <c r="K92" i="7"/>
  <c r="S92" i="7"/>
  <c r="AA92" i="7"/>
  <c r="AI92" i="7"/>
  <c r="K93" i="7"/>
  <c r="S93" i="7"/>
  <c r="AA93" i="7"/>
  <c r="AI93" i="7"/>
  <c r="K94" i="7"/>
  <c r="S94" i="7"/>
  <c r="AA94" i="7"/>
  <c r="AI94" i="7"/>
  <c r="K95" i="7"/>
  <c r="S95" i="7"/>
  <c r="AA95" i="7"/>
  <c r="AI95" i="7"/>
  <c r="K96" i="7"/>
  <c r="S96" i="7"/>
  <c r="AA96" i="7"/>
  <c r="AI96" i="7"/>
  <c r="S97" i="7"/>
  <c r="AI97" i="7"/>
  <c r="K98" i="7"/>
  <c r="AA98" i="7"/>
  <c r="I99" i="7"/>
  <c r="S99" i="7"/>
  <c r="AI99" i="7"/>
  <c r="K100" i="7"/>
  <c r="AA100" i="7"/>
  <c r="I101" i="7"/>
  <c r="S101" i="7"/>
  <c r="AI101" i="7"/>
  <c r="K102" i="7"/>
  <c r="AA102" i="7"/>
  <c r="S103" i="7"/>
  <c r="AI103" i="7"/>
  <c r="K104" i="7"/>
  <c r="AA104" i="7"/>
  <c r="I105" i="7"/>
  <c r="S105" i="7"/>
  <c r="AI105" i="7"/>
  <c r="K106" i="7"/>
  <c r="AA106" i="7"/>
  <c r="I107" i="7"/>
  <c r="S107" i="7"/>
  <c r="AI107" i="7"/>
  <c r="K108" i="7"/>
  <c r="AA108" i="7"/>
  <c r="I109" i="7"/>
  <c r="S109" i="7"/>
  <c r="AI112" i="7"/>
  <c r="K117" i="7"/>
  <c r="AA117" i="7"/>
  <c r="AQ117" i="7"/>
  <c r="AI113" i="7"/>
  <c r="S113" i="7"/>
  <c r="G99" i="7"/>
  <c r="G101" i="7"/>
  <c r="G105" i="7"/>
  <c r="G107" i="7"/>
  <c r="G109" i="7"/>
  <c r="AI115" i="7"/>
  <c r="S115" i="7"/>
  <c r="P117" i="7"/>
  <c r="Q117" i="7"/>
  <c r="N117" i="7"/>
  <c r="O117" i="7"/>
  <c r="P127" i="7"/>
  <c r="Q127" i="7"/>
  <c r="H195" i="7"/>
  <c r="I195" i="7"/>
  <c r="AI199" i="7"/>
  <c r="AA199" i="7"/>
  <c r="S199" i="7"/>
  <c r="K199" i="7"/>
  <c r="AI207" i="7"/>
  <c r="AA207" i="7"/>
  <c r="S207" i="7"/>
  <c r="K207" i="7"/>
  <c r="I265" i="7"/>
  <c r="J265" i="7"/>
  <c r="G265" i="7"/>
  <c r="H265" i="7"/>
  <c r="Q221" i="7"/>
  <c r="N221" i="7"/>
  <c r="O221" i="7"/>
  <c r="P221" i="7"/>
  <c r="K114" i="7"/>
  <c r="AA114" i="7"/>
  <c r="K116" i="7"/>
  <c r="AA116" i="7"/>
  <c r="O145" i="7"/>
  <c r="O165" i="7"/>
  <c r="P122" i="7"/>
  <c r="Q122" i="7"/>
  <c r="P146" i="7"/>
  <c r="Q146" i="7"/>
  <c r="P154" i="7"/>
  <c r="Q154" i="7"/>
  <c r="P162" i="7"/>
  <c r="Q162" i="7"/>
  <c r="P170" i="7"/>
  <c r="Q170" i="7"/>
  <c r="P186" i="7"/>
  <c r="Q186" i="7"/>
  <c r="P194" i="7"/>
  <c r="Q194" i="7"/>
  <c r="P197" i="7"/>
  <c r="Q197" i="7"/>
  <c r="N197" i="7"/>
  <c r="N250" i="7"/>
  <c r="O250" i="7"/>
  <c r="P250" i="7"/>
  <c r="Q250" i="7"/>
  <c r="J238" i="7"/>
  <c r="I238" i="7"/>
  <c r="G238" i="7"/>
  <c r="H238" i="7"/>
  <c r="J226" i="7"/>
  <c r="G226" i="7"/>
  <c r="H226" i="7"/>
  <c r="I226" i="7"/>
  <c r="N214" i="7"/>
  <c r="Q214" i="7"/>
  <c r="O214" i="7"/>
  <c r="P214" i="7"/>
  <c r="Q237" i="7"/>
  <c r="N237" i="7"/>
  <c r="O237" i="7"/>
  <c r="P237" i="7"/>
  <c r="I217" i="7"/>
  <c r="J217" i="7"/>
  <c r="G217" i="7"/>
  <c r="H217" i="7"/>
  <c r="O156" i="7"/>
  <c r="O164" i="7"/>
  <c r="O188" i="7"/>
  <c r="P145" i="7"/>
  <c r="Q145" i="7"/>
  <c r="P165" i="7"/>
  <c r="Q165" i="7"/>
  <c r="AI203" i="7"/>
  <c r="AA203" i="7"/>
  <c r="S203" i="7"/>
  <c r="K203" i="7"/>
  <c r="N210" i="7"/>
  <c r="O210" i="7"/>
  <c r="Q210" i="7"/>
  <c r="P210" i="7"/>
  <c r="Q253" i="7"/>
  <c r="N253" i="7"/>
  <c r="P253" i="7"/>
  <c r="O253" i="7"/>
  <c r="I233" i="7"/>
  <c r="J233" i="7"/>
  <c r="H233" i="7"/>
  <c r="G233" i="7"/>
  <c r="P156" i="7"/>
  <c r="Q156" i="7"/>
  <c r="P164" i="7"/>
  <c r="Q164" i="7"/>
  <c r="P188" i="7"/>
  <c r="Q188" i="7"/>
  <c r="Q269" i="7"/>
  <c r="P269" i="7"/>
  <c r="N269" i="7"/>
  <c r="O269" i="7"/>
  <c r="I249" i="7"/>
  <c r="J249" i="7"/>
  <c r="H249" i="7"/>
  <c r="G249" i="7"/>
  <c r="N238" i="7"/>
  <c r="O238" i="7"/>
  <c r="P238" i="7"/>
  <c r="Q238" i="7"/>
  <c r="N226" i="7"/>
  <c r="O226" i="7"/>
  <c r="P226" i="7"/>
  <c r="Q226" i="7"/>
  <c r="J222" i="7"/>
  <c r="G222" i="7"/>
  <c r="H222" i="7"/>
  <c r="I222" i="7"/>
  <c r="J278" i="7"/>
  <c r="G278" i="7"/>
  <c r="H278" i="7"/>
  <c r="I278" i="7"/>
  <c r="J274" i="7"/>
  <c r="G274" i="7"/>
  <c r="H274" i="7"/>
  <c r="I274" i="7"/>
  <c r="J270" i="7"/>
  <c r="G270" i="7"/>
  <c r="H270" i="7"/>
  <c r="I270" i="7"/>
  <c r="J266" i="7"/>
  <c r="G266" i="7"/>
  <c r="H266" i="7"/>
  <c r="I266" i="7"/>
  <c r="J262" i="7"/>
  <c r="G262" i="7"/>
  <c r="H262" i="7"/>
  <c r="I262" i="7"/>
  <c r="I277" i="7"/>
  <c r="J277" i="7"/>
  <c r="G277" i="7"/>
  <c r="H277" i="7"/>
  <c r="Q265" i="7"/>
  <c r="N265" i="7"/>
  <c r="P265" i="7"/>
  <c r="O265" i="7"/>
  <c r="I261" i="7"/>
  <c r="J261" i="7"/>
  <c r="G261" i="7"/>
  <c r="H261" i="7"/>
  <c r="Q249" i="7"/>
  <c r="N249" i="7"/>
  <c r="O249" i="7"/>
  <c r="P249" i="7"/>
  <c r="I245" i="7"/>
  <c r="J245" i="7"/>
  <c r="G245" i="7"/>
  <c r="H245" i="7"/>
  <c r="Q233" i="7"/>
  <c r="N233" i="7"/>
  <c r="O233" i="7"/>
  <c r="P233" i="7"/>
  <c r="I229" i="7"/>
  <c r="J229" i="7"/>
  <c r="H229" i="7"/>
  <c r="G229" i="7"/>
  <c r="Q217" i="7"/>
  <c r="N217" i="7"/>
  <c r="P217" i="7"/>
  <c r="O217" i="7"/>
  <c r="I213" i="7"/>
  <c r="J213" i="7"/>
  <c r="H213" i="7"/>
  <c r="G213" i="7"/>
  <c r="N222" i="7"/>
  <c r="O222" i="7"/>
  <c r="P222" i="7"/>
  <c r="Q222" i="7"/>
  <c r="J218" i="7"/>
  <c r="G218" i="7"/>
  <c r="I218" i="7"/>
  <c r="H218" i="7"/>
  <c r="N278" i="7"/>
  <c r="O278" i="7"/>
  <c r="P278" i="7"/>
  <c r="Q278" i="7"/>
  <c r="N274" i="7"/>
  <c r="O274" i="7"/>
  <c r="Q274" i="7"/>
  <c r="P274" i="7"/>
  <c r="N270" i="7"/>
  <c r="Q270" i="7"/>
  <c r="O270" i="7"/>
  <c r="P270" i="7"/>
  <c r="N266" i="7"/>
  <c r="O266" i="7"/>
  <c r="Q266" i="7"/>
  <c r="P266" i="7"/>
  <c r="N262" i="7"/>
  <c r="O262" i="7"/>
  <c r="Q262" i="7"/>
  <c r="P262" i="7"/>
  <c r="J258" i="7"/>
  <c r="G258" i="7"/>
  <c r="H258" i="7"/>
  <c r="I258" i="7"/>
  <c r="J254" i="7"/>
  <c r="G254" i="7"/>
  <c r="I254" i="7"/>
  <c r="H254" i="7"/>
  <c r="J246" i="7"/>
  <c r="G246" i="7"/>
  <c r="H246" i="7"/>
  <c r="I246" i="7"/>
  <c r="J242" i="7"/>
  <c r="G242" i="7"/>
  <c r="I242" i="7"/>
  <c r="H242" i="7"/>
  <c r="J234" i="7"/>
  <c r="G234" i="7"/>
  <c r="H234" i="7"/>
  <c r="I234" i="7"/>
  <c r="J230" i="7"/>
  <c r="G230" i="7"/>
  <c r="I230" i="7"/>
  <c r="H230" i="7"/>
  <c r="Q277" i="7"/>
  <c r="N277" i="7"/>
  <c r="O277" i="7"/>
  <c r="P277" i="7"/>
  <c r="I273" i="7"/>
  <c r="J273" i="7"/>
  <c r="G273" i="7"/>
  <c r="H273" i="7"/>
  <c r="Q261" i="7"/>
  <c r="N261" i="7"/>
  <c r="P261" i="7"/>
  <c r="O261" i="7"/>
  <c r="I257" i="7"/>
  <c r="J257" i="7"/>
  <c r="G257" i="7"/>
  <c r="H257" i="7"/>
  <c r="Q245" i="7"/>
  <c r="N245" i="7"/>
  <c r="P245" i="7"/>
  <c r="O245" i="7"/>
  <c r="I241" i="7"/>
  <c r="J241" i="7"/>
  <c r="H241" i="7"/>
  <c r="G241" i="7"/>
  <c r="Q229" i="7"/>
  <c r="N229" i="7"/>
  <c r="O229" i="7"/>
  <c r="P229" i="7"/>
  <c r="I225" i="7"/>
  <c r="J225" i="7"/>
  <c r="H225" i="7"/>
  <c r="G225" i="7"/>
  <c r="Q213" i="7"/>
  <c r="N213" i="7"/>
  <c r="O213" i="7"/>
  <c r="P213" i="7"/>
  <c r="I209" i="7"/>
  <c r="J209" i="7"/>
  <c r="G209" i="7"/>
  <c r="H209" i="7"/>
  <c r="J250" i="7"/>
  <c r="G250" i="7"/>
  <c r="I250" i="7"/>
  <c r="H250" i="7"/>
  <c r="N218" i="7"/>
  <c r="O218" i="7"/>
  <c r="P218" i="7"/>
  <c r="Q218" i="7"/>
  <c r="J214" i="7"/>
  <c r="G214" i="7"/>
  <c r="I214" i="7"/>
  <c r="H214" i="7"/>
  <c r="N258" i="7"/>
  <c r="O258" i="7"/>
  <c r="Q258" i="7"/>
  <c r="P258" i="7"/>
  <c r="N254" i="7"/>
  <c r="O254" i="7"/>
  <c r="P254" i="7"/>
  <c r="Q254" i="7"/>
  <c r="N246" i="7"/>
  <c r="O246" i="7"/>
  <c r="Q246" i="7"/>
  <c r="P246" i="7"/>
  <c r="N242" i="7"/>
  <c r="O242" i="7"/>
  <c r="P242" i="7"/>
  <c r="Q242" i="7"/>
  <c r="N234" i="7"/>
  <c r="O234" i="7"/>
  <c r="Q234" i="7"/>
  <c r="P234" i="7"/>
  <c r="N230" i="7"/>
  <c r="O230" i="7"/>
  <c r="P230" i="7"/>
  <c r="Q230" i="7"/>
  <c r="J210" i="7"/>
  <c r="G210" i="7"/>
  <c r="H210" i="7"/>
  <c r="I210" i="7"/>
  <c r="Q273" i="7"/>
  <c r="N273" i="7"/>
  <c r="O273" i="7"/>
  <c r="P273" i="7"/>
  <c r="I269" i="7"/>
  <c r="J269" i="7"/>
  <c r="G269" i="7"/>
  <c r="H269" i="7"/>
  <c r="Q257" i="7"/>
  <c r="N257" i="7"/>
  <c r="P257" i="7"/>
  <c r="O257" i="7"/>
  <c r="I253" i="7"/>
  <c r="J253" i="7"/>
  <c r="G253" i="7"/>
  <c r="H253" i="7"/>
  <c r="Q241" i="7"/>
  <c r="N241" i="7"/>
  <c r="O241" i="7"/>
  <c r="P241" i="7"/>
  <c r="I237" i="7"/>
  <c r="J237" i="7"/>
  <c r="H237" i="7"/>
  <c r="G237" i="7"/>
  <c r="Q225" i="7"/>
  <c r="N225" i="7"/>
  <c r="O225" i="7"/>
  <c r="P225" i="7"/>
  <c r="I221" i="7"/>
  <c r="J221" i="7"/>
  <c r="G221" i="7"/>
  <c r="H221" i="7"/>
  <c r="Q209" i="7"/>
  <c r="N209" i="7"/>
  <c r="P209" i="7"/>
  <c r="O209" i="7"/>
  <c r="K200" i="7"/>
  <c r="S200" i="7"/>
  <c r="AA200" i="7"/>
  <c r="AI200" i="7"/>
  <c r="K204" i="7"/>
  <c r="S204" i="7"/>
  <c r="AA204" i="7"/>
  <c r="AI204" i="7"/>
  <c r="AQ55" i="7"/>
  <c r="AI54" i="7"/>
  <c r="AQ53" i="7"/>
  <c r="AI52" i="7"/>
  <c r="AI51" i="7"/>
  <c r="AQ50" i="7"/>
  <c r="AQ49" i="7"/>
  <c r="AI48" i="7"/>
  <c r="AQ47" i="7"/>
  <c r="AI46" i="7"/>
  <c r="AA45" i="7"/>
  <c r="AA44" i="7"/>
  <c r="S43" i="7"/>
  <c r="N43" i="7" s="1"/>
  <c r="K42" i="7"/>
  <c r="H42" i="7" s="1"/>
  <c r="K41" i="7"/>
  <c r="H41" i="7" s="1"/>
  <c r="K40" i="7"/>
  <c r="AI39" i="7"/>
  <c r="AA38" i="7"/>
  <c r="AA37" i="7"/>
  <c r="AA36" i="7"/>
  <c r="AI35" i="7"/>
  <c r="AI34" i="7"/>
  <c r="AI33" i="7"/>
  <c r="AA32" i="7"/>
  <c r="AA31" i="7"/>
  <c r="AA30" i="7"/>
  <c r="AI29" i="7"/>
  <c r="AA28" i="7"/>
  <c r="AQ27" i="7"/>
  <c r="S26" i="7"/>
  <c r="O26" i="7" s="1"/>
  <c r="AQ25" i="7"/>
  <c r="AA24" i="7"/>
  <c r="AQ23" i="7"/>
  <c r="G176" i="7" l="1"/>
  <c r="P172" i="7"/>
  <c r="H166" i="7"/>
  <c r="I162" i="7"/>
  <c r="I187" i="7"/>
  <c r="H185" i="7"/>
  <c r="Q166" i="7"/>
  <c r="G185" i="7"/>
  <c r="Q173" i="7"/>
  <c r="N144" i="7"/>
  <c r="G162" i="7"/>
  <c r="O166" i="7"/>
  <c r="O100" i="7"/>
  <c r="N195" i="7"/>
  <c r="I140" i="7"/>
  <c r="I181" i="7"/>
  <c r="J198" i="7"/>
  <c r="H186" i="7"/>
  <c r="H174" i="7"/>
  <c r="Q163" i="7"/>
  <c r="H178" i="7"/>
  <c r="P149" i="7"/>
  <c r="Q149" i="7"/>
  <c r="G131" i="7"/>
  <c r="P193" i="7"/>
  <c r="Q189" i="7"/>
  <c r="H194" i="7"/>
  <c r="Q104" i="7"/>
  <c r="G194" i="7"/>
  <c r="Q158" i="7"/>
  <c r="Q102" i="7"/>
  <c r="I152" i="7"/>
  <c r="P114" i="7"/>
  <c r="O184" i="7"/>
  <c r="G153" i="7"/>
  <c r="H141" i="7"/>
  <c r="N121" i="7"/>
  <c r="N158" i="7"/>
  <c r="P160" i="7"/>
  <c r="P152" i="7"/>
  <c r="J196" i="7"/>
  <c r="O160" i="7"/>
  <c r="I194" i="7"/>
  <c r="I186" i="7"/>
  <c r="I174" i="7"/>
  <c r="H158" i="7"/>
  <c r="P171" i="7"/>
  <c r="H131" i="7"/>
  <c r="I141" i="7"/>
  <c r="I144" i="7"/>
  <c r="O121" i="7"/>
  <c r="P121" i="7"/>
  <c r="J186" i="7"/>
  <c r="O158" i="7"/>
  <c r="N187" i="7"/>
  <c r="H153" i="7"/>
  <c r="J201" i="7"/>
  <c r="P187" i="7"/>
  <c r="I131" i="7"/>
  <c r="Q121" i="7"/>
  <c r="J174" i="7"/>
  <c r="I153" i="7"/>
  <c r="P158" i="7"/>
  <c r="H154" i="7"/>
  <c r="G169" i="7"/>
  <c r="G141" i="7"/>
  <c r="G174" i="7"/>
  <c r="J194" i="7"/>
  <c r="G182" i="7"/>
  <c r="H205" i="7"/>
  <c r="G177" i="7"/>
  <c r="G136" i="7"/>
  <c r="N163" i="7"/>
  <c r="I128" i="7"/>
  <c r="O108" i="7"/>
  <c r="H124" i="7"/>
  <c r="P168" i="7"/>
  <c r="Q100" i="7"/>
  <c r="G129" i="7"/>
  <c r="O176" i="7"/>
  <c r="H118" i="7"/>
  <c r="P135" i="7"/>
  <c r="P120" i="7"/>
  <c r="N129" i="7"/>
  <c r="I124" i="7"/>
  <c r="G133" i="7"/>
  <c r="O140" i="7"/>
  <c r="H129" i="7"/>
  <c r="P192" i="7"/>
  <c r="Q192" i="7"/>
  <c r="P176" i="7"/>
  <c r="O192" i="7"/>
  <c r="Q150" i="7"/>
  <c r="I118" i="7"/>
  <c r="G124" i="7"/>
  <c r="H133" i="7"/>
  <c r="I129" i="7"/>
  <c r="I197" i="7"/>
  <c r="Q180" i="7"/>
  <c r="Q176" i="7"/>
  <c r="Q183" i="7"/>
  <c r="J124" i="7"/>
  <c r="I133" i="7"/>
  <c r="H189" i="7"/>
  <c r="P182" i="7"/>
  <c r="G128" i="7"/>
  <c r="J136" i="7"/>
  <c r="O124" i="7"/>
  <c r="N182" i="7"/>
  <c r="G206" i="7"/>
  <c r="I189" i="7"/>
  <c r="Q190" i="7"/>
  <c r="Q182" i="7"/>
  <c r="G189" i="7"/>
  <c r="J128" i="7"/>
  <c r="Q108" i="7"/>
  <c r="H136" i="7"/>
  <c r="Q128" i="7"/>
  <c r="P137" i="7"/>
  <c r="O182" i="7"/>
  <c r="N189" i="7"/>
  <c r="J206" i="7"/>
  <c r="P180" i="7"/>
  <c r="P189" i="7"/>
  <c r="O180" i="7"/>
  <c r="G193" i="7"/>
  <c r="P163" i="7"/>
  <c r="H128" i="7"/>
  <c r="G97" i="7"/>
  <c r="I148" i="7"/>
  <c r="I136" i="7"/>
  <c r="O137" i="7"/>
  <c r="O190" i="7"/>
  <c r="J150" i="7"/>
  <c r="J197" i="7"/>
  <c r="H150" i="7"/>
  <c r="N133" i="7"/>
  <c r="G125" i="7"/>
  <c r="J97" i="7"/>
  <c r="N150" i="7"/>
  <c r="J182" i="7"/>
  <c r="I168" i="7"/>
  <c r="H182" i="7"/>
  <c r="I150" i="7"/>
  <c r="H146" i="7"/>
  <c r="J168" i="7"/>
  <c r="O133" i="7"/>
  <c r="P133" i="7"/>
  <c r="H125" i="7"/>
  <c r="I97" i="7"/>
  <c r="O150" i="7"/>
  <c r="H197" i="7"/>
  <c r="P190" i="7"/>
  <c r="I182" i="7"/>
  <c r="I146" i="7"/>
  <c r="I122" i="7"/>
  <c r="I155" i="7"/>
  <c r="Q133" i="7"/>
  <c r="I125" i="7"/>
  <c r="J146" i="7"/>
  <c r="N190" i="7"/>
  <c r="O198" i="7"/>
  <c r="H192" i="7"/>
  <c r="I188" i="7"/>
  <c r="I185" i="7"/>
  <c r="I165" i="7"/>
  <c r="Q161" i="7"/>
  <c r="H138" i="7"/>
  <c r="O185" i="7"/>
  <c r="Q171" i="7"/>
  <c r="P167" i="7"/>
  <c r="I163" i="7"/>
  <c r="P144" i="7"/>
  <c r="J103" i="7"/>
  <c r="O114" i="7"/>
  <c r="J187" i="7"/>
  <c r="H103" i="7"/>
  <c r="J169" i="7"/>
  <c r="O174" i="7"/>
  <c r="J118" i="7"/>
  <c r="G142" i="7"/>
  <c r="Q172" i="7"/>
  <c r="Q160" i="7"/>
  <c r="Q193" i="7"/>
  <c r="O172" i="7"/>
  <c r="O144" i="7"/>
  <c r="J138" i="7"/>
  <c r="I192" i="7"/>
  <c r="P184" i="7"/>
  <c r="H176" i="7"/>
  <c r="H160" i="7"/>
  <c r="Q152" i="7"/>
  <c r="H196" i="7"/>
  <c r="H169" i="7"/>
  <c r="G192" i="7"/>
  <c r="O152" i="7"/>
  <c r="H201" i="7"/>
  <c r="P174" i="7"/>
  <c r="I166" i="7"/>
  <c r="H142" i="7"/>
  <c r="I138" i="7"/>
  <c r="P126" i="7"/>
  <c r="P118" i="7"/>
  <c r="J192" i="7"/>
  <c r="J164" i="7"/>
  <c r="N196" i="7"/>
  <c r="P196" i="7"/>
  <c r="Q187" i="7"/>
  <c r="Q159" i="7"/>
  <c r="Q151" i="7"/>
  <c r="P147" i="7"/>
  <c r="H143" i="7"/>
  <c r="I139" i="7"/>
  <c r="Q144" i="7"/>
  <c r="Q136" i="7"/>
  <c r="G144" i="7"/>
  <c r="Q114" i="7"/>
  <c r="Q184" i="7"/>
  <c r="I176" i="7"/>
  <c r="I160" i="7"/>
  <c r="I196" i="7"/>
  <c r="P173" i="7"/>
  <c r="G160" i="7"/>
  <c r="I201" i="7"/>
  <c r="P166" i="7"/>
  <c r="H162" i="7"/>
  <c r="J176" i="7"/>
  <c r="O173" i="7"/>
  <c r="O161" i="7"/>
  <c r="J160" i="7"/>
  <c r="Q196" i="7"/>
  <c r="P191" i="7"/>
  <c r="H187" i="7"/>
  <c r="G103" i="7"/>
  <c r="H137" i="7"/>
  <c r="H121" i="7"/>
  <c r="J144" i="7"/>
  <c r="N198" i="7"/>
  <c r="H134" i="7"/>
  <c r="G181" i="7"/>
  <c r="Q191" i="7"/>
  <c r="Q167" i="7"/>
  <c r="H123" i="7"/>
  <c r="H190" i="7"/>
  <c r="I170" i="7"/>
  <c r="P175" i="7"/>
  <c r="H113" i="7"/>
  <c r="G148" i="7"/>
  <c r="G146" i="7"/>
  <c r="J148" i="7"/>
  <c r="J113" i="7"/>
  <c r="P198" i="7"/>
  <c r="J189" i="7"/>
  <c r="K37" i="7"/>
  <c r="H37" i="7" s="1"/>
  <c r="AI30" i="7"/>
  <c r="AQ51" i="7"/>
  <c r="S54" i="7"/>
  <c r="N54" i="7" s="1"/>
  <c r="S24" i="7"/>
  <c r="O24" i="7" s="1"/>
  <c r="AI37" i="7"/>
  <c r="AQ32" i="7"/>
  <c r="S44" i="7"/>
  <c r="K47" i="7"/>
  <c r="G47" i="7" s="1"/>
  <c r="I205" i="7"/>
  <c r="H164" i="7"/>
  <c r="P153" i="7"/>
  <c r="I142" i="7"/>
  <c r="J188" i="7"/>
  <c r="J184" i="7"/>
  <c r="O169" i="7"/>
  <c r="Q147" i="7"/>
  <c r="Q137" i="7"/>
  <c r="J132" i="7"/>
  <c r="J142" i="7"/>
  <c r="K29" i="7"/>
  <c r="G29" i="7" s="1"/>
  <c r="AA33" i="7"/>
  <c r="AQ36" i="7"/>
  <c r="J205" i="7"/>
  <c r="H184" i="7"/>
  <c r="I164" i="7"/>
  <c r="H193" i="7"/>
  <c r="P177" i="7"/>
  <c r="Q153" i="7"/>
  <c r="H130" i="7"/>
  <c r="P195" i="7"/>
  <c r="H135" i="7"/>
  <c r="O132" i="7"/>
  <c r="N157" i="7"/>
  <c r="O206" i="7"/>
  <c r="K33" i="7"/>
  <c r="H33" i="7" s="1"/>
  <c r="AA40" i="7"/>
  <c r="AA43" i="7"/>
  <c r="H188" i="7"/>
  <c r="I184" i="7"/>
  <c r="G188" i="7"/>
  <c r="G184" i="7"/>
  <c r="G164" i="7"/>
  <c r="O153" i="7"/>
  <c r="Q195" i="7"/>
  <c r="N147" i="7"/>
  <c r="AQ26" i="7"/>
  <c r="K30" i="7"/>
  <c r="H30" i="7" s="1"/>
  <c r="K32" i="7"/>
  <c r="G32" i="7" s="1"/>
  <c r="K36" i="7"/>
  <c r="H36" i="7" s="1"/>
  <c r="K51" i="7"/>
  <c r="J51" i="7" s="1"/>
  <c r="N206" i="7"/>
  <c r="H172" i="7"/>
  <c r="P169" i="7"/>
  <c r="P138" i="7"/>
  <c r="Q135" i="7"/>
  <c r="H119" i="7"/>
  <c r="O102" i="7"/>
  <c r="P132" i="7"/>
  <c r="I121" i="7"/>
  <c r="P148" i="7"/>
  <c r="N141" i="7"/>
  <c r="P125" i="7"/>
  <c r="P140" i="7"/>
  <c r="H132" i="7"/>
  <c r="I172" i="7"/>
  <c r="Q169" i="7"/>
  <c r="P157" i="7"/>
  <c r="G172" i="7"/>
  <c r="Q138" i="7"/>
  <c r="O157" i="7"/>
  <c r="H191" i="7"/>
  <c r="H179" i="7"/>
  <c r="Q132" i="7"/>
  <c r="O148" i="7"/>
  <c r="O141" i="7"/>
  <c r="P141" i="7"/>
  <c r="O125" i="7"/>
  <c r="Q140" i="7"/>
  <c r="I132" i="7"/>
  <c r="J155" i="7"/>
  <c r="S27" i="7"/>
  <c r="O27" i="7" s="1"/>
  <c r="AQ29" i="7"/>
  <c r="S38" i="7"/>
  <c r="P38" i="7" s="1"/>
  <c r="H168" i="7"/>
  <c r="G168" i="7"/>
  <c r="J172" i="7"/>
  <c r="I175" i="7"/>
  <c r="I159" i="7"/>
  <c r="G121" i="7"/>
  <c r="Q141" i="7"/>
  <c r="Q206" i="7"/>
  <c r="O155" i="7"/>
  <c r="J157" i="7"/>
  <c r="O187" i="7"/>
  <c r="J158" i="7"/>
  <c r="G158" i="7"/>
  <c r="I206" i="7"/>
  <c r="H206" i="7"/>
  <c r="G166" i="7"/>
  <c r="AQ39" i="7"/>
  <c r="AI49" i="7"/>
  <c r="K26" i="7"/>
  <c r="H26" i="7" s="1"/>
  <c r="AA27" i="7"/>
  <c r="AQ30" i="7"/>
  <c r="AI31" i="7"/>
  <c r="S32" i="7"/>
  <c r="P32" i="7" s="1"/>
  <c r="AQ33" i="7"/>
  <c r="AQ34" i="7"/>
  <c r="AA35" i="7"/>
  <c r="AI36" i="7"/>
  <c r="S37" i="7"/>
  <c r="P37" i="7" s="1"/>
  <c r="K38" i="7"/>
  <c r="G38" i="7" s="1"/>
  <c r="AQ38" i="7"/>
  <c r="AA39" i="7"/>
  <c r="AI40" i="7"/>
  <c r="K43" i="7"/>
  <c r="G43" i="7" s="1"/>
  <c r="K44" i="7"/>
  <c r="H44" i="7" s="1"/>
  <c r="AA47" i="7"/>
  <c r="AQ48" i="7"/>
  <c r="AA49" i="7"/>
  <c r="AA52" i="7"/>
  <c r="N201" i="7"/>
  <c r="P201" i="7"/>
  <c r="Q168" i="7"/>
  <c r="Q177" i="7"/>
  <c r="I157" i="7"/>
  <c r="Q174" i="7"/>
  <c r="I154" i="7"/>
  <c r="P130" i="7"/>
  <c r="H126" i="7"/>
  <c r="O177" i="7"/>
  <c r="G165" i="7"/>
  <c r="G157" i="7"/>
  <c r="H171" i="7"/>
  <c r="H167" i="7"/>
  <c r="H151" i="7"/>
  <c r="P131" i="7"/>
  <c r="G113" i="7"/>
  <c r="I137" i="7"/>
  <c r="Q148" i="7"/>
  <c r="P124" i="7"/>
  <c r="J154" i="7"/>
  <c r="J171" i="7"/>
  <c r="J165" i="7"/>
  <c r="G155" i="7"/>
  <c r="AI23" i="7"/>
  <c r="S31" i="7"/>
  <c r="P31" i="7" s="1"/>
  <c r="AQ44" i="7"/>
  <c r="Q201" i="7"/>
  <c r="P185" i="7"/>
  <c r="P181" i="7"/>
  <c r="I161" i="7"/>
  <c r="N205" i="7"/>
  <c r="P205" i="7"/>
  <c r="P178" i="7"/>
  <c r="Q130" i="7"/>
  <c r="O181" i="7"/>
  <c r="H183" i="7"/>
  <c r="I171" i="7"/>
  <c r="P139" i="7"/>
  <c r="Q131" i="7"/>
  <c r="P123" i="7"/>
  <c r="P119" i="7"/>
  <c r="O136" i="7"/>
  <c r="I113" i="7"/>
  <c r="O104" i="7"/>
  <c r="O128" i="7"/>
  <c r="Q124" i="7"/>
  <c r="N155" i="7"/>
  <c r="I198" i="7"/>
  <c r="G198" i="7"/>
  <c r="J190" i="7"/>
  <c r="G190" i="7"/>
  <c r="AQ31" i="7"/>
  <c r="AQ35" i="7"/>
  <c r="AQ28" i="7"/>
  <c r="AA34" i="7"/>
  <c r="S35" i="7"/>
  <c r="P35" i="7" s="1"/>
  <c r="AI38" i="7"/>
  <c r="S39" i="7"/>
  <c r="P39" i="7" s="1"/>
  <c r="AA48" i="7"/>
  <c r="S49" i="7"/>
  <c r="P49" i="7" s="1"/>
  <c r="K23" i="7"/>
  <c r="H23" i="7" s="1"/>
  <c r="S28" i="7"/>
  <c r="P28" i="7" s="1"/>
  <c r="AA29" i="7"/>
  <c r="S30" i="7"/>
  <c r="O30" i="7" s="1"/>
  <c r="K31" i="7"/>
  <c r="G31" i="7" s="1"/>
  <c r="AI32" i="7"/>
  <c r="S33" i="7"/>
  <c r="P33" i="7" s="1"/>
  <c r="K34" i="7"/>
  <c r="G34" i="7" s="1"/>
  <c r="K35" i="7"/>
  <c r="H35" i="7" s="1"/>
  <c r="AQ37" i="7"/>
  <c r="K39" i="7"/>
  <c r="G39" i="7" s="1"/>
  <c r="AQ43" i="7"/>
  <c r="AI44" i="7"/>
  <c r="K48" i="7"/>
  <c r="H48" i="7" s="1"/>
  <c r="K49" i="7"/>
  <c r="J49" i="7" s="1"/>
  <c r="AA51" i="7"/>
  <c r="K52" i="7"/>
  <c r="I52" i="7" s="1"/>
  <c r="AQ52" i="7"/>
  <c r="Q185" i="7"/>
  <c r="O168" i="7"/>
  <c r="Q205" i="7"/>
  <c r="P155" i="7"/>
  <c r="P136" i="7"/>
  <c r="G137" i="7"/>
  <c r="P128" i="7"/>
  <c r="N174" i="7"/>
  <c r="N130" i="7"/>
  <c r="H40" i="7"/>
  <c r="G40" i="7"/>
  <c r="N143" i="7"/>
  <c r="O143" i="7"/>
  <c r="P106" i="7"/>
  <c r="N106" i="7"/>
  <c r="P98" i="7"/>
  <c r="N98" i="7"/>
  <c r="J173" i="7"/>
  <c r="J161" i="7"/>
  <c r="G147" i="7"/>
  <c r="J147" i="7"/>
  <c r="N142" i="7"/>
  <c r="O142" i="7"/>
  <c r="J149" i="7"/>
  <c r="N134" i="7"/>
  <c r="O134" i="7"/>
  <c r="J127" i="7"/>
  <c r="G127" i="7"/>
  <c r="J177" i="7"/>
  <c r="O179" i="7"/>
  <c r="N179" i="7"/>
  <c r="J145" i="7"/>
  <c r="N193" i="7"/>
  <c r="P108" i="7"/>
  <c r="N108" i="7"/>
  <c r="P100" i="7"/>
  <c r="N100" i="7"/>
  <c r="N118" i="7"/>
  <c r="O118" i="7"/>
  <c r="J178" i="7"/>
  <c r="G178" i="7"/>
  <c r="N126" i="7"/>
  <c r="O126" i="7"/>
  <c r="G130" i="7"/>
  <c r="J130" i="7"/>
  <c r="I202" i="7"/>
  <c r="H202" i="7"/>
  <c r="G202" i="7"/>
  <c r="AA41" i="7"/>
  <c r="S53" i="7"/>
  <c r="S55" i="7"/>
  <c r="Q55" i="7" s="1"/>
  <c r="AI55" i="7"/>
  <c r="AA23" i="7"/>
  <c r="K24" i="7"/>
  <c r="G24" i="7" s="1"/>
  <c r="AQ24" i="7"/>
  <c r="AA25" i="7"/>
  <c r="AI26" i="7"/>
  <c r="K27" i="7"/>
  <c r="I27" i="7" s="1"/>
  <c r="AI27" i="7"/>
  <c r="K28" i="7"/>
  <c r="H28" i="7" s="1"/>
  <c r="S29" i="7"/>
  <c r="O29" i="7" s="1"/>
  <c r="S34" i="7"/>
  <c r="P34" i="7" s="1"/>
  <c r="S36" i="7"/>
  <c r="P36" i="7" s="1"/>
  <c r="S40" i="7"/>
  <c r="Q40" i="7" s="1"/>
  <c r="AQ40" i="7"/>
  <c r="S41" i="7"/>
  <c r="Q41" i="7" s="1"/>
  <c r="AQ41" i="7"/>
  <c r="AA42" i="7"/>
  <c r="AI43" i="7"/>
  <c r="S45" i="7"/>
  <c r="N45" i="7" s="1"/>
  <c r="AQ45" i="7"/>
  <c r="S46" i="7"/>
  <c r="Q46" i="7" s="1"/>
  <c r="AI47" i="7"/>
  <c r="S50" i="7"/>
  <c r="AI50" i="7"/>
  <c r="AA54" i="7"/>
  <c r="AQ54" i="7"/>
  <c r="H180" i="7"/>
  <c r="H156" i="7"/>
  <c r="H173" i="7"/>
  <c r="H149" i="7"/>
  <c r="G180" i="7"/>
  <c r="G156" i="7"/>
  <c r="J180" i="7"/>
  <c r="J156" i="7"/>
  <c r="G145" i="7"/>
  <c r="P179" i="7"/>
  <c r="H127" i="7"/>
  <c r="Q120" i="7"/>
  <c r="O98" i="7"/>
  <c r="G140" i="7"/>
  <c r="O129" i="7"/>
  <c r="P129" i="7"/>
  <c r="Q125" i="7"/>
  <c r="G191" i="7"/>
  <c r="J191" i="7"/>
  <c r="J183" i="7"/>
  <c r="G183" i="7"/>
  <c r="G175" i="7"/>
  <c r="J175" i="7"/>
  <c r="G167" i="7"/>
  <c r="J167" i="7"/>
  <c r="G159" i="7"/>
  <c r="J159" i="7"/>
  <c r="J151" i="7"/>
  <c r="G151" i="7"/>
  <c r="G139" i="7"/>
  <c r="J139" i="7"/>
  <c r="G119" i="7"/>
  <c r="J119" i="7"/>
  <c r="P102" i="7"/>
  <c r="N102" i="7"/>
  <c r="J170" i="7"/>
  <c r="G170" i="7"/>
  <c r="N138" i="7"/>
  <c r="O138" i="7"/>
  <c r="J181" i="7"/>
  <c r="J135" i="7"/>
  <c r="G135" i="7"/>
  <c r="N149" i="7"/>
  <c r="N135" i="7"/>
  <c r="O135" i="7"/>
  <c r="G179" i="7"/>
  <c r="J179" i="7"/>
  <c r="G134" i="7"/>
  <c r="J134" i="7"/>
  <c r="AI25" i="7"/>
  <c r="AI42" i="7"/>
  <c r="AA46" i="7"/>
  <c r="AI53" i="7"/>
  <c r="S51" i="7"/>
  <c r="Q51" i="7" s="1"/>
  <c r="AA55" i="7"/>
  <c r="I180" i="7"/>
  <c r="I156" i="7"/>
  <c r="I173" i="7"/>
  <c r="I149" i="7"/>
  <c r="P142" i="7"/>
  <c r="P134" i="7"/>
  <c r="G173" i="7"/>
  <c r="G149" i="7"/>
  <c r="Q179" i="7"/>
  <c r="I127" i="7"/>
  <c r="O106" i="7"/>
  <c r="J140" i="7"/>
  <c r="Q129" i="7"/>
  <c r="N191" i="7"/>
  <c r="O191" i="7"/>
  <c r="N183" i="7"/>
  <c r="O183" i="7"/>
  <c r="N175" i="7"/>
  <c r="O175" i="7"/>
  <c r="O167" i="7"/>
  <c r="N167" i="7"/>
  <c r="N159" i="7"/>
  <c r="O159" i="7"/>
  <c r="N151" i="7"/>
  <c r="O151" i="7"/>
  <c r="G163" i="7"/>
  <c r="J163" i="7"/>
  <c r="N161" i="7"/>
  <c r="G143" i="7"/>
  <c r="J143" i="7"/>
  <c r="O139" i="7"/>
  <c r="N139" i="7"/>
  <c r="O119" i="7"/>
  <c r="N119" i="7"/>
  <c r="P104" i="7"/>
  <c r="N104" i="7"/>
  <c r="J193" i="7"/>
  <c r="O171" i="7"/>
  <c r="N171" i="7"/>
  <c r="N181" i="7"/>
  <c r="N178" i="7"/>
  <c r="O178" i="7"/>
  <c r="G126" i="7"/>
  <c r="J126" i="7"/>
  <c r="J123" i="7"/>
  <c r="G123" i="7"/>
  <c r="N123" i="7"/>
  <c r="O123" i="7"/>
  <c r="G122" i="7"/>
  <c r="J122" i="7"/>
  <c r="N131" i="7"/>
  <c r="O131" i="7"/>
  <c r="N177" i="7"/>
  <c r="Q202" i="7"/>
  <c r="O202" i="7"/>
  <c r="P202" i="7"/>
  <c r="S23" i="7"/>
  <c r="N23" i="7" s="1"/>
  <c r="AI24" i="7"/>
  <c r="S25" i="7"/>
  <c r="P25" i="7" s="1"/>
  <c r="AA26" i="7"/>
  <c r="AI28" i="7"/>
  <c r="AI41" i="7"/>
  <c r="S42" i="7"/>
  <c r="P42" i="7" s="1"/>
  <c r="AQ42" i="7"/>
  <c r="K45" i="7"/>
  <c r="I45" i="7" s="1"/>
  <c r="AI45" i="7"/>
  <c r="AQ46" i="7"/>
  <c r="S48" i="7"/>
  <c r="Q48" i="7" s="1"/>
  <c r="K53" i="7"/>
  <c r="I53" i="7" s="1"/>
  <c r="AA53" i="7"/>
  <c r="K55" i="7"/>
  <c r="K25" i="7"/>
  <c r="H25" i="7" s="1"/>
  <c r="K46" i="7"/>
  <c r="S47" i="7"/>
  <c r="N47" i="7" s="1"/>
  <c r="K50" i="7"/>
  <c r="AA50" i="7"/>
  <c r="S52" i="7"/>
  <c r="K54" i="7"/>
  <c r="H152" i="7"/>
  <c r="H177" i="7"/>
  <c r="H161" i="7"/>
  <c r="H145" i="7"/>
  <c r="G152" i="7"/>
  <c r="Q142" i="7"/>
  <c r="Q134" i="7"/>
  <c r="J152" i="7"/>
  <c r="H147" i="7"/>
  <c r="P143" i="7"/>
  <c r="O120" i="7"/>
  <c r="H140" i="7"/>
  <c r="Q106" i="7"/>
  <c r="Q98" i="7"/>
  <c r="N125" i="7"/>
  <c r="G204" i="7"/>
  <c r="H204" i="7"/>
  <c r="I204" i="7"/>
  <c r="J204" i="7"/>
  <c r="G200" i="7"/>
  <c r="H200" i="7"/>
  <c r="I200" i="7"/>
  <c r="J200" i="7"/>
  <c r="J203" i="7"/>
  <c r="G203" i="7"/>
  <c r="H203" i="7"/>
  <c r="I203" i="7"/>
  <c r="H114" i="7"/>
  <c r="J114" i="7"/>
  <c r="G114" i="7"/>
  <c r="I114" i="7"/>
  <c r="N199" i="7"/>
  <c r="O199" i="7"/>
  <c r="P199" i="7"/>
  <c r="Q199" i="7"/>
  <c r="P113" i="7"/>
  <c r="N113" i="7"/>
  <c r="O113" i="7"/>
  <c r="Q113" i="7"/>
  <c r="H108" i="7"/>
  <c r="I108" i="7"/>
  <c r="J108" i="7"/>
  <c r="G108" i="7"/>
  <c r="P107" i="7"/>
  <c r="Q107" i="7"/>
  <c r="N107" i="7"/>
  <c r="O107" i="7"/>
  <c r="H100" i="7"/>
  <c r="I100" i="7"/>
  <c r="J100" i="7"/>
  <c r="G100" i="7"/>
  <c r="P99" i="7"/>
  <c r="Q99" i="7"/>
  <c r="N99" i="7"/>
  <c r="O99" i="7"/>
  <c r="J73" i="7"/>
  <c r="G73" i="7"/>
  <c r="I73" i="7"/>
  <c r="H73" i="7"/>
  <c r="N72" i="7"/>
  <c r="O72" i="7"/>
  <c r="Q72" i="7"/>
  <c r="P72" i="7"/>
  <c r="J68" i="7"/>
  <c r="G68" i="7"/>
  <c r="I68" i="7"/>
  <c r="H68" i="7"/>
  <c r="N67" i="7"/>
  <c r="O67" i="7"/>
  <c r="Q67" i="7"/>
  <c r="P67" i="7"/>
  <c r="J64" i="7"/>
  <c r="G64" i="7"/>
  <c r="H64" i="7"/>
  <c r="I64" i="7"/>
  <c r="N63" i="7"/>
  <c r="O63" i="7"/>
  <c r="P63" i="7"/>
  <c r="Q63" i="7"/>
  <c r="Q62" i="7"/>
  <c r="N62" i="7"/>
  <c r="O62" i="7"/>
  <c r="P62" i="7"/>
  <c r="J58" i="7"/>
  <c r="G58" i="7"/>
  <c r="H58" i="7"/>
  <c r="I58" i="7"/>
  <c r="Q57" i="7"/>
  <c r="N57" i="7"/>
  <c r="O57" i="7"/>
  <c r="P57" i="7"/>
  <c r="N56" i="7"/>
  <c r="O56" i="7"/>
  <c r="Q56" i="7"/>
  <c r="P56" i="7"/>
  <c r="G110" i="7"/>
  <c r="H110" i="7"/>
  <c r="I110" i="7"/>
  <c r="J110" i="7"/>
  <c r="G41" i="7"/>
  <c r="G42" i="7"/>
  <c r="N26" i="7"/>
  <c r="Q26" i="7"/>
  <c r="I40" i="7"/>
  <c r="I41" i="7"/>
  <c r="I42" i="7"/>
  <c r="Q43" i="7"/>
  <c r="O204" i="7"/>
  <c r="P204" i="7"/>
  <c r="Q204" i="7"/>
  <c r="N204" i="7"/>
  <c r="O200" i="7"/>
  <c r="P200" i="7"/>
  <c r="Q200" i="7"/>
  <c r="N200" i="7"/>
  <c r="N207" i="7"/>
  <c r="O207" i="7"/>
  <c r="P207" i="7"/>
  <c r="Q207" i="7"/>
  <c r="J199" i="7"/>
  <c r="G199" i="7"/>
  <c r="H199" i="7"/>
  <c r="I199" i="7"/>
  <c r="P109" i="7"/>
  <c r="Q109" i="7"/>
  <c r="N109" i="7"/>
  <c r="O109" i="7"/>
  <c r="H102" i="7"/>
  <c r="I102" i="7"/>
  <c r="J102" i="7"/>
  <c r="G102" i="7"/>
  <c r="P101" i="7"/>
  <c r="Q101" i="7"/>
  <c r="N101" i="7"/>
  <c r="O101" i="7"/>
  <c r="I74" i="7"/>
  <c r="J74" i="7"/>
  <c r="G74" i="7"/>
  <c r="H74" i="7"/>
  <c r="N73" i="7"/>
  <c r="O73" i="7"/>
  <c r="Q73" i="7"/>
  <c r="P73" i="7"/>
  <c r="I70" i="7"/>
  <c r="J70" i="7"/>
  <c r="G70" i="7"/>
  <c r="H70" i="7"/>
  <c r="J69" i="7"/>
  <c r="G69" i="7"/>
  <c r="H69" i="7"/>
  <c r="I69" i="7"/>
  <c r="N68" i="7"/>
  <c r="O68" i="7"/>
  <c r="Q68" i="7"/>
  <c r="P68" i="7"/>
  <c r="J65" i="7"/>
  <c r="G65" i="7"/>
  <c r="H65" i="7"/>
  <c r="I65" i="7"/>
  <c r="N64" i="7"/>
  <c r="O64" i="7"/>
  <c r="P64" i="7"/>
  <c r="Q64" i="7"/>
  <c r="I60" i="7"/>
  <c r="J60" i="7"/>
  <c r="G60" i="7"/>
  <c r="H60" i="7"/>
  <c r="J59" i="7"/>
  <c r="G59" i="7"/>
  <c r="I59" i="7"/>
  <c r="H59" i="7"/>
  <c r="N58" i="7"/>
  <c r="O58" i="7"/>
  <c r="Q58" i="7"/>
  <c r="P58" i="7"/>
  <c r="O112" i="7"/>
  <c r="P112" i="7"/>
  <c r="N112" i="7"/>
  <c r="Q112" i="7"/>
  <c r="O111" i="7"/>
  <c r="P111" i="7"/>
  <c r="N111" i="7"/>
  <c r="Q111" i="7"/>
  <c r="O43" i="7"/>
  <c r="J40" i="7"/>
  <c r="J41" i="7"/>
  <c r="J42" i="7"/>
  <c r="P26" i="7"/>
  <c r="P43" i="7"/>
  <c r="H116" i="7"/>
  <c r="J116" i="7"/>
  <c r="G116" i="7"/>
  <c r="I116" i="7"/>
  <c r="J207" i="7"/>
  <c r="G207" i="7"/>
  <c r="H207" i="7"/>
  <c r="I207" i="7"/>
  <c r="P115" i="7"/>
  <c r="N115" i="7"/>
  <c r="O115" i="7"/>
  <c r="Q115" i="7"/>
  <c r="H104" i="7"/>
  <c r="I104" i="7"/>
  <c r="J104" i="7"/>
  <c r="G104" i="7"/>
  <c r="P103" i="7"/>
  <c r="Q103" i="7"/>
  <c r="N103" i="7"/>
  <c r="O103" i="7"/>
  <c r="I96" i="7"/>
  <c r="J96" i="7"/>
  <c r="G96" i="7"/>
  <c r="H96" i="7"/>
  <c r="I95" i="7"/>
  <c r="J95" i="7"/>
  <c r="G95" i="7"/>
  <c r="H95" i="7"/>
  <c r="I94" i="7"/>
  <c r="J94" i="7"/>
  <c r="G94" i="7"/>
  <c r="H94" i="7"/>
  <c r="I93" i="7"/>
  <c r="J93" i="7"/>
  <c r="G93" i="7"/>
  <c r="H93" i="7"/>
  <c r="I92" i="7"/>
  <c r="J92" i="7"/>
  <c r="G92" i="7"/>
  <c r="H92" i="7"/>
  <c r="I91" i="7"/>
  <c r="J91" i="7"/>
  <c r="G91" i="7"/>
  <c r="H91" i="7"/>
  <c r="I90" i="7"/>
  <c r="J90" i="7"/>
  <c r="G90" i="7"/>
  <c r="H90" i="7"/>
  <c r="I89" i="7"/>
  <c r="J89" i="7"/>
  <c r="G89" i="7"/>
  <c r="H89" i="7"/>
  <c r="I88" i="7"/>
  <c r="J88" i="7"/>
  <c r="G88" i="7"/>
  <c r="H88" i="7"/>
  <c r="I87" i="7"/>
  <c r="J87" i="7"/>
  <c r="G87" i="7"/>
  <c r="H87" i="7"/>
  <c r="I86" i="7"/>
  <c r="J86" i="7"/>
  <c r="G86" i="7"/>
  <c r="H86" i="7"/>
  <c r="I85" i="7"/>
  <c r="J85" i="7"/>
  <c r="G85" i="7"/>
  <c r="H85" i="7"/>
  <c r="I84" i="7"/>
  <c r="J84" i="7"/>
  <c r="G84" i="7"/>
  <c r="H84" i="7"/>
  <c r="I83" i="7"/>
  <c r="J83" i="7"/>
  <c r="G83" i="7"/>
  <c r="H83" i="7"/>
  <c r="I82" i="7"/>
  <c r="J82" i="7"/>
  <c r="G82" i="7"/>
  <c r="H82" i="7"/>
  <c r="I81" i="7"/>
  <c r="J81" i="7"/>
  <c r="G81" i="7"/>
  <c r="H81" i="7"/>
  <c r="I80" i="7"/>
  <c r="J80" i="7"/>
  <c r="G80" i="7"/>
  <c r="H80" i="7"/>
  <c r="I79" i="7"/>
  <c r="J79" i="7"/>
  <c r="G79" i="7"/>
  <c r="H79" i="7"/>
  <c r="I78" i="7"/>
  <c r="J78" i="7"/>
  <c r="G78" i="7"/>
  <c r="H78" i="7"/>
  <c r="I77" i="7"/>
  <c r="J77" i="7"/>
  <c r="G77" i="7"/>
  <c r="H77" i="7"/>
  <c r="I76" i="7"/>
  <c r="J76" i="7"/>
  <c r="G76" i="7"/>
  <c r="H76" i="7"/>
  <c r="I75" i="7"/>
  <c r="J75" i="7"/>
  <c r="G75" i="7"/>
  <c r="H75" i="7"/>
  <c r="Q74" i="7"/>
  <c r="N74" i="7"/>
  <c r="O74" i="7"/>
  <c r="P74" i="7"/>
  <c r="J71" i="7"/>
  <c r="G71" i="7"/>
  <c r="I71" i="7"/>
  <c r="H71" i="7"/>
  <c r="Q70" i="7"/>
  <c r="N70" i="7"/>
  <c r="O70" i="7"/>
  <c r="P70" i="7"/>
  <c r="N69" i="7"/>
  <c r="O69" i="7"/>
  <c r="P69" i="7"/>
  <c r="Q69" i="7"/>
  <c r="J66" i="7"/>
  <c r="G66" i="7"/>
  <c r="H66" i="7"/>
  <c r="I66" i="7"/>
  <c r="N65" i="7"/>
  <c r="O65" i="7"/>
  <c r="P65" i="7"/>
  <c r="Q65" i="7"/>
  <c r="I61" i="7"/>
  <c r="J61" i="7"/>
  <c r="G61" i="7"/>
  <c r="H61" i="7"/>
  <c r="N60" i="7"/>
  <c r="O60" i="7"/>
  <c r="Q60" i="7"/>
  <c r="P60" i="7"/>
  <c r="Q59" i="7"/>
  <c r="N59" i="7"/>
  <c r="O59" i="7"/>
  <c r="P59" i="7"/>
  <c r="H115" i="7"/>
  <c r="G115" i="7"/>
  <c r="I115" i="7"/>
  <c r="J115" i="7"/>
  <c r="G112" i="7"/>
  <c r="H112" i="7"/>
  <c r="I112" i="7"/>
  <c r="J112" i="7"/>
  <c r="G111" i="7"/>
  <c r="H111" i="7"/>
  <c r="I111" i="7"/>
  <c r="J111" i="7"/>
  <c r="N203" i="7"/>
  <c r="O203" i="7"/>
  <c r="P203" i="7"/>
  <c r="Q203" i="7"/>
  <c r="H117" i="7"/>
  <c r="G117" i="7"/>
  <c r="I117" i="7"/>
  <c r="J117" i="7"/>
  <c r="H106" i="7"/>
  <c r="I106" i="7"/>
  <c r="J106" i="7"/>
  <c r="G106" i="7"/>
  <c r="P105" i="7"/>
  <c r="Q105" i="7"/>
  <c r="N105" i="7"/>
  <c r="O105" i="7"/>
  <c r="H98" i="7"/>
  <c r="I98" i="7"/>
  <c r="J98" i="7"/>
  <c r="G98" i="7"/>
  <c r="P97" i="7"/>
  <c r="Q97" i="7"/>
  <c r="N97" i="7"/>
  <c r="O97" i="7"/>
  <c r="Q96" i="7"/>
  <c r="N96" i="7"/>
  <c r="O96" i="7"/>
  <c r="P96" i="7"/>
  <c r="Q95" i="7"/>
  <c r="N95" i="7"/>
  <c r="O95" i="7"/>
  <c r="P95" i="7"/>
  <c r="Q94" i="7"/>
  <c r="N94" i="7"/>
  <c r="O94" i="7"/>
  <c r="P94" i="7"/>
  <c r="Q93" i="7"/>
  <c r="N93" i="7"/>
  <c r="O93" i="7"/>
  <c r="P93" i="7"/>
  <c r="Q92" i="7"/>
  <c r="N92" i="7"/>
  <c r="O92" i="7"/>
  <c r="P92" i="7"/>
  <c r="Q91" i="7"/>
  <c r="N91" i="7"/>
  <c r="O91" i="7"/>
  <c r="P91" i="7"/>
  <c r="Q90" i="7"/>
  <c r="N90" i="7"/>
  <c r="O90" i="7"/>
  <c r="P90" i="7"/>
  <c r="Q89" i="7"/>
  <c r="N89" i="7"/>
  <c r="O89" i="7"/>
  <c r="P89" i="7"/>
  <c r="Q88" i="7"/>
  <c r="N88" i="7"/>
  <c r="O88" i="7"/>
  <c r="P88" i="7"/>
  <c r="Q87" i="7"/>
  <c r="N87" i="7"/>
  <c r="O87" i="7"/>
  <c r="P87" i="7"/>
  <c r="Q86" i="7"/>
  <c r="N86" i="7"/>
  <c r="O86" i="7"/>
  <c r="P86" i="7"/>
  <c r="Q85" i="7"/>
  <c r="N85" i="7"/>
  <c r="O85" i="7"/>
  <c r="P85" i="7"/>
  <c r="Q84" i="7"/>
  <c r="N84" i="7"/>
  <c r="O84" i="7"/>
  <c r="P84" i="7"/>
  <c r="Q83" i="7"/>
  <c r="N83" i="7"/>
  <c r="O83" i="7"/>
  <c r="P83" i="7"/>
  <c r="Q82" i="7"/>
  <c r="N82" i="7"/>
  <c r="O82" i="7"/>
  <c r="P82" i="7"/>
  <c r="Q81" i="7"/>
  <c r="N81" i="7"/>
  <c r="O81" i="7"/>
  <c r="P81" i="7"/>
  <c r="Q80" i="7"/>
  <c r="N80" i="7"/>
  <c r="O80" i="7"/>
  <c r="P80" i="7"/>
  <c r="Q79" i="7"/>
  <c r="N79" i="7"/>
  <c r="O79" i="7"/>
  <c r="P79" i="7"/>
  <c r="Q78" i="7"/>
  <c r="N78" i="7"/>
  <c r="O78" i="7"/>
  <c r="P78" i="7"/>
  <c r="Q77" i="7"/>
  <c r="N77" i="7"/>
  <c r="O77" i="7"/>
  <c r="P77" i="7"/>
  <c r="Q76" i="7"/>
  <c r="N76" i="7"/>
  <c r="O76" i="7"/>
  <c r="P76" i="7"/>
  <c r="Q75" i="7"/>
  <c r="N75" i="7"/>
  <c r="O75" i="7"/>
  <c r="P75" i="7"/>
  <c r="J72" i="7"/>
  <c r="G72" i="7"/>
  <c r="H72" i="7"/>
  <c r="I72" i="7"/>
  <c r="N71" i="7"/>
  <c r="O71" i="7"/>
  <c r="P71" i="7"/>
  <c r="Q71" i="7"/>
  <c r="J67" i="7"/>
  <c r="G67" i="7"/>
  <c r="I67" i="7"/>
  <c r="H67" i="7"/>
  <c r="N66" i="7"/>
  <c r="O66" i="7"/>
  <c r="P66" i="7"/>
  <c r="Q66" i="7"/>
  <c r="I63" i="7"/>
  <c r="J63" i="7"/>
  <c r="G63" i="7"/>
  <c r="H63" i="7"/>
  <c r="J62" i="7"/>
  <c r="G62" i="7"/>
  <c r="H62" i="7"/>
  <c r="I62" i="7"/>
  <c r="N61" i="7"/>
  <c r="O61" i="7"/>
  <c r="P61" i="7"/>
  <c r="Q61" i="7"/>
  <c r="J57" i="7"/>
  <c r="I57" i="7"/>
  <c r="G57" i="7"/>
  <c r="H57" i="7"/>
  <c r="J56" i="7"/>
  <c r="G56" i="7"/>
  <c r="H56" i="7"/>
  <c r="I56" i="7"/>
  <c r="O110" i="7"/>
  <c r="P110" i="7"/>
  <c r="N110" i="7"/>
  <c r="Q110" i="7"/>
  <c r="S22" i="7"/>
  <c r="AQ17" i="7"/>
  <c r="AQ7" i="7"/>
  <c r="Q34" i="7" l="1"/>
  <c r="J48" i="7"/>
  <c r="N28" i="7"/>
  <c r="I48" i="7"/>
  <c r="Q28" i="7"/>
  <c r="O28" i="7"/>
  <c r="P53" i="7"/>
  <c r="Q53" i="7"/>
  <c r="O34" i="7"/>
  <c r="O54" i="7"/>
  <c r="G48" i="7"/>
  <c r="N38" i="7"/>
  <c r="O38" i="7"/>
  <c r="J44" i="7"/>
  <c r="I44" i="7"/>
  <c r="Q38" i="7"/>
  <c r="H51" i="7"/>
  <c r="G44" i="7"/>
  <c r="J32" i="7"/>
  <c r="I32" i="7"/>
  <c r="P29" i="7"/>
  <c r="N34" i="7"/>
  <c r="O44" i="7"/>
  <c r="P47" i="7"/>
  <c r="H32" i="7"/>
  <c r="J33" i="7"/>
  <c r="G33" i="7"/>
  <c r="H29" i="7"/>
  <c r="Q32" i="7"/>
  <c r="I26" i="7"/>
  <c r="N32" i="7"/>
  <c r="G35" i="7"/>
  <c r="J26" i="7"/>
  <c r="P52" i="7"/>
  <c r="H31" i="7"/>
  <c r="J31" i="7"/>
  <c r="O47" i="7"/>
  <c r="I35" i="7"/>
  <c r="N52" i="7"/>
  <c r="Q52" i="7"/>
  <c r="Q47" i="7"/>
  <c r="J35" i="7"/>
  <c r="Q49" i="7"/>
  <c r="I31" i="7"/>
  <c r="I54" i="7"/>
  <c r="I51" i="7"/>
  <c r="Q50" i="7"/>
  <c r="I25" i="7"/>
  <c r="P50" i="7"/>
  <c r="J29" i="7"/>
  <c r="I29" i="7"/>
  <c r="G51" i="7"/>
  <c r="J28" i="7"/>
  <c r="O49" i="7"/>
  <c r="O45" i="7"/>
  <c r="J30" i="7"/>
  <c r="N27" i="7"/>
  <c r="I55" i="7"/>
  <c r="I49" i="7"/>
  <c r="I39" i="7"/>
  <c r="H54" i="7"/>
  <c r="Q44" i="7"/>
  <c r="I37" i="7"/>
  <c r="J37" i="7"/>
  <c r="N24" i="7"/>
  <c r="P24" i="7"/>
  <c r="N37" i="7"/>
  <c r="I33" i="7"/>
  <c r="N44" i="7"/>
  <c r="G30" i="7"/>
  <c r="P44" i="7"/>
  <c r="Q24" i="7"/>
  <c r="G37" i="7"/>
  <c r="I30" i="7"/>
  <c r="Q27" i="7"/>
  <c r="O32" i="7"/>
  <c r="H47" i="7"/>
  <c r="H39" i="7"/>
  <c r="N46" i="7"/>
  <c r="O39" i="7"/>
  <c r="Q37" i="7"/>
  <c r="J39" i="7"/>
  <c r="N31" i="7"/>
  <c r="G26" i="7"/>
  <c r="G49" i="7"/>
  <c r="H49" i="7"/>
  <c r="P27" i="7"/>
  <c r="N39" i="7"/>
  <c r="N33" i="7"/>
  <c r="Q54" i="7"/>
  <c r="Q39" i="7"/>
  <c r="O37" i="7"/>
  <c r="O33" i="7"/>
  <c r="P54" i="7"/>
  <c r="P46" i="7"/>
  <c r="J47" i="7"/>
  <c r="I47" i="7"/>
  <c r="Q42" i="7"/>
  <c r="Q33" i="7"/>
  <c r="N25" i="7"/>
  <c r="H52" i="7"/>
  <c r="N36" i="7"/>
  <c r="N35" i="7"/>
  <c r="J23" i="7"/>
  <c r="O35" i="7"/>
  <c r="Q31" i="7"/>
  <c r="I23" i="7"/>
  <c r="N40" i="7"/>
  <c r="O36" i="7"/>
  <c r="O31" i="7"/>
  <c r="N53" i="7"/>
  <c r="H55" i="7"/>
  <c r="H53" i="7"/>
  <c r="P51" i="7"/>
  <c r="P48" i="7"/>
  <c r="N49" i="7"/>
  <c r="G28" i="7"/>
  <c r="Q36" i="7"/>
  <c r="Q35" i="7"/>
  <c r="Q23" i="7"/>
  <c r="I28" i="7"/>
  <c r="J45" i="7"/>
  <c r="G23" i="7"/>
  <c r="AA22" i="7"/>
  <c r="N51" i="7"/>
  <c r="I36" i="7"/>
  <c r="J36" i="7"/>
  <c r="G25" i="7"/>
  <c r="J25" i="7"/>
  <c r="Q30" i="7"/>
  <c r="J38" i="7"/>
  <c r="G36" i="7"/>
  <c r="J52" i="7"/>
  <c r="G52" i="7"/>
  <c r="P55" i="7"/>
  <c r="H43" i="7"/>
  <c r="P30" i="7"/>
  <c r="J24" i="7"/>
  <c r="O25" i="7"/>
  <c r="N55" i="7"/>
  <c r="I38" i="7"/>
  <c r="I34" i="7"/>
  <c r="N30" i="7"/>
  <c r="H38" i="7"/>
  <c r="H34" i="7"/>
  <c r="H24" i="7"/>
  <c r="I24" i="7"/>
  <c r="J43" i="7"/>
  <c r="J34" i="7"/>
  <c r="I43" i="7"/>
  <c r="J55" i="7"/>
  <c r="G55" i="7"/>
  <c r="N48" i="7"/>
  <c r="O48" i="7"/>
  <c r="N50" i="7"/>
  <c r="O50" i="7"/>
  <c r="O53" i="7"/>
  <c r="P45" i="7"/>
  <c r="J50" i="7"/>
  <c r="N41" i="7"/>
  <c r="J27" i="7"/>
  <c r="O52" i="7"/>
  <c r="J53" i="7"/>
  <c r="G53" i="7"/>
  <c r="H45" i="7"/>
  <c r="G45" i="7"/>
  <c r="P23" i="7"/>
  <c r="O23" i="7"/>
  <c r="O51" i="7"/>
  <c r="O46" i="7"/>
  <c r="P40" i="7"/>
  <c r="O40" i="7"/>
  <c r="O55" i="7"/>
  <c r="G46" i="7"/>
  <c r="O42" i="7"/>
  <c r="I50" i="7"/>
  <c r="I46" i="7"/>
  <c r="N42" i="7"/>
  <c r="J54" i="7"/>
  <c r="G54" i="7"/>
  <c r="H46" i="7"/>
  <c r="Q45" i="7"/>
  <c r="Q29" i="7"/>
  <c r="Q25" i="7"/>
  <c r="J46" i="7"/>
  <c r="N29" i="7"/>
  <c r="H50" i="7"/>
  <c r="G50" i="7"/>
  <c r="P41" i="7"/>
  <c r="O41" i="7"/>
  <c r="H27" i="7"/>
  <c r="G27" i="7"/>
  <c r="N22" i="7"/>
  <c r="Q22" i="7"/>
  <c r="P22" i="7"/>
  <c r="AQ22" i="7"/>
  <c r="AI22" i="7"/>
  <c r="K7" i="7"/>
  <c r="S7" i="7"/>
  <c r="AA7" i="7"/>
  <c r="AI7" i="7"/>
  <c r="K8" i="7"/>
  <c r="S8" i="7"/>
  <c r="AA8" i="7"/>
  <c r="AI8" i="7"/>
  <c r="AQ8" i="7"/>
  <c r="K9" i="7"/>
  <c r="S9" i="7"/>
  <c r="AA9" i="7"/>
  <c r="AI9" i="7"/>
  <c r="AQ9" i="7"/>
  <c r="K10" i="7"/>
  <c r="S10" i="7"/>
  <c r="AA10" i="7"/>
  <c r="AI10" i="7"/>
  <c r="AQ10" i="7"/>
  <c r="K11" i="7"/>
  <c r="S11" i="7"/>
  <c r="N11" i="7" s="1"/>
  <c r="AA11" i="7"/>
  <c r="AI11" i="7"/>
  <c r="AQ11" i="7"/>
  <c r="K12" i="7"/>
  <c r="S12" i="7"/>
  <c r="AA12" i="7"/>
  <c r="AI12" i="7"/>
  <c r="AQ12" i="7"/>
  <c r="K13" i="7"/>
  <c r="S13" i="7"/>
  <c r="AA13" i="7"/>
  <c r="AI13" i="7"/>
  <c r="AQ13" i="7"/>
  <c r="K14" i="7"/>
  <c r="S14" i="7"/>
  <c r="AA14" i="7"/>
  <c r="AI14" i="7"/>
  <c r="AQ14" i="7"/>
  <c r="K15" i="7"/>
  <c r="S15" i="7"/>
  <c r="AA15" i="7"/>
  <c r="AI15" i="7"/>
  <c r="AQ15" i="7"/>
  <c r="K16" i="7"/>
  <c r="S16" i="7"/>
  <c r="AA16" i="7"/>
  <c r="AI16" i="7"/>
  <c r="AQ16" i="7"/>
  <c r="K17" i="7"/>
  <c r="S17" i="7"/>
  <c r="AA17" i="7"/>
  <c r="AI17" i="7"/>
  <c r="K18" i="7"/>
  <c r="S18" i="7"/>
  <c r="AA18" i="7"/>
  <c r="AI18" i="7"/>
  <c r="AQ18" i="7"/>
  <c r="K19" i="7"/>
  <c r="S19" i="7"/>
  <c r="AA19" i="7"/>
  <c r="AI19" i="7"/>
  <c r="AQ19" i="7"/>
  <c r="K20" i="7"/>
  <c r="S20" i="7"/>
  <c r="AA20" i="7"/>
  <c r="AI20" i="7"/>
  <c r="AQ20" i="7"/>
  <c r="K21" i="7"/>
  <c r="S21" i="7"/>
  <c r="AA21" i="7"/>
  <c r="AI21" i="7"/>
  <c r="AQ21" i="7"/>
  <c r="K22" i="7"/>
  <c r="O22" i="7"/>
  <c r="AQ6" i="7"/>
  <c r="AI6" i="7" l="1"/>
  <c r="S6" i="7"/>
  <c r="Q6" i="7" s="1"/>
  <c r="K6" i="7"/>
  <c r="J6" i="7" s="1"/>
  <c r="AA6" i="7"/>
  <c r="J21" i="7"/>
  <c r="G21" i="7"/>
  <c r="H21" i="7"/>
  <c r="I21" i="7"/>
  <c r="O15" i="7"/>
  <c r="Q15" i="7"/>
  <c r="P15" i="7"/>
  <c r="N15" i="7"/>
  <c r="J22" i="7"/>
  <c r="G22" i="7"/>
  <c r="H22" i="7"/>
  <c r="I22" i="7"/>
  <c r="N21" i="7"/>
  <c r="O21" i="7"/>
  <c r="Q21" i="7"/>
  <c r="P21" i="7"/>
  <c r="G18" i="7"/>
  <c r="I18" i="7"/>
  <c r="J18" i="7"/>
  <c r="H18" i="7"/>
  <c r="J17" i="7"/>
  <c r="G17" i="7"/>
  <c r="H17" i="7"/>
  <c r="I17" i="7"/>
  <c r="N16" i="7"/>
  <c r="O16" i="7"/>
  <c r="Q16" i="7"/>
  <c r="P16" i="7"/>
  <c r="G13" i="7"/>
  <c r="I13" i="7"/>
  <c r="H13" i="7"/>
  <c r="J13" i="7"/>
  <c r="O12" i="7"/>
  <c r="N12" i="7"/>
  <c r="P12" i="7"/>
  <c r="Q12" i="7"/>
  <c r="J9" i="7"/>
  <c r="G9" i="7"/>
  <c r="H9" i="7"/>
  <c r="I9" i="7"/>
  <c r="O8" i="7"/>
  <c r="P8" i="7"/>
  <c r="Q8" i="7"/>
  <c r="N8" i="7"/>
  <c r="Q7" i="7"/>
  <c r="N7" i="7"/>
  <c r="O7" i="7"/>
  <c r="P7" i="7"/>
  <c r="O20" i="7"/>
  <c r="Q20" i="7"/>
  <c r="P20" i="7"/>
  <c r="N20" i="7"/>
  <c r="G16" i="7"/>
  <c r="I16" i="7"/>
  <c r="J16" i="7"/>
  <c r="H16" i="7"/>
  <c r="I12" i="7"/>
  <c r="J12" i="7"/>
  <c r="G12" i="7"/>
  <c r="H12" i="7"/>
  <c r="G8" i="7"/>
  <c r="I8" i="7"/>
  <c r="J8" i="7"/>
  <c r="H8" i="7"/>
  <c r="I19" i="7"/>
  <c r="G19" i="7"/>
  <c r="J19" i="7"/>
  <c r="H19" i="7"/>
  <c r="O18" i="7"/>
  <c r="P18" i="7"/>
  <c r="Q18" i="7"/>
  <c r="N18" i="7"/>
  <c r="O17" i="7"/>
  <c r="Q17" i="7"/>
  <c r="P17" i="7"/>
  <c r="N17" i="7"/>
  <c r="J14" i="7"/>
  <c r="G14" i="7"/>
  <c r="H14" i="7"/>
  <c r="I14" i="7"/>
  <c r="Q13" i="7"/>
  <c r="O13" i="7"/>
  <c r="N13" i="7"/>
  <c r="P13" i="7"/>
  <c r="J10" i="7"/>
  <c r="G10" i="7"/>
  <c r="I10" i="7"/>
  <c r="H10" i="7"/>
  <c r="N9" i="7"/>
  <c r="O9" i="7"/>
  <c r="Q9" i="7"/>
  <c r="P9" i="7"/>
  <c r="J20" i="7"/>
  <c r="G20" i="7"/>
  <c r="H20" i="7"/>
  <c r="I20" i="7"/>
  <c r="O19" i="7"/>
  <c r="Q19" i="7"/>
  <c r="P19" i="7"/>
  <c r="N19" i="7"/>
  <c r="J15" i="7"/>
  <c r="G15" i="7"/>
  <c r="H15" i="7"/>
  <c r="I15" i="7"/>
  <c r="N14" i="7"/>
  <c r="O14" i="7"/>
  <c r="P14" i="7"/>
  <c r="Q14" i="7"/>
  <c r="G11" i="7"/>
  <c r="I11" i="7"/>
  <c r="H11" i="7"/>
  <c r="J11" i="7"/>
  <c r="O10" i="7"/>
  <c r="Q10" i="7"/>
  <c r="P10" i="7"/>
  <c r="N10" i="7"/>
  <c r="O11" i="7"/>
  <c r="Q11" i="7"/>
  <c r="P11" i="7"/>
  <c r="G7" i="7"/>
  <c r="I7" i="7"/>
  <c r="J7" i="7"/>
  <c r="H7" i="7"/>
  <c r="AP3" i="7"/>
  <c r="AO3" i="7"/>
  <c r="AO13" i="7" s="1"/>
  <c r="AN3" i="7"/>
  <c r="AN9" i="7" s="1"/>
  <c r="AM3" i="7"/>
  <c r="AM13" i="7" s="1"/>
  <c r="AL3" i="7"/>
  <c r="AK3" i="7"/>
  <c r="AK8" i="7" s="1"/>
  <c r="AH3" i="7"/>
  <c r="AH19" i="7" s="1"/>
  <c r="AG3" i="7"/>
  <c r="AG13" i="7" s="1"/>
  <c r="AF3" i="7"/>
  <c r="AE3" i="7"/>
  <c r="AE10" i="7" s="1"/>
  <c r="AD3" i="7"/>
  <c r="AD22" i="7" s="1"/>
  <c r="AC3" i="7"/>
  <c r="AC13" i="7" s="1"/>
  <c r="Z3" i="7"/>
  <c r="Y3" i="7"/>
  <c r="Y19" i="7" s="1"/>
  <c r="X3" i="7"/>
  <c r="X10" i="7" s="1"/>
  <c r="W3" i="7"/>
  <c r="W21" i="7" s="1"/>
  <c r="V3" i="7"/>
  <c r="U3" i="7"/>
  <c r="U12" i="7" s="1"/>
  <c r="R3" i="7"/>
  <c r="R21" i="7" s="1"/>
  <c r="Q3" i="7"/>
  <c r="P3" i="7"/>
  <c r="O3" i="7"/>
  <c r="N3" i="7"/>
  <c r="M3" i="7"/>
  <c r="M20" i="7" s="1"/>
  <c r="J3" i="7"/>
  <c r="I3" i="7"/>
  <c r="H3" i="7"/>
  <c r="G3" i="7"/>
  <c r="F3" i="7"/>
  <c r="F16" i="7" s="1"/>
  <c r="C9" i="6"/>
  <c r="K5" i="6"/>
  <c r="L5" i="6" s="1"/>
  <c r="AD17" i="7" l="1"/>
  <c r="AH7" i="7"/>
  <c r="AH17" i="7"/>
  <c r="R11" i="7"/>
  <c r="AD7" i="7"/>
  <c r="N5" i="6"/>
  <c r="O5" i="6" s="1"/>
  <c r="V553" i="7"/>
  <c r="V534" i="7"/>
  <c r="V542" i="7"/>
  <c r="V539" i="7"/>
  <c r="V548" i="7"/>
  <c r="V551" i="7"/>
  <c r="V543" i="7"/>
  <c r="V541" i="7"/>
  <c r="V552" i="7"/>
  <c r="V537" i="7"/>
  <c r="V549" i="7"/>
  <c r="V544" i="7"/>
  <c r="V546" i="7"/>
  <c r="V536" i="7"/>
  <c r="V540" i="7"/>
  <c r="V545" i="7"/>
  <c r="V550" i="7"/>
  <c r="V538" i="7"/>
  <c r="V526" i="7"/>
  <c r="V535" i="7"/>
  <c r="V547" i="7"/>
  <c r="V533" i="7"/>
  <c r="V523" i="7"/>
  <c r="V524" i="7"/>
  <c r="V531" i="7"/>
  <c r="V527" i="7"/>
  <c r="V528" i="7"/>
  <c r="V525" i="7"/>
  <c r="V529" i="7"/>
  <c r="V532" i="7"/>
  <c r="V530" i="7"/>
  <c r="V522" i="7"/>
  <c r="V512" i="7"/>
  <c r="V505" i="7"/>
  <c r="V520" i="7"/>
  <c r="V516" i="7"/>
  <c r="V509" i="7"/>
  <c r="V515" i="7"/>
  <c r="V513" i="7"/>
  <c r="V519" i="7"/>
  <c r="V521" i="7"/>
  <c r="V455" i="7"/>
  <c r="V514" i="7"/>
  <c r="V506" i="7"/>
  <c r="V481" i="7"/>
  <c r="V510" i="7"/>
  <c r="V518" i="7"/>
  <c r="V508" i="7"/>
  <c r="V511" i="7"/>
  <c r="V517" i="7"/>
  <c r="V507" i="7"/>
  <c r="V447" i="7"/>
  <c r="V502" i="7"/>
  <c r="V457" i="7"/>
  <c r="V499" i="7"/>
  <c r="V468" i="7"/>
  <c r="V450" i="7"/>
  <c r="V461" i="7"/>
  <c r="V485" i="7"/>
  <c r="V497" i="7"/>
  <c r="V480" i="7"/>
  <c r="V476" i="7"/>
  <c r="V490" i="7"/>
  <c r="V451" i="7"/>
  <c r="V474" i="7"/>
  <c r="V487" i="7"/>
  <c r="V464" i="7"/>
  <c r="V479" i="7"/>
  <c r="V484" i="7"/>
  <c r="V463" i="7"/>
  <c r="V483" i="7"/>
  <c r="V475" i="7"/>
  <c r="V471" i="7"/>
  <c r="V496" i="7"/>
  <c r="V492" i="7"/>
  <c r="V467" i="7"/>
  <c r="V462" i="7"/>
  <c r="V456" i="7"/>
  <c r="V500" i="7"/>
  <c r="V504" i="7"/>
  <c r="V446" i="7"/>
  <c r="V466" i="7"/>
  <c r="V493" i="7"/>
  <c r="V453" i="7"/>
  <c r="V477" i="7"/>
  <c r="V465" i="7"/>
  <c r="V448" i="7"/>
  <c r="V478" i="7"/>
  <c r="V503" i="7"/>
  <c r="V489" i="7"/>
  <c r="V501" i="7"/>
  <c r="V454" i="7"/>
  <c r="V498" i="7"/>
  <c r="V470" i="7"/>
  <c r="V495" i="7"/>
  <c r="V488" i="7"/>
  <c r="V472" i="7"/>
  <c r="V482" i="7"/>
  <c r="V469" i="7"/>
  <c r="V473" i="7"/>
  <c r="V486" i="7"/>
  <c r="V458" i="7"/>
  <c r="V452" i="7"/>
  <c r="V460" i="7"/>
  <c r="V459" i="7"/>
  <c r="V449" i="7"/>
  <c r="V494" i="7"/>
  <c r="V491" i="7"/>
  <c r="V442" i="7"/>
  <c r="V443" i="7"/>
  <c r="V444" i="7"/>
  <c r="V445" i="7"/>
  <c r="V419" i="7"/>
  <c r="V427" i="7"/>
  <c r="V437" i="7"/>
  <c r="V410" i="7"/>
  <c r="V441" i="7"/>
  <c r="V420" i="7"/>
  <c r="V440" i="7"/>
  <c r="V411" i="7"/>
  <c r="V363" i="7"/>
  <c r="V416" i="7"/>
  <c r="V408" i="7"/>
  <c r="V429" i="7"/>
  <c r="V404" i="7"/>
  <c r="V406" i="7"/>
  <c r="V433" i="7"/>
  <c r="V403" i="7"/>
  <c r="V359" i="7"/>
  <c r="V371" i="7"/>
  <c r="V426" i="7"/>
  <c r="V392" i="7"/>
  <c r="V400" i="7"/>
  <c r="V415" i="7"/>
  <c r="V422" i="7"/>
  <c r="V407" i="7"/>
  <c r="V402" i="7"/>
  <c r="V428" i="7"/>
  <c r="V414" i="7"/>
  <c r="V375" i="7"/>
  <c r="V379" i="7"/>
  <c r="V425" i="7"/>
  <c r="V430" i="7"/>
  <c r="V417" i="7"/>
  <c r="V434" i="7"/>
  <c r="V431" i="7"/>
  <c r="V423" i="7"/>
  <c r="V421" i="7"/>
  <c r="V412" i="7"/>
  <c r="V409" i="7"/>
  <c r="V435" i="7"/>
  <c r="V413" i="7"/>
  <c r="V396" i="7"/>
  <c r="V424" i="7"/>
  <c r="V432" i="7"/>
  <c r="V436" i="7"/>
  <c r="V438" i="7"/>
  <c r="V418" i="7"/>
  <c r="V439" i="7"/>
  <c r="V405" i="7"/>
  <c r="V301" i="7"/>
  <c r="V384" i="7"/>
  <c r="V281" i="7"/>
  <c r="V308" i="7"/>
  <c r="V367" i="7"/>
  <c r="V388" i="7"/>
  <c r="V393" i="7"/>
  <c r="V397" i="7"/>
  <c r="V349" i="7"/>
  <c r="V324" i="7"/>
  <c r="V381" i="7"/>
  <c r="V362" i="7"/>
  <c r="V394" i="7"/>
  <c r="V383" i="7"/>
  <c r="V368" i="7"/>
  <c r="V377" i="7"/>
  <c r="V389" i="7"/>
  <c r="V385" i="7"/>
  <c r="V401" i="7"/>
  <c r="V378" i="7"/>
  <c r="V316" i="7"/>
  <c r="V395" i="7"/>
  <c r="V386" i="7"/>
  <c r="V376" i="7"/>
  <c r="V360" i="7"/>
  <c r="V373" i="7"/>
  <c r="V290" i="7"/>
  <c r="V305" i="7"/>
  <c r="V328" i="7"/>
  <c r="V398" i="7"/>
  <c r="V366" i="7"/>
  <c r="V364" i="7"/>
  <c r="V356" i="7"/>
  <c r="V358" i="7"/>
  <c r="V369" i="7"/>
  <c r="V312" i="7"/>
  <c r="V399" i="7"/>
  <c r="V391" i="7"/>
  <c r="V390" i="7"/>
  <c r="V380" i="7"/>
  <c r="V372" i="7"/>
  <c r="V361" i="7"/>
  <c r="V365" i="7"/>
  <c r="V313" i="7"/>
  <c r="V374" i="7"/>
  <c r="V357" i="7"/>
  <c r="V382" i="7"/>
  <c r="V387" i="7"/>
  <c r="V370" i="7"/>
  <c r="V332" i="7"/>
  <c r="V338" i="7"/>
  <c r="V293" i="7"/>
  <c r="V288" i="7"/>
  <c r="V341" i="7"/>
  <c r="V289" i="7"/>
  <c r="V296" i="7"/>
  <c r="V303" i="7"/>
  <c r="V212" i="7"/>
  <c r="V220" i="7"/>
  <c r="V228" i="7"/>
  <c r="V236" i="7"/>
  <c r="V244" i="7"/>
  <c r="V252" i="7"/>
  <c r="V260" i="7"/>
  <c r="V268" i="7"/>
  <c r="V307" i="7"/>
  <c r="V320" i="7"/>
  <c r="V297" i="7"/>
  <c r="V309" i="7"/>
  <c r="V345" i="7"/>
  <c r="V292" i="7"/>
  <c r="V329" i="7"/>
  <c r="V282" i="7"/>
  <c r="V294" i="7"/>
  <c r="V314" i="7"/>
  <c r="V342" i="7"/>
  <c r="V350" i="7"/>
  <c r="V323" i="7"/>
  <c r="V327" i="7"/>
  <c r="V347" i="7"/>
  <c r="V348" i="7"/>
  <c r="V344" i="7"/>
  <c r="V343" i="7"/>
  <c r="V326" i="7"/>
  <c r="V208" i="7"/>
  <c r="V216" i="7"/>
  <c r="V224" i="7"/>
  <c r="V232" i="7"/>
  <c r="V240" i="7"/>
  <c r="V248" i="7"/>
  <c r="V256" i="7"/>
  <c r="V264" i="7"/>
  <c r="V272" i="7"/>
  <c r="V319" i="7"/>
  <c r="V339" i="7"/>
  <c r="V302" i="7"/>
  <c r="V340" i="7"/>
  <c r="V306" i="7"/>
  <c r="V300" i="7"/>
  <c r="V317" i="7"/>
  <c r="V355" i="7"/>
  <c r="V284" i="7"/>
  <c r="V336" i="7"/>
  <c r="V285" i="7"/>
  <c r="V335" i="7"/>
  <c r="V337" i="7"/>
  <c r="V346" i="7"/>
  <c r="V331" i="7"/>
  <c r="V354" i="7"/>
  <c r="V286" i="7"/>
  <c r="V325" i="7"/>
  <c r="V351" i="7"/>
  <c r="V321" i="7"/>
  <c r="V298" i="7"/>
  <c r="V322" i="7"/>
  <c r="V304" i="7"/>
  <c r="V295" i="7"/>
  <c r="V291" i="7"/>
  <c r="V287" i="7"/>
  <c r="V352" i="7"/>
  <c r="V318" i="7"/>
  <c r="V333" i="7"/>
  <c r="V334" i="7"/>
  <c r="V353" i="7"/>
  <c r="V330" i="7"/>
  <c r="V299" i="7"/>
  <c r="V315" i="7"/>
  <c r="V311" i="7"/>
  <c r="V283" i="7"/>
  <c r="V310" i="7"/>
  <c r="V152" i="7"/>
  <c r="V176" i="7"/>
  <c r="V184" i="7"/>
  <c r="V211" i="7"/>
  <c r="V215" i="7"/>
  <c r="V239" i="7"/>
  <c r="V255" i="7"/>
  <c r="V223" i="7"/>
  <c r="V177" i="7"/>
  <c r="V153" i="7"/>
  <c r="V141" i="7"/>
  <c r="V201" i="7"/>
  <c r="V160" i="7"/>
  <c r="V192" i="7"/>
  <c r="V219" i="7"/>
  <c r="V235" i="7"/>
  <c r="V267" i="7"/>
  <c r="V231" i="7"/>
  <c r="V279" i="7"/>
  <c r="V115" i="7"/>
  <c r="V125" i="7"/>
  <c r="V128" i="7"/>
  <c r="V227" i="7"/>
  <c r="V251" i="7"/>
  <c r="V103" i="7"/>
  <c r="V185" i="7"/>
  <c r="V132" i="7"/>
  <c r="V144" i="7"/>
  <c r="V241" i="7"/>
  <c r="V172" i="7"/>
  <c r="V276" i="7"/>
  <c r="V247" i="7"/>
  <c r="V243" i="7"/>
  <c r="V280" i="7"/>
  <c r="V263" i="7"/>
  <c r="V259" i="7"/>
  <c r="V271" i="7"/>
  <c r="V275" i="7"/>
  <c r="V147" i="7"/>
  <c r="V169" i="7"/>
  <c r="V214" i="7"/>
  <c r="V237" i="7"/>
  <c r="V238" i="7"/>
  <c r="V233" i="7"/>
  <c r="V278" i="7"/>
  <c r="V270" i="7"/>
  <c r="V262" i="7"/>
  <c r="V277" i="7"/>
  <c r="V218" i="7"/>
  <c r="V254" i="7"/>
  <c r="V242" i="7"/>
  <c r="V230" i="7"/>
  <c r="V225" i="7"/>
  <c r="V250" i="7"/>
  <c r="V210" i="7"/>
  <c r="V221" i="7"/>
  <c r="V265" i="7"/>
  <c r="V217" i="7"/>
  <c r="V261" i="7"/>
  <c r="V257" i="7"/>
  <c r="V269" i="7"/>
  <c r="V226" i="7"/>
  <c r="V274" i="7"/>
  <c r="V266" i="7"/>
  <c r="V245" i="7"/>
  <c r="V258" i="7"/>
  <c r="V246" i="7"/>
  <c r="V234" i="7"/>
  <c r="V273" i="7"/>
  <c r="V209" i="7"/>
  <c r="V253" i="7"/>
  <c r="V249" i="7"/>
  <c r="V222" i="7"/>
  <c r="V229" i="7"/>
  <c r="V213" i="7"/>
  <c r="V189" i="7"/>
  <c r="V156" i="7"/>
  <c r="V166" i="7"/>
  <c r="V99" i="7"/>
  <c r="V131" i="7"/>
  <c r="V157" i="7"/>
  <c r="V182" i="7"/>
  <c r="V202" i="7"/>
  <c r="V187" i="7"/>
  <c r="V146" i="7"/>
  <c r="V105" i="7"/>
  <c r="V142" i="7"/>
  <c r="V139" i="7"/>
  <c r="V181" i="7"/>
  <c r="V127" i="7"/>
  <c r="V196" i="7"/>
  <c r="V120" i="7"/>
  <c r="V124" i="7"/>
  <c r="V113" i="7"/>
  <c r="V137" i="7"/>
  <c r="V155" i="7"/>
  <c r="V133" i="7"/>
  <c r="V170" i="7"/>
  <c r="V174" i="7"/>
  <c r="V158" i="7"/>
  <c r="V205" i="7"/>
  <c r="V186" i="7"/>
  <c r="V164" i="7"/>
  <c r="V180" i="7"/>
  <c r="V140" i="7"/>
  <c r="V107" i="7"/>
  <c r="V138" i="7"/>
  <c r="V150" i="7"/>
  <c r="V173" i="7"/>
  <c r="V97" i="7"/>
  <c r="V188" i="7"/>
  <c r="V168" i="7"/>
  <c r="V136" i="7"/>
  <c r="V198" i="7"/>
  <c r="V171" i="7"/>
  <c r="V118" i="7"/>
  <c r="V206" i="7"/>
  <c r="V197" i="7"/>
  <c r="V121" i="7"/>
  <c r="V154" i="7"/>
  <c r="V119" i="7"/>
  <c r="V195" i="7"/>
  <c r="V122" i="7"/>
  <c r="V151" i="7"/>
  <c r="V193" i="7"/>
  <c r="V161" i="7"/>
  <c r="V178" i="7"/>
  <c r="V179" i="7"/>
  <c r="V134" i="7"/>
  <c r="V112" i="7"/>
  <c r="V30" i="7"/>
  <c r="V98" i="7"/>
  <c r="V67" i="7"/>
  <c r="V56" i="7"/>
  <c r="V36" i="7"/>
  <c r="V203" i="7"/>
  <c r="V100" i="7"/>
  <c r="V68" i="7"/>
  <c r="V109" i="7"/>
  <c r="V74" i="7"/>
  <c r="V60" i="7"/>
  <c r="V191" i="7"/>
  <c r="V167" i="7"/>
  <c r="V126" i="7"/>
  <c r="V101" i="7"/>
  <c r="V148" i="7"/>
  <c r="V165" i="7"/>
  <c r="V149" i="7"/>
  <c r="V130" i="7"/>
  <c r="V129" i="7"/>
  <c r="V104" i="7"/>
  <c r="V95" i="7"/>
  <c r="V93" i="7"/>
  <c r="V91" i="7"/>
  <c r="V89" i="7"/>
  <c r="V87" i="7"/>
  <c r="V85" i="7"/>
  <c r="V83" i="7"/>
  <c r="V81" i="7"/>
  <c r="V79" i="7"/>
  <c r="V77" i="7"/>
  <c r="V76" i="7"/>
  <c r="V75" i="7"/>
  <c r="V71" i="7"/>
  <c r="V31" i="7"/>
  <c r="V114" i="7"/>
  <c r="V106" i="7"/>
  <c r="V63" i="7"/>
  <c r="V57" i="7"/>
  <c r="V200" i="7"/>
  <c r="V108" i="7"/>
  <c r="V64" i="7"/>
  <c r="V116" i="7"/>
  <c r="V59" i="7"/>
  <c r="V190" i="7"/>
  <c r="V183" i="7"/>
  <c r="V123" i="7"/>
  <c r="V162" i="7"/>
  <c r="V194" i="7"/>
  <c r="V135" i="7"/>
  <c r="V145" i="7"/>
  <c r="V61" i="7"/>
  <c r="V111" i="7"/>
  <c r="V24" i="7"/>
  <c r="V28" i="7"/>
  <c r="V32" i="7"/>
  <c r="V44" i="7"/>
  <c r="V38" i="7"/>
  <c r="V73" i="7"/>
  <c r="V58" i="7"/>
  <c r="V110" i="7"/>
  <c r="V102" i="7"/>
  <c r="V69" i="7"/>
  <c r="V65" i="7"/>
  <c r="V175" i="7"/>
  <c r="V159" i="7"/>
  <c r="V143" i="7"/>
  <c r="V163" i="7"/>
  <c r="V207" i="7"/>
  <c r="V117" i="7"/>
  <c r="V96" i="7"/>
  <c r="V94" i="7"/>
  <c r="V92" i="7"/>
  <c r="V90" i="7"/>
  <c r="V88" i="7"/>
  <c r="V86" i="7"/>
  <c r="V84" i="7"/>
  <c r="V82" i="7"/>
  <c r="V80" i="7"/>
  <c r="V78" i="7"/>
  <c r="V66" i="7"/>
  <c r="V37" i="7"/>
  <c r="V45" i="7"/>
  <c r="V72" i="7"/>
  <c r="V62" i="7"/>
  <c r="V204" i="7"/>
  <c r="V199" i="7"/>
  <c r="V70" i="7"/>
  <c r="V33" i="7"/>
  <c r="V39" i="7"/>
  <c r="V27" i="7"/>
  <c r="V40" i="7"/>
  <c r="V52" i="7"/>
  <c r="V46" i="7"/>
  <c r="V26" i="7"/>
  <c r="V50" i="7"/>
  <c r="V48" i="7"/>
  <c r="V54" i="7"/>
  <c r="V55" i="7"/>
  <c r="V43" i="7"/>
  <c r="V35" i="7"/>
  <c r="V25" i="7"/>
  <c r="V34" i="7"/>
  <c r="V53" i="7"/>
  <c r="V47" i="7"/>
  <c r="V42" i="7"/>
  <c r="V29" i="7"/>
  <c r="V23" i="7"/>
  <c r="V51" i="7"/>
  <c r="V49" i="7"/>
  <c r="V41" i="7"/>
  <c r="Z534" i="7"/>
  <c r="Z553" i="7"/>
  <c r="Z550" i="7"/>
  <c r="Z535" i="7"/>
  <c r="Z541" i="7"/>
  <c r="Z546" i="7"/>
  <c r="Z537" i="7"/>
  <c r="Z538" i="7"/>
  <c r="Z540" i="7"/>
  <c r="Z545" i="7"/>
  <c r="Z526" i="7"/>
  <c r="Z542" i="7"/>
  <c r="Z539" i="7"/>
  <c r="Z548" i="7"/>
  <c r="Z547" i="7"/>
  <c r="Z543" i="7"/>
  <c r="Z536" i="7"/>
  <c r="Z544" i="7"/>
  <c r="Z551" i="7"/>
  <c r="Z552" i="7"/>
  <c r="Z549" i="7"/>
  <c r="Z532" i="7"/>
  <c r="Z533" i="7"/>
  <c r="Z530" i="7"/>
  <c r="Z527" i="7"/>
  <c r="Z522" i="7"/>
  <c r="Z529" i="7"/>
  <c r="Z523" i="7"/>
  <c r="Z525" i="7"/>
  <c r="Z528" i="7"/>
  <c r="Z524" i="7"/>
  <c r="Z531" i="7"/>
  <c r="Z519" i="7"/>
  <c r="Z512" i="7"/>
  <c r="Z517" i="7"/>
  <c r="Z447" i="7"/>
  <c r="Z509" i="7"/>
  <c r="Z515" i="7"/>
  <c r="Z513" i="7"/>
  <c r="Z507" i="7"/>
  <c r="Z510" i="7"/>
  <c r="Z511" i="7"/>
  <c r="Z502" i="7"/>
  <c r="Z521" i="7"/>
  <c r="Z508" i="7"/>
  <c r="Z455" i="7"/>
  <c r="Z518" i="7"/>
  <c r="Z514" i="7"/>
  <c r="Z506" i="7"/>
  <c r="Z481" i="7"/>
  <c r="Z505" i="7"/>
  <c r="Z520" i="7"/>
  <c r="Z516" i="7"/>
  <c r="Z453" i="7"/>
  <c r="Z468" i="7"/>
  <c r="Z460" i="7"/>
  <c r="Z462" i="7"/>
  <c r="Z497" i="7"/>
  <c r="Z499" i="7"/>
  <c r="Z485" i="7"/>
  <c r="Z479" i="7"/>
  <c r="Z484" i="7"/>
  <c r="Z463" i="7"/>
  <c r="Z467" i="7"/>
  <c r="Z456" i="7"/>
  <c r="Z477" i="7"/>
  <c r="Z446" i="7"/>
  <c r="Z475" i="7"/>
  <c r="Z478" i="7"/>
  <c r="Z464" i="7"/>
  <c r="Z487" i="7"/>
  <c r="Z466" i="7"/>
  <c r="Z480" i="7"/>
  <c r="Z486" i="7"/>
  <c r="Z490" i="7"/>
  <c r="Z498" i="7"/>
  <c r="Z465" i="7"/>
  <c r="Z448" i="7"/>
  <c r="Z476" i="7"/>
  <c r="Z457" i="7"/>
  <c r="Z451" i="7"/>
  <c r="Z500" i="7"/>
  <c r="Z504" i="7"/>
  <c r="Z471" i="7"/>
  <c r="Z493" i="7"/>
  <c r="Z488" i="7"/>
  <c r="Z458" i="7"/>
  <c r="Z473" i="7"/>
  <c r="Z449" i="7"/>
  <c r="Z474" i="7"/>
  <c r="Z472" i="7"/>
  <c r="Z452" i="7"/>
  <c r="Z469" i="7"/>
  <c r="Z459" i="7"/>
  <c r="Z450" i="7"/>
  <c r="Z470" i="7"/>
  <c r="Z495" i="7"/>
  <c r="Z482" i="7"/>
  <c r="Z454" i="7"/>
  <c r="Z461" i="7"/>
  <c r="Z483" i="7"/>
  <c r="Z496" i="7"/>
  <c r="Z492" i="7"/>
  <c r="Z503" i="7"/>
  <c r="Z494" i="7"/>
  <c r="Z491" i="7"/>
  <c r="Z489" i="7"/>
  <c r="Z501" i="7"/>
  <c r="Z442" i="7"/>
  <c r="Z444" i="7"/>
  <c r="Z445" i="7"/>
  <c r="Z443" i="7"/>
  <c r="Z437" i="7"/>
  <c r="Z410" i="7"/>
  <c r="Z441" i="7"/>
  <c r="Z419" i="7"/>
  <c r="Z427" i="7"/>
  <c r="Z432" i="7"/>
  <c r="Z420" i="7"/>
  <c r="Z359" i="7"/>
  <c r="Z371" i="7"/>
  <c r="Z396" i="7"/>
  <c r="Z416" i="7"/>
  <c r="Z429" i="7"/>
  <c r="Z440" i="7"/>
  <c r="Z406" i="7"/>
  <c r="Z403" i="7"/>
  <c r="Z436" i="7"/>
  <c r="Z414" i="7"/>
  <c r="Z375" i="7"/>
  <c r="Z379" i="7"/>
  <c r="Z425" i="7"/>
  <c r="Z434" i="7"/>
  <c r="Z421" i="7"/>
  <c r="Z412" i="7"/>
  <c r="Z422" i="7"/>
  <c r="Z418" i="7"/>
  <c r="Z435" i="7"/>
  <c r="Z363" i="7"/>
  <c r="Z413" i="7"/>
  <c r="Z426" i="7"/>
  <c r="Z404" i="7"/>
  <c r="Z433" i="7"/>
  <c r="Z424" i="7"/>
  <c r="Z415" i="7"/>
  <c r="Z428" i="7"/>
  <c r="Z438" i="7"/>
  <c r="Z392" i="7"/>
  <c r="Z400" i="7"/>
  <c r="Z439" i="7"/>
  <c r="Z405" i="7"/>
  <c r="Z402" i="7"/>
  <c r="Z407" i="7"/>
  <c r="Z411" i="7"/>
  <c r="Z430" i="7"/>
  <c r="Z417" i="7"/>
  <c r="Z431" i="7"/>
  <c r="Z423" i="7"/>
  <c r="Z408" i="7"/>
  <c r="Z409" i="7"/>
  <c r="Z384" i="7"/>
  <c r="Z301" i="7"/>
  <c r="Z388" i="7"/>
  <c r="Z281" i="7"/>
  <c r="Z349" i="7"/>
  <c r="Z397" i="7"/>
  <c r="Z367" i="7"/>
  <c r="Z393" i="7"/>
  <c r="Z389" i="7"/>
  <c r="Z305" i="7"/>
  <c r="Z385" i="7"/>
  <c r="Z401" i="7"/>
  <c r="Z316" i="7"/>
  <c r="Z308" i="7"/>
  <c r="Z386" i="7"/>
  <c r="Z376" i="7"/>
  <c r="Z360" i="7"/>
  <c r="Z373" i="7"/>
  <c r="Z290" i="7"/>
  <c r="Z362" i="7"/>
  <c r="Z328" i="7"/>
  <c r="Z398" i="7"/>
  <c r="Z366" i="7"/>
  <c r="Z368" i="7"/>
  <c r="Z312" i="7"/>
  <c r="Z378" i="7"/>
  <c r="Z395" i="7"/>
  <c r="Z390" i="7"/>
  <c r="Z380" i="7"/>
  <c r="Z372" i="7"/>
  <c r="Z361" i="7"/>
  <c r="Z365" i="7"/>
  <c r="Z387" i="7"/>
  <c r="Z374" i="7"/>
  <c r="Z357" i="7"/>
  <c r="Z382" i="7"/>
  <c r="Z324" i="7"/>
  <c r="Z381" i="7"/>
  <c r="Z394" i="7"/>
  <c r="Z399" i="7"/>
  <c r="Z391" i="7"/>
  <c r="Z383" i="7"/>
  <c r="Z364" i="7"/>
  <c r="Z356" i="7"/>
  <c r="Z377" i="7"/>
  <c r="Z369" i="7"/>
  <c r="Z313" i="7"/>
  <c r="Z370" i="7"/>
  <c r="Z358" i="7"/>
  <c r="Z342" i="7"/>
  <c r="Z335" i="7"/>
  <c r="Z288" i="7"/>
  <c r="Z332" i="7"/>
  <c r="Z329" i="7"/>
  <c r="Z282" i="7"/>
  <c r="Z294" i="7"/>
  <c r="Z314" i="7"/>
  <c r="Z285" i="7"/>
  <c r="Z297" i="7"/>
  <c r="Z337" i="7"/>
  <c r="Z327" i="7"/>
  <c r="Z309" i="7"/>
  <c r="Z347" i="7"/>
  <c r="Z348" i="7"/>
  <c r="Z344" i="7"/>
  <c r="Z343" i="7"/>
  <c r="Z326" i="7"/>
  <c r="Z212" i="7"/>
  <c r="Z220" i="7"/>
  <c r="Z228" i="7"/>
  <c r="Z236" i="7"/>
  <c r="Z244" i="7"/>
  <c r="Z252" i="7"/>
  <c r="Z260" i="7"/>
  <c r="Z268" i="7"/>
  <c r="Z339" i="7"/>
  <c r="Z302" i="7"/>
  <c r="Z340" i="7"/>
  <c r="Z307" i="7"/>
  <c r="Z306" i="7"/>
  <c r="Z296" i="7"/>
  <c r="Z350" i="7"/>
  <c r="Z300" i="7"/>
  <c r="Z336" i="7"/>
  <c r="Z284" i="7"/>
  <c r="Z346" i="7"/>
  <c r="Z320" i="7"/>
  <c r="Z338" i="7"/>
  <c r="Z341" i="7"/>
  <c r="Z331" i="7"/>
  <c r="Z354" i="7"/>
  <c r="Z286" i="7"/>
  <c r="Z325" i="7"/>
  <c r="Z351" i="7"/>
  <c r="Z321" i="7"/>
  <c r="Z298" i="7"/>
  <c r="Z322" i="7"/>
  <c r="Z315" i="7"/>
  <c r="Z317" i="7"/>
  <c r="Z355" i="7"/>
  <c r="Z323" i="7"/>
  <c r="Z292" i="7"/>
  <c r="Z293" i="7"/>
  <c r="Z345" i="7"/>
  <c r="Z289" i="7"/>
  <c r="Z303" i="7"/>
  <c r="Z208" i="7"/>
  <c r="Z216" i="7"/>
  <c r="Z224" i="7"/>
  <c r="Z232" i="7"/>
  <c r="Z240" i="7"/>
  <c r="Z248" i="7"/>
  <c r="Z256" i="7"/>
  <c r="Z264" i="7"/>
  <c r="Z272" i="7"/>
  <c r="Z319" i="7"/>
  <c r="Z333" i="7"/>
  <c r="Z334" i="7"/>
  <c r="Z353" i="7"/>
  <c r="Z330" i="7"/>
  <c r="Z304" i="7"/>
  <c r="Z295" i="7"/>
  <c r="Z287" i="7"/>
  <c r="Z311" i="7"/>
  <c r="Z291" i="7"/>
  <c r="Z283" i="7"/>
  <c r="Z310" i="7"/>
  <c r="Z299" i="7"/>
  <c r="Z352" i="7"/>
  <c r="Z318" i="7"/>
  <c r="Z275" i="7"/>
  <c r="Z259" i="7"/>
  <c r="Z251" i="7"/>
  <c r="Z227" i="7"/>
  <c r="Z147" i="7"/>
  <c r="Z169" i="7"/>
  <c r="Z144" i="7"/>
  <c r="Z241" i="7"/>
  <c r="Z172" i="7"/>
  <c r="Z125" i="7"/>
  <c r="Z263" i="7"/>
  <c r="Z276" i="7"/>
  <c r="Z247" i="7"/>
  <c r="Z219" i="7"/>
  <c r="Z177" i="7"/>
  <c r="Z153" i="7"/>
  <c r="Z132" i="7"/>
  <c r="Z103" i="7"/>
  <c r="Z184" i="7"/>
  <c r="Z192" i="7"/>
  <c r="Z218" i="7"/>
  <c r="Z223" i="7"/>
  <c r="Z267" i="7"/>
  <c r="Z239" i="7"/>
  <c r="Z211" i="7"/>
  <c r="Z231" i="7"/>
  <c r="Z243" i="7"/>
  <c r="Z152" i="7"/>
  <c r="Z160" i="7"/>
  <c r="Z176" i="7"/>
  <c r="Z141" i="7"/>
  <c r="Z271" i="7"/>
  <c r="Z280" i="7"/>
  <c r="Z215" i="7"/>
  <c r="Z255" i="7"/>
  <c r="Z235" i="7"/>
  <c r="Z185" i="7"/>
  <c r="Z279" i="7"/>
  <c r="Z115" i="7"/>
  <c r="Z128" i="7"/>
  <c r="Z254" i="7"/>
  <c r="Z242" i="7"/>
  <c r="Z230" i="7"/>
  <c r="Z209" i="7"/>
  <c r="Z225" i="7"/>
  <c r="Z250" i="7"/>
  <c r="Z210" i="7"/>
  <c r="Z221" i="7"/>
  <c r="Z217" i="7"/>
  <c r="Z277" i="7"/>
  <c r="Z245" i="7"/>
  <c r="Z213" i="7"/>
  <c r="Z229" i="7"/>
  <c r="Z269" i="7"/>
  <c r="Z226" i="7"/>
  <c r="Z274" i="7"/>
  <c r="Z266" i="7"/>
  <c r="Z258" i="7"/>
  <c r="Z246" i="7"/>
  <c r="Z234" i="7"/>
  <c r="Z273" i="7"/>
  <c r="Z253" i="7"/>
  <c r="Z249" i="7"/>
  <c r="Z222" i="7"/>
  <c r="Z201" i="7"/>
  <c r="Z257" i="7"/>
  <c r="Z214" i="7"/>
  <c r="Z237" i="7"/>
  <c r="Z238" i="7"/>
  <c r="Z265" i="7"/>
  <c r="Z233" i="7"/>
  <c r="Z278" i="7"/>
  <c r="Z270" i="7"/>
  <c r="Z262" i="7"/>
  <c r="Z261" i="7"/>
  <c r="Z129" i="7"/>
  <c r="Z101" i="7"/>
  <c r="Z196" i="7"/>
  <c r="Z189" i="7"/>
  <c r="Z154" i="7"/>
  <c r="Z174" i="7"/>
  <c r="Z180" i="7"/>
  <c r="Z150" i="7"/>
  <c r="Z191" i="7"/>
  <c r="Z183" i="7"/>
  <c r="Z167" i="7"/>
  <c r="Z159" i="7"/>
  <c r="Z151" i="7"/>
  <c r="Z119" i="7"/>
  <c r="Z162" i="7"/>
  <c r="Z195" i="7"/>
  <c r="Z133" i="7"/>
  <c r="Z202" i="7"/>
  <c r="Z113" i="7"/>
  <c r="Z156" i="7"/>
  <c r="Z206" i="7"/>
  <c r="Z164" i="7"/>
  <c r="Z142" i="7"/>
  <c r="Z190" i="7"/>
  <c r="Z107" i="7"/>
  <c r="Z120" i="7"/>
  <c r="Z118" i="7"/>
  <c r="Z137" i="7"/>
  <c r="Z166" i="7"/>
  <c r="Z121" i="7"/>
  <c r="Z155" i="7"/>
  <c r="Z146" i="7"/>
  <c r="Z99" i="7"/>
  <c r="Z198" i="7"/>
  <c r="Z173" i="7"/>
  <c r="Z205" i="7"/>
  <c r="Z182" i="7"/>
  <c r="Z186" i="7"/>
  <c r="Z158" i="7"/>
  <c r="Z187" i="7"/>
  <c r="Z157" i="7"/>
  <c r="Z170" i="7"/>
  <c r="Z105" i="7"/>
  <c r="Z136" i="7"/>
  <c r="Z148" i="7"/>
  <c r="Z171" i="7"/>
  <c r="Z168" i="7"/>
  <c r="Z138" i="7"/>
  <c r="Z131" i="7"/>
  <c r="Z188" i="7"/>
  <c r="Z197" i="7"/>
  <c r="Z97" i="7"/>
  <c r="Z175" i="7"/>
  <c r="Z143" i="7"/>
  <c r="Z161" i="7"/>
  <c r="Z126" i="7"/>
  <c r="Z181" i="7"/>
  <c r="Z163" i="7"/>
  <c r="Z194" i="7"/>
  <c r="Z95" i="7"/>
  <c r="Z93" i="7"/>
  <c r="Z91" i="7"/>
  <c r="Z89" i="7"/>
  <c r="Z87" i="7"/>
  <c r="Z85" i="7"/>
  <c r="Z83" i="7"/>
  <c r="Z81" i="7"/>
  <c r="Z79" i="7"/>
  <c r="Z77" i="7"/>
  <c r="Z76" i="7"/>
  <c r="Z75" i="7"/>
  <c r="Z71" i="7"/>
  <c r="Z111" i="7"/>
  <c r="Z38" i="7"/>
  <c r="Z63" i="7"/>
  <c r="Z57" i="7"/>
  <c r="Z24" i="7"/>
  <c r="Z28" i="7"/>
  <c r="Z32" i="7"/>
  <c r="Z45" i="7"/>
  <c r="Z204" i="7"/>
  <c r="Z64" i="7"/>
  <c r="Z110" i="7"/>
  <c r="Z102" i="7"/>
  <c r="Z193" i="7"/>
  <c r="Z122" i="7"/>
  <c r="Z135" i="7"/>
  <c r="Z179" i="7"/>
  <c r="Z117" i="7"/>
  <c r="Z61" i="7"/>
  <c r="Z37" i="7"/>
  <c r="Z73" i="7"/>
  <c r="Z58" i="7"/>
  <c r="Z69" i="7"/>
  <c r="Z65" i="7"/>
  <c r="Z59" i="7"/>
  <c r="Z139" i="7"/>
  <c r="Z165" i="7"/>
  <c r="Z178" i="7"/>
  <c r="Z149" i="7"/>
  <c r="Z134" i="7"/>
  <c r="Z140" i="7"/>
  <c r="Z207" i="7"/>
  <c r="Z96" i="7"/>
  <c r="Z94" i="7"/>
  <c r="Z92" i="7"/>
  <c r="Z90" i="7"/>
  <c r="Z88" i="7"/>
  <c r="Z86" i="7"/>
  <c r="Z84" i="7"/>
  <c r="Z82" i="7"/>
  <c r="Z80" i="7"/>
  <c r="Z78" i="7"/>
  <c r="Z66" i="7"/>
  <c r="Z112" i="7"/>
  <c r="Z36" i="7"/>
  <c r="Z98" i="7"/>
  <c r="Z72" i="7"/>
  <c r="Z62" i="7"/>
  <c r="Z30" i="7"/>
  <c r="Z200" i="7"/>
  <c r="Z100" i="7"/>
  <c r="Z109" i="7"/>
  <c r="Z199" i="7"/>
  <c r="Z70" i="7"/>
  <c r="Z123" i="7"/>
  <c r="Z127" i="7"/>
  <c r="Z130" i="7"/>
  <c r="Z145" i="7"/>
  <c r="Z124" i="7"/>
  <c r="Z104" i="7"/>
  <c r="Z114" i="7"/>
  <c r="Z106" i="7"/>
  <c r="Z67" i="7"/>
  <c r="Z56" i="7"/>
  <c r="Z31" i="7"/>
  <c r="Z44" i="7"/>
  <c r="Z203" i="7"/>
  <c r="Z108" i="7"/>
  <c r="Z68" i="7"/>
  <c r="Z116" i="7"/>
  <c r="Z74" i="7"/>
  <c r="Z60" i="7"/>
  <c r="Z43" i="7"/>
  <c r="Z23" i="7"/>
  <c r="Z26" i="7"/>
  <c r="Z49" i="7"/>
  <c r="Z48" i="7"/>
  <c r="Z54" i="7"/>
  <c r="Z35" i="7"/>
  <c r="Z25" i="7"/>
  <c r="Z42" i="7"/>
  <c r="Z27" i="7"/>
  <c r="Z50" i="7"/>
  <c r="Z46" i="7"/>
  <c r="Z41" i="7"/>
  <c r="Z33" i="7"/>
  <c r="Z47" i="7"/>
  <c r="Z51" i="7"/>
  <c r="Z52" i="7"/>
  <c r="Z53" i="7"/>
  <c r="Z55" i="7"/>
  <c r="Z39" i="7"/>
  <c r="Z29" i="7"/>
  <c r="Z40" i="7"/>
  <c r="Z34" i="7"/>
  <c r="AF553" i="7"/>
  <c r="AF538" i="7"/>
  <c r="AF536" i="7"/>
  <c r="AF537" i="7"/>
  <c r="AF546" i="7"/>
  <c r="AF541" i="7"/>
  <c r="AF543" i="7"/>
  <c r="AF529" i="7"/>
  <c r="AF542" i="7"/>
  <c r="AF534" i="7"/>
  <c r="AF540" i="7"/>
  <c r="AF539" i="7"/>
  <c r="AF549" i="7"/>
  <c r="AF544" i="7"/>
  <c r="AF552" i="7"/>
  <c r="AF550" i="7"/>
  <c r="AF525" i="7"/>
  <c r="AF551" i="7"/>
  <c r="AF548" i="7"/>
  <c r="AF535" i="7"/>
  <c r="AF547" i="7"/>
  <c r="AF545" i="7"/>
  <c r="AF518" i="7"/>
  <c r="AF531" i="7"/>
  <c r="AF528" i="7"/>
  <c r="AF522" i="7"/>
  <c r="AF524" i="7"/>
  <c r="AF523" i="7"/>
  <c r="AF508" i="7"/>
  <c r="AF527" i="7"/>
  <c r="AF519" i="7"/>
  <c r="AF526" i="7"/>
  <c r="AF530" i="7"/>
  <c r="AF512" i="7"/>
  <c r="AF532" i="7"/>
  <c r="AF533" i="7"/>
  <c r="AF450" i="7"/>
  <c r="AF497" i="7"/>
  <c r="AF485" i="7"/>
  <c r="AF510" i="7"/>
  <c r="AF499" i="7"/>
  <c r="AF505" i="7"/>
  <c r="AF514" i="7"/>
  <c r="AF520" i="7"/>
  <c r="AF509" i="7"/>
  <c r="AF473" i="7"/>
  <c r="AF511" i="7"/>
  <c r="AF479" i="7"/>
  <c r="AF521" i="7"/>
  <c r="AF516" i="7"/>
  <c r="AF468" i="7"/>
  <c r="AF457" i="7"/>
  <c r="AF507" i="7"/>
  <c r="AF464" i="7"/>
  <c r="AF470" i="7"/>
  <c r="AF456" i="7"/>
  <c r="AF517" i="7"/>
  <c r="AF463" i="7"/>
  <c r="AF515" i="7"/>
  <c r="AF513" i="7"/>
  <c r="AF506" i="7"/>
  <c r="AF460" i="7"/>
  <c r="AF462" i="7"/>
  <c r="AF455" i="7"/>
  <c r="AF484" i="7"/>
  <c r="AF458" i="7"/>
  <c r="AF472" i="7"/>
  <c r="AF481" i="7"/>
  <c r="AF471" i="7"/>
  <c r="AF466" i="7"/>
  <c r="AF491" i="7"/>
  <c r="AF467" i="7"/>
  <c r="AF480" i="7"/>
  <c r="AF490" i="7"/>
  <c r="AF486" i="7"/>
  <c r="AF489" i="7"/>
  <c r="AF498" i="7"/>
  <c r="AF487" i="7"/>
  <c r="AF477" i="7"/>
  <c r="AF442" i="7"/>
  <c r="AF495" i="7"/>
  <c r="AF453" i="7"/>
  <c r="AF469" i="7"/>
  <c r="AF504" i="7"/>
  <c r="AF501" i="7"/>
  <c r="AF476" i="7"/>
  <c r="AF447" i="7"/>
  <c r="AF451" i="7"/>
  <c r="AF488" i="7"/>
  <c r="AF474" i="7"/>
  <c r="AF465" i="7"/>
  <c r="AF482" i="7"/>
  <c r="AF493" i="7"/>
  <c r="AF496" i="7"/>
  <c r="AF452" i="7"/>
  <c r="AF449" i="7"/>
  <c r="AF448" i="7"/>
  <c r="AF502" i="7"/>
  <c r="AF461" i="7"/>
  <c r="AF500" i="7"/>
  <c r="AF454" i="7"/>
  <c r="AF483" i="7"/>
  <c r="AF478" i="7"/>
  <c r="AF503" i="7"/>
  <c r="AF492" i="7"/>
  <c r="AF459" i="7"/>
  <c r="AF446" i="7"/>
  <c r="AF475" i="7"/>
  <c r="AF494" i="7"/>
  <c r="AF441" i="7"/>
  <c r="AF443" i="7"/>
  <c r="AF444" i="7"/>
  <c r="AF445" i="7"/>
  <c r="AF414" i="7"/>
  <c r="AF433" i="7"/>
  <c r="AF428" i="7"/>
  <c r="AF431" i="7"/>
  <c r="AF440" i="7"/>
  <c r="AF423" i="7"/>
  <c r="AF420" i="7"/>
  <c r="AF434" i="7"/>
  <c r="AF438" i="7"/>
  <c r="AF436" i="7"/>
  <c r="AF403" i="7"/>
  <c r="AF407" i="7"/>
  <c r="AF416" i="7"/>
  <c r="AF424" i="7"/>
  <c r="AF421" i="7"/>
  <c r="AF376" i="7"/>
  <c r="AF437" i="7"/>
  <c r="AF356" i="7"/>
  <c r="AF405" i="7"/>
  <c r="AF408" i="7"/>
  <c r="AF435" i="7"/>
  <c r="AF419" i="7"/>
  <c r="AF430" i="7"/>
  <c r="AF417" i="7"/>
  <c r="AF360" i="7"/>
  <c r="AF385" i="7"/>
  <c r="AF390" i="7"/>
  <c r="AF406" i="7"/>
  <c r="AF368" i="7"/>
  <c r="AF415" i="7"/>
  <c r="AF432" i="7"/>
  <c r="AF411" i="7"/>
  <c r="AF364" i="7"/>
  <c r="AF426" i="7"/>
  <c r="AF413" i="7"/>
  <c r="AF418" i="7"/>
  <c r="AF439" i="7"/>
  <c r="AF410" i="7"/>
  <c r="AF402" i="7"/>
  <c r="AF381" i="7"/>
  <c r="AF429" i="7"/>
  <c r="AF389" i="7"/>
  <c r="AF372" i="7"/>
  <c r="AF404" i="7"/>
  <c r="AF422" i="7"/>
  <c r="AF409" i="7"/>
  <c r="AF425" i="7"/>
  <c r="AF412" i="7"/>
  <c r="AF427" i="7"/>
  <c r="AF380" i="7"/>
  <c r="AF351" i="7"/>
  <c r="AF392" i="7"/>
  <c r="AF333" i="7"/>
  <c r="AF359" i="7"/>
  <c r="AF367" i="7"/>
  <c r="AF371" i="7"/>
  <c r="AF293" i="7"/>
  <c r="AF297" i="7"/>
  <c r="AF345" i="7"/>
  <c r="AF384" i="7"/>
  <c r="AF388" i="7"/>
  <c r="AF379" i="7"/>
  <c r="AF363" i="7"/>
  <c r="AF339" i="7"/>
  <c r="AF300" i="7"/>
  <c r="AF400" i="7"/>
  <c r="AF317" i="7"/>
  <c r="AF396" i="7"/>
  <c r="AF341" i="7"/>
  <c r="AF325" i="7"/>
  <c r="AF375" i="7"/>
  <c r="AF327" i="7"/>
  <c r="AF331" i="7"/>
  <c r="AF361" i="7"/>
  <c r="AF373" i="7"/>
  <c r="AF347" i="7"/>
  <c r="AF337" i="7"/>
  <c r="AF346" i="7"/>
  <c r="AF358" i="7"/>
  <c r="AF362" i="7"/>
  <c r="AF394" i="7"/>
  <c r="AF336" i="7"/>
  <c r="AF374" i="7"/>
  <c r="AF343" i="7"/>
  <c r="AF378" i="7"/>
  <c r="AF393" i="7"/>
  <c r="AF342" i="7"/>
  <c r="AF365" i="7"/>
  <c r="AF321" i="7"/>
  <c r="AF398" i="7"/>
  <c r="AF401" i="7"/>
  <c r="AF397" i="7"/>
  <c r="AF303" i="7"/>
  <c r="AF302" i="7"/>
  <c r="AF377" i="7"/>
  <c r="AF355" i="7"/>
  <c r="AF338" i="7"/>
  <c r="AF329" i="7"/>
  <c r="AF395" i="7"/>
  <c r="AF366" i="7"/>
  <c r="AF387" i="7"/>
  <c r="AF391" i="7"/>
  <c r="AF357" i="7"/>
  <c r="AF369" i="7"/>
  <c r="AF383" i="7"/>
  <c r="AF386" i="7"/>
  <c r="AF370" i="7"/>
  <c r="AF399" i="7"/>
  <c r="AF382" i="7"/>
  <c r="AF288" i="7"/>
  <c r="AF312" i="7"/>
  <c r="AF308" i="7"/>
  <c r="AF324" i="7"/>
  <c r="AF316" i="7"/>
  <c r="AF350" i="7"/>
  <c r="AF227" i="7"/>
  <c r="AF223" i="7"/>
  <c r="AF239" i="7"/>
  <c r="AF255" i="7"/>
  <c r="AF251" i="7"/>
  <c r="AF289" i="7"/>
  <c r="AF218" i="7"/>
  <c r="AF234" i="7"/>
  <c r="AF221" i="7"/>
  <c r="AF253" i="7"/>
  <c r="AF269" i="7"/>
  <c r="AF304" i="7"/>
  <c r="AF314" i="7"/>
  <c r="AF282" i="7"/>
  <c r="AF290" i="7"/>
  <c r="AF353" i="7"/>
  <c r="AF276" i="7"/>
  <c r="AF292" i="7"/>
  <c r="AF349" i="7"/>
  <c r="AF309" i="7"/>
  <c r="AF211" i="7"/>
  <c r="AF247" i="7"/>
  <c r="AF263" i="7"/>
  <c r="AF271" i="7"/>
  <c r="AF267" i="7"/>
  <c r="AF354" i="7"/>
  <c r="AF301" i="7"/>
  <c r="AF313" i="7"/>
  <c r="AF323" i="7"/>
  <c r="AF335" i="7"/>
  <c r="AF217" i="7"/>
  <c r="AF241" i="7"/>
  <c r="AF249" i="7"/>
  <c r="AF291" i="7"/>
  <c r="AF315" i="7"/>
  <c r="AF299" i="7"/>
  <c r="AF287" i="7"/>
  <c r="AF305" i="7"/>
  <c r="AF340" i="7"/>
  <c r="AF280" i="7"/>
  <c r="AF296" i="7"/>
  <c r="AF284" i="7"/>
  <c r="AF332" i="7"/>
  <c r="AF215" i="7"/>
  <c r="AF243" i="7"/>
  <c r="AF275" i="7"/>
  <c r="AF285" i="7"/>
  <c r="AF281" i="7"/>
  <c r="AF328" i="7"/>
  <c r="AF277" i="7"/>
  <c r="AF209" i="7"/>
  <c r="AF225" i="7"/>
  <c r="AF233" i="7"/>
  <c r="AF237" i="7"/>
  <c r="AF257" i="7"/>
  <c r="AF265" i="7"/>
  <c r="AF273" i="7"/>
  <c r="AF306" i="7"/>
  <c r="AF322" i="7"/>
  <c r="AF352" i="7"/>
  <c r="AF334" i="7"/>
  <c r="AF318" i="7"/>
  <c r="AF320" i="7"/>
  <c r="AF219" i="7"/>
  <c r="AF259" i="7"/>
  <c r="AF231" i="7"/>
  <c r="AF235" i="7"/>
  <c r="AF214" i="7"/>
  <c r="AF222" i="7"/>
  <c r="AF258" i="7"/>
  <c r="AF213" i="7"/>
  <c r="AF229" i="7"/>
  <c r="AF245" i="7"/>
  <c r="AF261" i="7"/>
  <c r="AF283" i="7"/>
  <c r="AF326" i="7"/>
  <c r="AF311" i="7"/>
  <c r="AF295" i="7"/>
  <c r="AF286" i="7"/>
  <c r="AF307" i="7"/>
  <c r="AF310" i="7"/>
  <c r="AF330" i="7"/>
  <c r="AF344" i="7"/>
  <c r="AF319" i="7"/>
  <c r="AF294" i="7"/>
  <c r="AF298" i="7"/>
  <c r="AF348" i="7"/>
  <c r="AF252" i="7"/>
  <c r="AF256" i="7"/>
  <c r="AF220" i="7"/>
  <c r="AF124" i="7"/>
  <c r="AF136" i="7"/>
  <c r="AF142" i="7"/>
  <c r="AF158" i="7"/>
  <c r="AF174" i="7"/>
  <c r="AF224" i="7"/>
  <c r="AF232" i="7"/>
  <c r="AF264" i="7"/>
  <c r="AF236" i="7"/>
  <c r="AF198" i="7"/>
  <c r="AF206" i="7"/>
  <c r="AF228" i="7"/>
  <c r="AF155" i="7"/>
  <c r="AF171" i="7"/>
  <c r="AF118" i="7"/>
  <c r="AF138" i="7"/>
  <c r="AF190" i="7"/>
  <c r="AF240" i="7"/>
  <c r="AF244" i="7"/>
  <c r="AF260" i="7"/>
  <c r="AF268" i="7"/>
  <c r="AF248" i="7"/>
  <c r="AF279" i="7"/>
  <c r="AF137" i="7"/>
  <c r="AF129" i="7"/>
  <c r="AF187" i="7"/>
  <c r="AF196" i="7"/>
  <c r="AF130" i="7"/>
  <c r="AF150" i="7"/>
  <c r="AF166" i="7"/>
  <c r="AF272" i="7"/>
  <c r="AF212" i="7"/>
  <c r="AF208" i="7"/>
  <c r="AF216" i="7"/>
  <c r="AF121" i="7"/>
  <c r="AF140" i="7"/>
  <c r="AF131" i="7"/>
  <c r="AF126" i="7"/>
  <c r="AF182" i="7"/>
  <c r="AF250" i="7"/>
  <c r="AF226" i="7"/>
  <c r="AF274" i="7"/>
  <c r="AF262" i="7"/>
  <c r="AF246" i="7"/>
  <c r="AF230" i="7"/>
  <c r="AF266" i="7"/>
  <c r="AF254" i="7"/>
  <c r="AF242" i="7"/>
  <c r="AF210" i="7"/>
  <c r="AF278" i="7"/>
  <c r="AF270" i="7"/>
  <c r="AF238" i="7"/>
  <c r="AF33" i="7"/>
  <c r="AF154" i="7"/>
  <c r="AF165" i="7"/>
  <c r="AF179" i="7"/>
  <c r="AF116" i="7"/>
  <c r="AF186" i="7"/>
  <c r="AF183" i="7"/>
  <c r="AF181" i="7"/>
  <c r="AF188" i="7"/>
  <c r="AF120" i="7"/>
  <c r="AF161" i="7"/>
  <c r="AF157" i="7"/>
  <c r="AF205" i="7"/>
  <c r="AF149" i="7"/>
  <c r="AF189" i="7"/>
  <c r="AF195" i="7"/>
  <c r="AF134" i="7"/>
  <c r="AF176" i="7"/>
  <c r="AF125" i="7"/>
  <c r="AF108" i="7"/>
  <c r="AF202" i="7"/>
  <c r="AF164" i="7"/>
  <c r="AF39" i="7"/>
  <c r="AF146" i="7"/>
  <c r="AF148" i="7"/>
  <c r="AF160" i="7"/>
  <c r="AF193" i="7"/>
  <c r="AF175" i="7"/>
  <c r="AF153" i="7"/>
  <c r="AF173" i="7"/>
  <c r="AF185" i="7"/>
  <c r="AF197" i="7"/>
  <c r="AF201" i="7"/>
  <c r="AF184" i="7"/>
  <c r="AF143" i="7"/>
  <c r="AF169" i="7"/>
  <c r="AF159" i="7"/>
  <c r="AF172" i="7"/>
  <c r="AF139" i="7"/>
  <c r="AF167" i="7"/>
  <c r="AF119" i="7"/>
  <c r="AF192" i="7"/>
  <c r="AF156" i="7"/>
  <c r="AF117" i="7"/>
  <c r="AF177" i="7"/>
  <c r="AF170" i="7"/>
  <c r="AF122" i="7"/>
  <c r="AF132" i="7"/>
  <c r="AF147" i="7"/>
  <c r="AF114" i="7"/>
  <c r="AF29" i="7"/>
  <c r="AF162" i="7"/>
  <c r="AF151" i="7"/>
  <c r="AF163" i="7"/>
  <c r="AF141" i="7"/>
  <c r="AF145" i="7"/>
  <c r="AF191" i="7"/>
  <c r="AF128" i="7"/>
  <c r="AF180" i="7"/>
  <c r="AF127" i="7"/>
  <c r="AF102" i="7"/>
  <c r="AF135" i="7"/>
  <c r="AF104" i="7"/>
  <c r="AF98" i="7"/>
  <c r="AF152" i="7"/>
  <c r="AF65" i="7"/>
  <c r="AF60" i="7"/>
  <c r="AF61" i="7"/>
  <c r="AF48" i="7"/>
  <c r="AF113" i="7"/>
  <c r="AF101" i="7"/>
  <c r="AF73" i="7"/>
  <c r="AF168" i="7"/>
  <c r="AF74" i="7"/>
  <c r="AF96" i="7"/>
  <c r="AF94" i="7"/>
  <c r="AF92" i="7"/>
  <c r="AF90" i="7"/>
  <c r="AF88" i="7"/>
  <c r="AF86" i="7"/>
  <c r="AF84" i="7"/>
  <c r="AF82" i="7"/>
  <c r="AF80" i="7"/>
  <c r="AF78" i="7"/>
  <c r="AF76" i="7"/>
  <c r="AF110" i="7"/>
  <c r="AF54" i="7"/>
  <c r="AF67" i="7"/>
  <c r="AF62" i="7"/>
  <c r="AF204" i="7"/>
  <c r="AF111" i="7"/>
  <c r="AF194" i="7"/>
  <c r="AF106" i="7"/>
  <c r="AF70" i="7"/>
  <c r="AF59" i="7"/>
  <c r="AF97" i="7"/>
  <c r="AF66" i="7"/>
  <c r="AF34" i="7"/>
  <c r="AF46" i="7"/>
  <c r="AF51" i="7"/>
  <c r="AF199" i="7"/>
  <c r="AF99" i="7"/>
  <c r="AF63" i="7"/>
  <c r="AF56" i="7"/>
  <c r="AF68" i="7"/>
  <c r="AF100" i="7"/>
  <c r="AF178" i="7"/>
  <c r="AF144" i="7"/>
  <c r="AF123" i="7"/>
  <c r="AF133" i="7"/>
  <c r="AF103" i="7"/>
  <c r="AF69" i="7"/>
  <c r="AF203" i="7"/>
  <c r="AF115" i="7"/>
  <c r="AF105" i="7"/>
  <c r="AF95" i="7"/>
  <c r="AF93" i="7"/>
  <c r="AF91" i="7"/>
  <c r="AF89" i="7"/>
  <c r="AF87" i="7"/>
  <c r="AF85" i="7"/>
  <c r="AF83" i="7"/>
  <c r="AF81" i="7"/>
  <c r="AF79" i="7"/>
  <c r="AF77" i="7"/>
  <c r="AF75" i="7"/>
  <c r="AF71" i="7"/>
  <c r="AF109" i="7"/>
  <c r="AF35" i="7"/>
  <c r="AF52" i="7"/>
  <c r="AF112" i="7"/>
  <c r="AF107" i="7"/>
  <c r="AF72" i="7"/>
  <c r="AF57" i="7"/>
  <c r="AF200" i="7"/>
  <c r="AF207" i="7"/>
  <c r="AF64" i="7"/>
  <c r="AF58" i="7"/>
  <c r="AF26" i="7"/>
  <c r="AF50" i="7"/>
  <c r="AF27" i="7"/>
  <c r="AF25" i="7"/>
  <c r="AF41" i="7"/>
  <c r="AF28" i="7"/>
  <c r="AF23" i="7"/>
  <c r="AF36" i="7"/>
  <c r="AF37" i="7"/>
  <c r="AF53" i="7"/>
  <c r="AF47" i="7"/>
  <c r="AF38" i="7"/>
  <c r="AF31" i="7"/>
  <c r="AF43" i="7"/>
  <c r="AF49" i="7"/>
  <c r="AF24" i="7"/>
  <c r="AF42" i="7"/>
  <c r="AF30" i="7"/>
  <c r="AF44" i="7"/>
  <c r="AF40" i="7"/>
  <c r="AF45" i="7"/>
  <c r="AF55" i="7"/>
  <c r="AF32" i="7"/>
  <c r="AL543" i="7"/>
  <c r="AL551" i="7"/>
  <c r="AL544" i="7"/>
  <c r="AL535" i="7"/>
  <c r="AL538" i="7"/>
  <c r="AL546" i="7"/>
  <c r="AL549" i="7"/>
  <c r="AL536" i="7"/>
  <c r="AL527" i="7"/>
  <c r="AL542" i="7"/>
  <c r="AL545" i="7"/>
  <c r="AL539" i="7"/>
  <c r="AL552" i="7"/>
  <c r="AL547" i="7"/>
  <c r="AL548" i="7"/>
  <c r="AL540" i="7"/>
  <c r="AL530" i="7"/>
  <c r="AL531" i="7"/>
  <c r="AL528" i="7"/>
  <c r="AL533" i="7"/>
  <c r="AL524" i="7"/>
  <c r="AL532" i="7"/>
  <c r="AL529" i="7"/>
  <c r="AL525" i="7"/>
  <c r="AL509" i="7"/>
  <c r="AL522" i="7"/>
  <c r="AL523" i="7"/>
  <c r="AL519" i="7"/>
  <c r="AL476" i="7"/>
  <c r="AL510" i="7"/>
  <c r="AL466" i="7"/>
  <c r="AL507" i="7"/>
  <c r="AL511" i="7"/>
  <c r="AL506" i="7"/>
  <c r="AL514" i="7"/>
  <c r="AL520" i="7"/>
  <c r="AL467" i="7"/>
  <c r="AL480" i="7"/>
  <c r="AL475" i="7"/>
  <c r="AL516" i="7"/>
  <c r="AL468" i="7"/>
  <c r="AL508" i="7"/>
  <c r="AL462" i="7"/>
  <c r="AL515" i="7"/>
  <c r="AL464" i="7"/>
  <c r="AL463" i="7"/>
  <c r="AL485" i="7"/>
  <c r="AL456" i="7"/>
  <c r="AL457" i="7"/>
  <c r="AL479" i="7"/>
  <c r="AL460" i="7"/>
  <c r="AL482" i="7"/>
  <c r="AL481" i="7"/>
  <c r="AL488" i="7"/>
  <c r="AL484" i="7"/>
  <c r="AL453" i="7"/>
  <c r="AL502" i="7"/>
  <c r="AL497" i="7"/>
  <c r="AL455" i="7"/>
  <c r="AL459" i="7"/>
  <c r="AL461" i="7"/>
  <c r="AL496" i="7"/>
  <c r="AL504" i="7"/>
  <c r="AL483" i="7"/>
  <c r="AL477" i="7"/>
  <c r="AL492" i="7"/>
  <c r="AL454" i="7"/>
  <c r="AL472" i="7"/>
  <c r="AL487" i="7"/>
  <c r="AL499" i="7"/>
  <c r="AL501" i="7"/>
  <c r="AL491" i="7"/>
  <c r="AL490" i="7"/>
  <c r="AL458" i="7"/>
  <c r="AL451" i="7"/>
  <c r="AL452" i="7"/>
  <c r="AL495" i="7"/>
  <c r="AL500" i="7"/>
  <c r="AL469" i="7"/>
  <c r="AL473" i="7"/>
  <c r="AL503" i="7"/>
  <c r="AL494" i="7"/>
  <c r="AL471" i="7"/>
  <c r="AL493" i="7"/>
  <c r="AL474" i="7"/>
  <c r="AL478" i="7"/>
  <c r="AL191" i="7"/>
  <c r="AL123" i="7"/>
  <c r="AL157" i="7"/>
  <c r="AL151" i="7"/>
  <c r="AL183" i="7"/>
  <c r="AL56" i="7"/>
  <c r="AL98" i="7"/>
  <c r="AL102" i="7"/>
  <c r="AL106" i="7"/>
  <c r="AL69" i="7"/>
  <c r="AL59" i="7"/>
  <c r="AL167" i="7"/>
  <c r="AL139" i="7"/>
  <c r="AL97" i="7"/>
  <c r="AL161" i="7"/>
  <c r="AL77" i="7"/>
  <c r="AL80" i="7"/>
  <c r="AL88" i="7"/>
  <c r="AL96" i="7"/>
  <c r="AL79" i="7"/>
  <c r="AL87" i="7"/>
  <c r="AL95" i="7"/>
  <c r="AL82" i="7"/>
  <c r="AL90" i="7"/>
  <c r="AL81" i="7"/>
  <c r="AL113" i="7"/>
  <c r="AL114" i="7"/>
  <c r="AL168" i="7"/>
  <c r="AL175" i="7"/>
  <c r="AL159" i="7"/>
  <c r="AL119" i="7"/>
  <c r="AL135" i="7"/>
  <c r="AL149" i="7"/>
  <c r="AL189" i="7"/>
  <c r="AL193" i="7"/>
  <c r="AL62" i="7"/>
  <c r="AL100" i="7"/>
  <c r="AL104" i="7"/>
  <c r="AL108" i="7"/>
  <c r="AL173" i="7"/>
  <c r="AL181" i="7"/>
  <c r="AL143" i="7"/>
  <c r="AL163" i="7"/>
  <c r="AL93" i="7"/>
  <c r="AL76" i="7"/>
  <c r="AL84" i="7"/>
  <c r="AL92" i="7"/>
  <c r="AL85" i="7"/>
  <c r="AL75" i="7"/>
  <c r="AL83" i="7"/>
  <c r="AL91" i="7"/>
  <c r="AL78" i="7"/>
  <c r="AL86" i="7"/>
  <c r="AL94" i="7"/>
  <c r="AL89" i="7"/>
  <c r="AL133" i="7"/>
  <c r="AL192" i="7"/>
  <c r="AL124" i="7"/>
  <c r="AL140" i="7"/>
  <c r="AL152" i="7"/>
  <c r="AL172" i="7"/>
  <c r="AL107" i="7"/>
  <c r="AL171" i="7"/>
  <c r="AL187" i="7"/>
  <c r="AL148" i="7"/>
  <c r="AL131" i="7"/>
  <c r="AL165" i="7"/>
  <c r="AL162" i="7"/>
  <c r="AL164" i="7"/>
  <c r="AL180" i="7"/>
  <c r="AL146" i="7"/>
  <c r="AL105" i="7"/>
  <c r="AL186" i="7"/>
  <c r="AL99" i="7"/>
  <c r="AL185" i="7"/>
  <c r="AL129" i="7"/>
  <c r="AL132" i="7"/>
  <c r="AL138" i="7"/>
  <c r="AL153" i="7"/>
  <c r="AL174" i="7"/>
  <c r="AL155" i="7"/>
  <c r="AL196" i="7"/>
  <c r="AL170" i="7"/>
  <c r="AL190" i="7"/>
  <c r="AL176" i="7"/>
  <c r="AL136" i="7"/>
  <c r="AL188" i="7"/>
  <c r="AL128" i="7"/>
  <c r="AL184" i="7"/>
  <c r="AL156" i="7"/>
  <c r="AL195" i="7"/>
  <c r="AL158" i="7"/>
  <c r="AL142" i="7"/>
  <c r="AL141" i="7"/>
  <c r="AL154" i="7"/>
  <c r="AL166" i="7"/>
  <c r="AL120" i="7"/>
  <c r="AL160" i="7"/>
  <c r="AL144" i="7"/>
  <c r="AL118" i="7"/>
  <c r="AL121" i="7"/>
  <c r="AL137" i="7"/>
  <c r="AL150" i="7"/>
  <c r="AL182" i="7"/>
  <c r="AL125" i="7"/>
  <c r="AL169" i="7"/>
  <c r="AL130" i="7"/>
  <c r="AL179" i="7"/>
  <c r="AL122" i="7"/>
  <c r="AL73" i="7"/>
  <c r="AL58" i="7"/>
  <c r="AL117" i="7"/>
  <c r="AL65" i="7"/>
  <c r="AL66" i="7"/>
  <c r="AL111" i="7"/>
  <c r="AL194" i="7"/>
  <c r="AL127" i="7"/>
  <c r="AL177" i="7"/>
  <c r="AL145" i="7"/>
  <c r="AL116" i="7"/>
  <c r="AL110" i="7"/>
  <c r="AL23" i="7"/>
  <c r="AL47" i="7"/>
  <c r="AL67" i="7"/>
  <c r="AL115" i="7"/>
  <c r="AL55" i="7"/>
  <c r="AL112" i="7"/>
  <c r="AL134" i="7"/>
  <c r="AL178" i="7"/>
  <c r="AL103" i="7"/>
  <c r="AL68" i="7"/>
  <c r="AL50" i="7"/>
  <c r="AL71" i="7"/>
  <c r="AL63" i="7"/>
  <c r="AL147" i="7"/>
  <c r="AL126" i="7"/>
  <c r="AL101" i="7"/>
  <c r="AL64" i="7"/>
  <c r="AL109" i="7"/>
  <c r="AL25" i="7"/>
  <c r="AL49" i="7"/>
  <c r="AL74" i="7"/>
  <c r="AL70" i="7"/>
  <c r="AL60" i="7"/>
  <c r="AL27" i="7"/>
  <c r="AL61" i="7"/>
  <c r="AL72" i="7"/>
  <c r="AL57" i="7"/>
  <c r="AL53" i="7"/>
  <c r="AL46" i="7"/>
  <c r="AL52" i="7"/>
  <c r="AL51" i="7"/>
  <c r="AL41" i="7"/>
  <c r="AL54" i="7"/>
  <c r="AL43" i="7"/>
  <c r="AL40" i="7"/>
  <c r="AL31" i="7"/>
  <c r="AL24" i="7"/>
  <c r="AL7" i="7"/>
  <c r="AL37" i="7"/>
  <c r="AL35" i="7"/>
  <c r="AL28" i="7"/>
  <c r="AL36" i="7"/>
  <c r="AL42" i="7"/>
  <c r="AL44" i="7"/>
  <c r="AL26" i="7"/>
  <c r="AL29" i="7"/>
  <c r="AL32" i="7"/>
  <c r="AL38" i="7"/>
  <c r="AL45" i="7"/>
  <c r="AL33" i="7"/>
  <c r="AL48" i="7"/>
  <c r="AL39" i="7"/>
  <c r="AL17" i="7"/>
  <c r="AL30" i="7"/>
  <c r="AL34" i="7"/>
  <c r="AP543" i="7"/>
  <c r="AP546" i="7"/>
  <c r="AP551" i="7"/>
  <c r="AP549" i="7"/>
  <c r="AP527" i="7"/>
  <c r="AP542" i="7"/>
  <c r="AP545" i="7"/>
  <c r="AP535" i="7"/>
  <c r="AP548" i="7"/>
  <c r="AP540" i="7"/>
  <c r="AP538" i="7"/>
  <c r="AP544" i="7"/>
  <c r="AP530" i="7"/>
  <c r="AP539" i="7"/>
  <c r="AP547" i="7"/>
  <c r="AP536" i="7"/>
  <c r="AP552" i="7"/>
  <c r="AP529" i="7"/>
  <c r="AP531" i="7"/>
  <c r="AP524" i="7"/>
  <c r="AP523" i="7"/>
  <c r="AP525" i="7"/>
  <c r="AP509" i="7"/>
  <c r="AP532" i="7"/>
  <c r="AP522" i="7"/>
  <c r="AP528" i="7"/>
  <c r="AP533" i="7"/>
  <c r="AP515" i="7"/>
  <c r="AP511" i="7"/>
  <c r="AP520" i="7"/>
  <c r="AP476" i="7"/>
  <c r="AP508" i="7"/>
  <c r="AP480" i="7"/>
  <c r="AP519" i="7"/>
  <c r="AP462" i="7"/>
  <c r="AP516" i="7"/>
  <c r="AP510" i="7"/>
  <c r="AP506" i="7"/>
  <c r="AP475" i="7"/>
  <c r="AP466" i="7"/>
  <c r="AP514" i="7"/>
  <c r="AP467" i="7"/>
  <c r="AP507" i="7"/>
  <c r="AP502" i="7"/>
  <c r="AP456" i="7"/>
  <c r="AP464" i="7"/>
  <c r="AP485" i="7"/>
  <c r="AP455" i="7"/>
  <c r="AP468" i="7"/>
  <c r="AP481" i="7"/>
  <c r="AP497" i="7"/>
  <c r="AP459" i="7"/>
  <c r="AP454" i="7"/>
  <c r="AP484" i="7"/>
  <c r="AP482" i="7"/>
  <c r="AP491" i="7"/>
  <c r="AP453" i="7"/>
  <c r="AP479" i="7"/>
  <c r="AP473" i="7"/>
  <c r="AP503" i="7"/>
  <c r="AP490" i="7"/>
  <c r="AP471" i="7"/>
  <c r="AP461" i="7"/>
  <c r="AP460" i="7"/>
  <c r="AP469" i="7"/>
  <c r="AP463" i="7"/>
  <c r="AP472" i="7"/>
  <c r="AP452" i="7"/>
  <c r="AP495" i="7"/>
  <c r="AP500" i="7"/>
  <c r="AP474" i="7"/>
  <c r="AP487" i="7"/>
  <c r="AP504" i="7"/>
  <c r="AP483" i="7"/>
  <c r="AP501" i="7"/>
  <c r="AP492" i="7"/>
  <c r="AP478" i="7"/>
  <c r="AP488" i="7"/>
  <c r="AP458" i="7"/>
  <c r="AP457" i="7"/>
  <c r="AP494" i="7"/>
  <c r="AP477" i="7"/>
  <c r="AP496" i="7"/>
  <c r="AP493" i="7"/>
  <c r="AP499" i="7"/>
  <c r="AP451" i="7"/>
  <c r="AP175" i="7"/>
  <c r="AP173" i="7"/>
  <c r="AP119" i="7"/>
  <c r="AP159" i="7"/>
  <c r="AP181" i="7"/>
  <c r="AP77" i="7"/>
  <c r="AP80" i="7"/>
  <c r="AP88" i="7"/>
  <c r="AP96" i="7"/>
  <c r="AP100" i="7"/>
  <c r="AP104" i="7"/>
  <c r="AP108" i="7"/>
  <c r="AP79" i="7"/>
  <c r="AP87" i="7"/>
  <c r="AP95" i="7"/>
  <c r="AP82" i="7"/>
  <c r="AP90" i="7"/>
  <c r="AP81" i="7"/>
  <c r="AP183" i="7"/>
  <c r="AP191" i="7"/>
  <c r="AP135" i="7"/>
  <c r="AP123" i="7"/>
  <c r="AP157" i="7"/>
  <c r="AP163" i="7"/>
  <c r="AP62" i="7"/>
  <c r="AP97" i="7"/>
  <c r="AP113" i="7"/>
  <c r="AP151" i="7"/>
  <c r="AP139" i="7"/>
  <c r="AP161" i="7"/>
  <c r="AP93" i="7"/>
  <c r="AP76" i="7"/>
  <c r="AP84" i="7"/>
  <c r="AP92" i="7"/>
  <c r="AP98" i="7"/>
  <c r="AP102" i="7"/>
  <c r="AP106" i="7"/>
  <c r="AP85" i="7"/>
  <c r="AP75" i="7"/>
  <c r="AP83" i="7"/>
  <c r="AP91" i="7"/>
  <c r="AP78" i="7"/>
  <c r="AP86" i="7"/>
  <c r="AP94" i="7"/>
  <c r="AP89" i="7"/>
  <c r="AP168" i="7"/>
  <c r="AP143" i="7"/>
  <c r="AP133" i="7"/>
  <c r="AP149" i="7"/>
  <c r="AP189" i="7"/>
  <c r="AP167" i="7"/>
  <c r="AP193" i="7"/>
  <c r="AP56" i="7"/>
  <c r="AP69" i="7"/>
  <c r="AP59" i="7"/>
  <c r="AP114" i="7"/>
  <c r="AP185" i="7"/>
  <c r="AP158" i="7"/>
  <c r="AP120" i="7"/>
  <c r="AP131" i="7"/>
  <c r="AP148" i="7"/>
  <c r="AP101" i="7"/>
  <c r="AP164" i="7"/>
  <c r="AP136" i="7"/>
  <c r="AP172" i="7"/>
  <c r="AP103" i="7"/>
  <c r="AP144" i="7"/>
  <c r="AP186" i="7"/>
  <c r="AP195" i="7"/>
  <c r="AP160" i="7"/>
  <c r="AP150" i="7"/>
  <c r="AP182" i="7"/>
  <c r="AP166" i="7"/>
  <c r="AP179" i="7"/>
  <c r="AP49" i="7"/>
  <c r="AP125" i="7"/>
  <c r="AP137" i="7"/>
  <c r="AP153" i="7"/>
  <c r="AP171" i="7"/>
  <c r="AP128" i="7"/>
  <c r="AP174" i="7"/>
  <c r="AP107" i="7"/>
  <c r="AP99" i="7"/>
  <c r="AP187" i="7"/>
  <c r="AP180" i="7"/>
  <c r="AP156" i="7"/>
  <c r="AP138" i="7"/>
  <c r="AP184" i="7"/>
  <c r="AP55" i="7"/>
  <c r="AP47" i="7"/>
  <c r="AP141" i="7"/>
  <c r="AP169" i="7"/>
  <c r="AP190" i="7"/>
  <c r="AP146" i="7"/>
  <c r="AP124" i="7"/>
  <c r="AP105" i="7"/>
  <c r="AP155" i="7"/>
  <c r="AP196" i="7"/>
  <c r="AP142" i="7"/>
  <c r="AP129" i="7"/>
  <c r="AP154" i="7"/>
  <c r="AP121" i="7"/>
  <c r="AP140" i="7"/>
  <c r="AP118" i="7"/>
  <c r="AP188" i="7"/>
  <c r="AP116" i="7"/>
  <c r="AP170" i="7"/>
  <c r="AP132" i="7"/>
  <c r="AP134" i="7"/>
  <c r="AP178" i="7"/>
  <c r="AP147" i="7"/>
  <c r="AP192" i="7"/>
  <c r="AP50" i="7"/>
  <c r="AP67" i="7"/>
  <c r="AP112" i="7"/>
  <c r="AP130" i="7"/>
  <c r="AP165" i="7"/>
  <c r="AP126" i="7"/>
  <c r="AP176" i="7"/>
  <c r="AP68" i="7"/>
  <c r="AP109" i="7"/>
  <c r="AP27" i="7"/>
  <c r="AP25" i="7"/>
  <c r="AP71" i="7"/>
  <c r="AP63" i="7"/>
  <c r="AP57" i="7"/>
  <c r="AP194" i="7"/>
  <c r="AP162" i="7"/>
  <c r="AP122" i="7"/>
  <c r="AP127" i="7"/>
  <c r="AP177" i="7"/>
  <c r="AP145" i="7"/>
  <c r="AP152" i="7"/>
  <c r="AP64" i="7"/>
  <c r="AP117" i="7"/>
  <c r="AP74" i="7"/>
  <c r="AP70" i="7"/>
  <c r="AP60" i="7"/>
  <c r="AP61" i="7"/>
  <c r="AP111" i="7"/>
  <c r="AP72" i="7"/>
  <c r="AP115" i="7"/>
  <c r="AP53" i="7"/>
  <c r="AP73" i="7"/>
  <c r="AP58" i="7"/>
  <c r="AP110" i="7"/>
  <c r="AP65" i="7"/>
  <c r="AP23" i="7"/>
  <c r="AP66" i="7"/>
  <c r="AP43" i="7"/>
  <c r="AP32" i="7"/>
  <c r="AP38" i="7"/>
  <c r="AP31" i="7"/>
  <c r="AP26" i="7"/>
  <c r="AP28" i="7"/>
  <c r="AP24" i="7"/>
  <c r="AP46" i="7"/>
  <c r="AP54" i="7"/>
  <c r="AP7" i="7"/>
  <c r="AP42" i="7"/>
  <c r="AP37" i="7"/>
  <c r="AP29" i="7"/>
  <c r="AP48" i="7"/>
  <c r="AP34" i="7"/>
  <c r="AP52" i="7"/>
  <c r="AP30" i="7"/>
  <c r="AP51" i="7"/>
  <c r="AP36" i="7"/>
  <c r="AP35" i="7"/>
  <c r="AP44" i="7"/>
  <c r="AP39" i="7"/>
  <c r="AP40" i="7"/>
  <c r="AP17" i="7"/>
  <c r="AP45" i="7"/>
  <c r="AP41" i="7"/>
  <c r="AP33" i="7"/>
  <c r="AF17" i="7"/>
  <c r="AE17" i="7"/>
  <c r="AO22" i="7"/>
  <c r="AC7" i="7"/>
  <c r="AE8" i="7"/>
  <c r="U9" i="7"/>
  <c r="Z9" i="7"/>
  <c r="R10" i="7"/>
  <c r="AL11" i="7"/>
  <c r="AM11" i="7"/>
  <c r="AG12" i="7"/>
  <c r="Z13" i="7"/>
  <c r="W13" i="7"/>
  <c r="AM15" i="7"/>
  <c r="AF16" i="7"/>
  <c r="AH16" i="7"/>
  <c r="Z17" i="7"/>
  <c r="U18" i="7"/>
  <c r="Y18" i="7"/>
  <c r="AL20" i="7"/>
  <c r="AP20" i="7"/>
  <c r="AF21" i="7"/>
  <c r="AK6" i="7"/>
  <c r="X7" i="7"/>
  <c r="X8" i="7"/>
  <c r="V8" i="7"/>
  <c r="AL10" i="7"/>
  <c r="AG11" i="7"/>
  <c r="AC11" i="7"/>
  <c r="W12" i="7"/>
  <c r="AN14" i="7"/>
  <c r="AD15" i="7"/>
  <c r="AE15" i="7"/>
  <c r="X16" i="7"/>
  <c r="F19" i="7"/>
  <c r="AM19" i="7"/>
  <c r="AF20" i="7"/>
  <c r="AG20" i="7"/>
  <c r="AF9" i="7"/>
  <c r="AD9" i="7"/>
  <c r="F12" i="7"/>
  <c r="L12" i="7" s="1"/>
  <c r="AS12" i="7" s="1"/>
  <c r="V14" i="7"/>
  <c r="Y14" i="7"/>
  <c r="AH18" i="7"/>
  <c r="R20" i="7"/>
  <c r="T20" i="7" s="1"/>
  <c r="AM21" i="7"/>
  <c r="AL9" i="7"/>
  <c r="AP9" i="7"/>
  <c r="AD10" i="7"/>
  <c r="V11" i="7"/>
  <c r="Y11" i="7"/>
  <c r="F13" i="7"/>
  <c r="AG14" i="7"/>
  <c r="AD14" i="7"/>
  <c r="Y15" i="7"/>
  <c r="R16" i="7"/>
  <c r="F17" i="7"/>
  <c r="L17" i="7" s="1"/>
  <c r="AS17" i="7" s="1"/>
  <c r="AK18" i="7"/>
  <c r="AP18" i="7"/>
  <c r="AE19" i="7"/>
  <c r="U20" i="7"/>
  <c r="Y20" i="7"/>
  <c r="AC22" i="7"/>
  <c r="AE22" i="7"/>
  <c r="AP8" i="7"/>
  <c r="Y10" i="7"/>
  <c r="Z10" i="7"/>
  <c r="AK12" i="7"/>
  <c r="AH13" i="7"/>
  <c r="AL16" i="7"/>
  <c r="AO16" i="7"/>
  <c r="Z19" i="7"/>
  <c r="W6" i="7"/>
  <c r="AO6" i="7"/>
  <c r="Z22" i="7"/>
  <c r="Y22" i="7"/>
  <c r="W534" i="7"/>
  <c r="W553" i="7"/>
  <c r="W538" i="7"/>
  <c r="W539" i="7"/>
  <c r="W540" i="7"/>
  <c r="W535" i="7"/>
  <c r="W537" i="7"/>
  <c r="W551" i="7"/>
  <c r="W543" i="7"/>
  <c r="W541" i="7"/>
  <c r="W550" i="7"/>
  <c r="W526" i="7"/>
  <c r="W542" i="7"/>
  <c r="W547" i="7"/>
  <c r="W545" i="7"/>
  <c r="W546" i="7"/>
  <c r="W552" i="7"/>
  <c r="W544" i="7"/>
  <c r="W536" i="7"/>
  <c r="W549" i="7"/>
  <c r="W548" i="7"/>
  <c r="W529" i="7"/>
  <c r="W530" i="7"/>
  <c r="W533" i="7"/>
  <c r="W527" i="7"/>
  <c r="W528" i="7"/>
  <c r="W532" i="7"/>
  <c r="W525" i="7"/>
  <c r="W523" i="7"/>
  <c r="W522" i="7"/>
  <c r="W531" i="7"/>
  <c r="W524" i="7"/>
  <c r="W519" i="7"/>
  <c r="W520" i="7"/>
  <c r="W506" i="7"/>
  <c r="W507" i="7"/>
  <c r="W502" i="7"/>
  <c r="W509" i="7"/>
  <c r="W513" i="7"/>
  <c r="W521" i="7"/>
  <c r="W516" i="7"/>
  <c r="W508" i="7"/>
  <c r="W481" i="7"/>
  <c r="W514" i="7"/>
  <c r="W517" i="7"/>
  <c r="W512" i="7"/>
  <c r="W511" i="7"/>
  <c r="W447" i="7"/>
  <c r="W518" i="7"/>
  <c r="W455" i="7"/>
  <c r="W505" i="7"/>
  <c r="W515" i="7"/>
  <c r="W510" i="7"/>
  <c r="W499" i="7"/>
  <c r="W450" i="7"/>
  <c r="W468" i="7"/>
  <c r="W464" i="7"/>
  <c r="W498" i="7"/>
  <c r="W474" i="7"/>
  <c r="W477" i="7"/>
  <c r="W465" i="7"/>
  <c r="W448" i="7"/>
  <c r="W446" i="7"/>
  <c r="W497" i="7"/>
  <c r="W453" i="7"/>
  <c r="W485" i="7"/>
  <c r="W461" i="7"/>
  <c r="W480" i="7"/>
  <c r="W476" i="7"/>
  <c r="W460" i="7"/>
  <c r="W490" i="7"/>
  <c r="W451" i="7"/>
  <c r="W471" i="7"/>
  <c r="W496" i="7"/>
  <c r="W479" i="7"/>
  <c r="W467" i="7"/>
  <c r="W487" i="7"/>
  <c r="W475" i="7"/>
  <c r="W470" i="7"/>
  <c r="W491" i="7"/>
  <c r="W488" i="7"/>
  <c r="W463" i="7"/>
  <c r="W462" i="7"/>
  <c r="W484" i="7"/>
  <c r="W504" i="7"/>
  <c r="W483" i="7"/>
  <c r="W478" i="7"/>
  <c r="W486" i="7"/>
  <c r="W466" i="7"/>
  <c r="W494" i="7"/>
  <c r="W472" i="7"/>
  <c r="W452" i="7"/>
  <c r="W469" i="7"/>
  <c r="W459" i="7"/>
  <c r="W449" i="7"/>
  <c r="W458" i="7"/>
  <c r="W492" i="7"/>
  <c r="W503" i="7"/>
  <c r="W493" i="7"/>
  <c r="W489" i="7"/>
  <c r="W501" i="7"/>
  <c r="W454" i="7"/>
  <c r="W500" i="7"/>
  <c r="W456" i="7"/>
  <c r="W457" i="7"/>
  <c r="W495" i="7"/>
  <c r="W473" i="7"/>
  <c r="W482" i="7"/>
  <c r="W445" i="7"/>
  <c r="W443" i="7"/>
  <c r="W442" i="7"/>
  <c r="W444" i="7"/>
  <c r="W427" i="7"/>
  <c r="W441" i="7"/>
  <c r="W410" i="7"/>
  <c r="W419" i="7"/>
  <c r="W437" i="7"/>
  <c r="W371" i="7"/>
  <c r="W424" i="7"/>
  <c r="W436" i="7"/>
  <c r="W438" i="7"/>
  <c r="W431" i="7"/>
  <c r="W423" i="7"/>
  <c r="W418" i="7"/>
  <c r="W439" i="7"/>
  <c r="W429" i="7"/>
  <c r="W400" i="7"/>
  <c r="W363" i="7"/>
  <c r="W402" i="7"/>
  <c r="W392" i="7"/>
  <c r="W420" i="7"/>
  <c r="W375" i="7"/>
  <c r="W428" i="7"/>
  <c r="W403" i="7"/>
  <c r="W407" i="7"/>
  <c r="W411" i="7"/>
  <c r="W408" i="7"/>
  <c r="W396" i="7"/>
  <c r="W409" i="7"/>
  <c r="W405" i="7"/>
  <c r="W404" i="7"/>
  <c r="W415" i="7"/>
  <c r="W430" i="7"/>
  <c r="W416" i="7"/>
  <c r="W435" i="7"/>
  <c r="W359" i="7"/>
  <c r="W379" i="7"/>
  <c r="W433" i="7"/>
  <c r="W432" i="7"/>
  <c r="W440" i="7"/>
  <c r="W406" i="7"/>
  <c r="W414" i="7"/>
  <c r="W413" i="7"/>
  <c r="W426" i="7"/>
  <c r="W421" i="7"/>
  <c r="W422" i="7"/>
  <c r="W425" i="7"/>
  <c r="W417" i="7"/>
  <c r="W434" i="7"/>
  <c r="W412" i="7"/>
  <c r="W316" i="7"/>
  <c r="W367" i="7"/>
  <c r="W349" i="7"/>
  <c r="W397" i="7"/>
  <c r="W324" i="7"/>
  <c r="W393" i="7"/>
  <c r="W313" i="7"/>
  <c r="W328" i="7"/>
  <c r="W301" i="7"/>
  <c r="W312" i="7"/>
  <c r="W388" i="7"/>
  <c r="W384" i="7"/>
  <c r="W281" i="7"/>
  <c r="W308" i="7"/>
  <c r="W362" i="7"/>
  <c r="W398" i="7"/>
  <c r="W395" i="7"/>
  <c r="W380" i="7"/>
  <c r="W372" i="7"/>
  <c r="W364" i="7"/>
  <c r="W356" i="7"/>
  <c r="W361" i="7"/>
  <c r="W365" i="7"/>
  <c r="W381" i="7"/>
  <c r="W378" i="7"/>
  <c r="W394" i="7"/>
  <c r="W366" i="7"/>
  <c r="W390" i="7"/>
  <c r="W377" i="7"/>
  <c r="W389" i="7"/>
  <c r="W385" i="7"/>
  <c r="W399" i="7"/>
  <c r="W391" i="7"/>
  <c r="W383" i="7"/>
  <c r="W376" i="7"/>
  <c r="W368" i="7"/>
  <c r="W360" i="7"/>
  <c r="W373" i="7"/>
  <c r="W374" i="7"/>
  <c r="W290" i="7"/>
  <c r="W305" i="7"/>
  <c r="W401" i="7"/>
  <c r="W386" i="7"/>
  <c r="W369" i="7"/>
  <c r="W358" i="7"/>
  <c r="W357" i="7"/>
  <c r="W382" i="7"/>
  <c r="W387" i="7"/>
  <c r="W370" i="7"/>
  <c r="W336" i="7"/>
  <c r="W337" i="7"/>
  <c r="W293" i="7"/>
  <c r="W300" i="7"/>
  <c r="W284" i="7"/>
  <c r="W297" i="7"/>
  <c r="W288" i="7"/>
  <c r="W317" i="7"/>
  <c r="W327" i="7"/>
  <c r="W296" i="7"/>
  <c r="W260" i="7"/>
  <c r="W286" i="7"/>
  <c r="W325" i="7"/>
  <c r="W268" i="7"/>
  <c r="W351" i="7"/>
  <c r="W321" i="7"/>
  <c r="W322" i="7"/>
  <c r="W208" i="7"/>
  <c r="W320" i="7"/>
  <c r="W335" i="7"/>
  <c r="W323" i="7"/>
  <c r="W341" i="7"/>
  <c r="W331" i="7"/>
  <c r="W354" i="7"/>
  <c r="W232" i="7"/>
  <c r="W272" i="7"/>
  <c r="W212" i="7"/>
  <c r="W298" i="7"/>
  <c r="W236" i="7"/>
  <c r="W332" i="7"/>
  <c r="W309" i="7"/>
  <c r="W338" i="7"/>
  <c r="W345" i="7"/>
  <c r="W289" i="7"/>
  <c r="W329" i="7"/>
  <c r="W248" i="7"/>
  <c r="W294" i="7"/>
  <c r="W303" i="7"/>
  <c r="W314" i="7"/>
  <c r="W224" i="7"/>
  <c r="W319" i="7"/>
  <c r="W240" i="7"/>
  <c r="W342" i="7"/>
  <c r="W346" i="7"/>
  <c r="W285" i="7"/>
  <c r="W355" i="7"/>
  <c r="W350" i="7"/>
  <c r="W292" i="7"/>
  <c r="W347" i="7"/>
  <c r="W348" i="7"/>
  <c r="W344" i="7"/>
  <c r="W252" i="7"/>
  <c r="W282" i="7"/>
  <c r="W343" i="7"/>
  <c r="W326" i="7"/>
  <c r="W244" i="7"/>
  <c r="W339" i="7"/>
  <c r="W302" i="7"/>
  <c r="W340" i="7"/>
  <c r="W307" i="7"/>
  <c r="W306" i="7"/>
  <c r="W264" i="7"/>
  <c r="W311" i="7"/>
  <c r="W310" i="7"/>
  <c r="W216" i="7"/>
  <c r="W315" i="7"/>
  <c r="W299" i="7"/>
  <c r="W291" i="7"/>
  <c r="W283" i="7"/>
  <c r="W352" i="7"/>
  <c r="W318" i="7"/>
  <c r="W220" i="7"/>
  <c r="W333" i="7"/>
  <c r="W334" i="7"/>
  <c r="W353" i="7"/>
  <c r="W330" i="7"/>
  <c r="W228" i="7"/>
  <c r="W304" i="7"/>
  <c r="W295" i="7"/>
  <c r="W287" i="7"/>
  <c r="W256" i="7"/>
  <c r="W235" i="7"/>
  <c r="W276" i="7"/>
  <c r="W231" i="7"/>
  <c r="W255" i="7"/>
  <c r="W227" i="7"/>
  <c r="W259" i="7"/>
  <c r="W279" i="7"/>
  <c r="W132" i="7"/>
  <c r="W103" i="7"/>
  <c r="W218" i="7"/>
  <c r="W263" i="7"/>
  <c r="W267" i="7"/>
  <c r="W211" i="7"/>
  <c r="W215" i="7"/>
  <c r="W219" i="7"/>
  <c r="W251" i="7"/>
  <c r="W115" i="7"/>
  <c r="W141" i="7"/>
  <c r="W241" i="7"/>
  <c r="W257" i="7"/>
  <c r="W271" i="7"/>
  <c r="W247" i="7"/>
  <c r="W223" i="7"/>
  <c r="W239" i="7"/>
  <c r="W280" i="7"/>
  <c r="W147" i="7"/>
  <c r="W125" i="7"/>
  <c r="W128" i="7"/>
  <c r="W185" i="7"/>
  <c r="W201" i="7"/>
  <c r="W243" i="7"/>
  <c r="W275" i="7"/>
  <c r="W144" i="7"/>
  <c r="W153" i="7"/>
  <c r="W169" i="7"/>
  <c r="W177" i="7"/>
  <c r="W172" i="7"/>
  <c r="W192" i="7"/>
  <c r="W258" i="7"/>
  <c r="W246" i="7"/>
  <c r="W234" i="7"/>
  <c r="W273" i="7"/>
  <c r="W226" i="7"/>
  <c r="W265" i="7"/>
  <c r="W249" i="7"/>
  <c r="W261" i="7"/>
  <c r="W160" i="7"/>
  <c r="W176" i="7"/>
  <c r="W209" i="7"/>
  <c r="W214" i="7"/>
  <c r="W253" i="7"/>
  <c r="W237" i="7"/>
  <c r="W222" i="7"/>
  <c r="W278" i="7"/>
  <c r="W270" i="7"/>
  <c r="W262" i="7"/>
  <c r="W184" i="7"/>
  <c r="W254" i="7"/>
  <c r="W242" i="7"/>
  <c r="W230" i="7"/>
  <c r="W225" i="7"/>
  <c r="W210" i="7"/>
  <c r="W238" i="7"/>
  <c r="W233" i="7"/>
  <c r="W217" i="7"/>
  <c r="W277" i="7"/>
  <c r="W229" i="7"/>
  <c r="W213" i="7"/>
  <c r="W152" i="7"/>
  <c r="W250" i="7"/>
  <c r="W269" i="7"/>
  <c r="W221" i="7"/>
  <c r="W274" i="7"/>
  <c r="W266" i="7"/>
  <c r="W245" i="7"/>
  <c r="W165" i="7"/>
  <c r="W197" i="7"/>
  <c r="W149" i="7"/>
  <c r="W131" i="7"/>
  <c r="W157" i="7"/>
  <c r="W113" i="7"/>
  <c r="W155" i="7"/>
  <c r="W121" i="7"/>
  <c r="W99" i="7"/>
  <c r="W181" i="7"/>
  <c r="W136" i="7"/>
  <c r="W182" i="7"/>
  <c r="W154" i="7"/>
  <c r="W36" i="7"/>
  <c r="W30" i="7"/>
  <c r="W122" i="7"/>
  <c r="W163" i="7"/>
  <c r="W38" i="7"/>
  <c r="W118" i="7"/>
  <c r="W171" i="7"/>
  <c r="W187" i="7"/>
  <c r="W120" i="7"/>
  <c r="W101" i="7"/>
  <c r="W105" i="7"/>
  <c r="W142" i="7"/>
  <c r="W24" i="7"/>
  <c r="W158" i="7"/>
  <c r="W150" i="7"/>
  <c r="W190" i="7"/>
  <c r="W164" i="7"/>
  <c r="W161" i="7"/>
  <c r="W198" i="7"/>
  <c r="W166" i="7"/>
  <c r="W168" i="7"/>
  <c r="W188" i="7"/>
  <c r="W189" i="7"/>
  <c r="W129" i="7"/>
  <c r="W97" i="7"/>
  <c r="W186" i="7"/>
  <c r="W146" i="7"/>
  <c r="W32" i="7"/>
  <c r="W196" i="7"/>
  <c r="W205" i="7"/>
  <c r="W145" i="7"/>
  <c r="W206" i="7"/>
  <c r="W138" i="7"/>
  <c r="W174" i="7"/>
  <c r="W173" i="7"/>
  <c r="W170" i="7"/>
  <c r="W156" i="7"/>
  <c r="W180" i="7"/>
  <c r="W133" i="7"/>
  <c r="W107" i="7"/>
  <c r="W191" i="7"/>
  <c r="W183" i="7"/>
  <c r="W159" i="7"/>
  <c r="W151" i="7"/>
  <c r="W139" i="7"/>
  <c r="W123" i="7"/>
  <c r="W162" i="7"/>
  <c r="W175" i="7"/>
  <c r="W143" i="7"/>
  <c r="W127" i="7"/>
  <c r="W202" i="7"/>
  <c r="W148" i="7"/>
  <c r="W207" i="7"/>
  <c r="W117" i="7"/>
  <c r="W96" i="7"/>
  <c r="W94" i="7"/>
  <c r="W92" i="7"/>
  <c r="W90" i="7"/>
  <c r="W88" i="7"/>
  <c r="W86" i="7"/>
  <c r="W84" i="7"/>
  <c r="W82" i="7"/>
  <c r="W80" i="7"/>
  <c r="W78" i="7"/>
  <c r="W66" i="7"/>
  <c r="W111" i="7"/>
  <c r="W72" i="7"/>
  <c r="W62" i="7"/>
  <c r="W28" i="7"/>
  <c r="W110" i="7"/>
  <c r="W199" i="7"/>
  <c r="W70" i="7"/>
  <c r="W37" i="7"/>
  <c r="W137" i="7"/>
  <c r="W178" i="7"/>
  <c r="W134" i="7"/>
  <c r="W98" i="7"/>
  <c r="W67" i="7"/>
  <c r="W31" i="7"/>
  <c r="W200" i="7"/>
  <c r="W203" i="7"/>
  <c r="W100" i="7"/>
  <c r="W68" i="7"/>
  <c r="W74" i="7"/>
  <c r="W60" i="7"/>
  <c r="W44" i="7"/>
  <c r="W167" i="7"/>
  <c r="W195" i="7"/>
  <c r="W126" i="7"/>
  <c r="W193" i="7"/>
  <c r="W130" i="7"/>
  <c r="W104" i="7"/>
  <c r="W95" i="7"/>
  <c r="W93" i="7"/>
  <c r="W91" i="7"/>
  <c r="W89" i="7"/>
  <c r="W87" i="7"/>
  <c r="W85" i="7"/>
  <c r="W83" i="7"/>
  <c r="W81" i="7"/>
  <c r="W79" i="7"/>
  <c r="W77" i="7"/>
  <c r="W76" i="7"/>
  <c r="W75" i="7"/>
  <c r="W71" i="7"/>
  <c r="W112" i="7"/>
  <c r="W114" i="7"/>
  <c r="W106" i="7"/>
  <c r="W63" i="7"/>
  <c r="W57" i="7"/>
  <c r="W56" i="7"/>
  <c r="W108" i="7"/>
  <c r="W64" i="7"/>
  <c r="W109" i="7"/>
  <c r="W45" i="7"/>
  <c r="W119" i="7"/>
  <c r="W140" i="7"/>
  <c r="W124" i="7"/>
  <c r="W194" i="7"/>
  <c r="W135" i="7"/>
  <c r="W179" i="7"/>
  <c r="W61" i="7"/>
  <c r="W204" i="7"/>
  <c r="W73" i="7"/>
  <c r="W58" i="7"/>
  <c r="W116" i="7"/>
  <c r="W102" i="7"/>
  <c r="W69" i="7"/>
  <c r="W65" i="7"/>
  <c r="W59" i="7"/>
  <c r="W29" i="7"/>
  <c r="W39" i="7"/>
  <c r="W27" i="7"/>
  <c r="W23" i="7"/>
  <c r="W51" i="7"/>
  <c r="W48" i="7"/>
  <c r="W33" i="7"/>
  <c r="W46" i="7"/>
  <c r="W42" i="7"/>
  <c r="W43" i="7"/>
  <c r="W50" i="7"/>
  <c r="W25" i="7"/>
  <c r="W41" i="7"/>
  <c r="W26" i="7"/>
  <c r="W49" i="7"/>
  <c r="W54" i="7"/>
  <c r="W47" i="7"/>
  <c r="W35" i="7"/>
  <c r="W40" i="7"/>
  <c r="W52" i="7"/>
  <c r="W34" i="7"/>
  <c r="W53" i="7"/>
  <c r="W55" i="7"/>
  <c r="AG553" i="7"/>
  <c r="AG538" i="7"/>
  <c r="AG536" i="7"/>
  <c r="AG537" i="7"/>
  <c r="AG546" i="7"/>
  <c r="AG551" i="7"/>
  <c r="AG548" i="7"/>
  <c r="AG534" i="7"/>
  <c r="AG545" i="7"/>
  <c r="AG549" i="7"/>
  <c r="AG542" i="7"/>
  <c r="AG535" i="7"/>
  <c r="AG539" i="7"/>
  <c r="AG552" i="7"/>
  <c r="AG543" i="7"/>
  <c r="AG550" i="7"/>
  <c r="AG541" i="7"/>
  <c r="AG544" i="7"/>
  <c r="AG525" i="7"/>
  <c r="AG540" i="7"/>
  <c r="AG547" i="7"/>
  <c r="AG529" i="7"/>
  <c r="AG530" i="7"/>
  <c r="AG533" i="7"/>
  <c r="AG512" i="7"/>
  <c r="AG526" i="7"/>
  <c r="AG527" i="7"/>
  <c r="AG531" i="7"/>
  <c r="AG532" i="7"/>
  <c r="AG528" i="7"/>
  <c r="AG522" i="7"/>
  <c r="AG523" i="7"/>
  <c r="AG518" i="7"/>
  <c r="AG524" i="7"/>
  <c r="AG519" i="7"/>
  <c r="AG508" i="7"/>
  <c r="AG457" i="7"/>
  <c r="AG516" i="7"/>
  <c r="AG507" i="7"/>
  <c r="AG463" i="7"/>
  <c r="AG470" i="7"/>
  <c r="AG468" i="7"/>
  <c r="AG515" i="7"/>
  <c r="AG506" i="7"/>
  <c r="AG510" i="7"/>
  <c r="AG505" i="7"/>
  <c r="AG514" i="7"/>
  <c r="AG509" i="7"/>
  <c r="AG513" i="7"/>
  <c r="AG511" i="7"/>
  <c r="AG497" i="7"/>
  <c r="AG456" i="7"/>
  <c r="AG521" i="7"/>
  <c r="AG450" i="7"/>
  <c r="AG499" i="7"/>
  <c r="AG473" i="7"/>
  <c r="AG485" i="7"/>
  <c r="AG479" i="7"/>
  <c r="AG517" i="7"/>
  <c r="AG520" i="7"/>
  <c r="AG464" i="7"/>
  <c r="AG462" i="7"/>
  <c r="AG502" i="7"/>
  <c r="AG480" i="7"/>
  <c r="AG442" i="7"/>
  <c r="AG453" i="7"/>
  <c r="AG455" i="7"/>
  <c r="AG484" i="7"/>
  <c r="AG481" i="7"/>
  <c r="AG467" i="7"/>
  <c r="AG490" i="7"/>
  <c r="AG471" i="7"/>
  <c r="AG451" i="7"/>
  <c r="AG466" i="7"/>
  <c r="AG491" i="7"/>
  <c r="AG472" i="7"/>
  <c r="AG447" i="7"/>
  <c r="AG461" i="7"/>
  <c r="AG458" i="7"/>
  <c r="AG460" i="7"/>
  <c r="AG495" i="7"/>
  <c r="AG476" i="7"/>
  <c r="AG486" i="7"/>
  <c r="AG489" i="7"/>
  <c r="AG488" i="7"/>
  <c r="AG500" i="7"/>
  <c r="AG475" i="7"/>
  <c r="AG469" i="7"/>
  <c r="AG504" i="7"/>
  <c r="AG448" i="7"/>
  <c r="AG482" i="7"/>
  <c r="AG477" i="7"/>
  <c r="AG487" i="7"/>
  <c r="AG449" i="7"/>
  <c r="AG494" i="7"/>
  <c r="AG496" i="7"/>
  <c r="AG465" i="7"/>
  <c r="AG483" i="7"/>
  <c r="AG459" i="7"/>
  <c r="AG446" i="7"/>
  <c r="AG474" i="7"/>
  <c r="AG503" i="7"/>
  <c r="AG493" i="7"/>
  <c r="AG452" i="7"/>
  <c r="AG498" i="7"/>
  <c r="AG454" i="7"/>
  <c r="AG478" i="7"/>
  <c r="AG501" i="7"/>
  <c r="AG492" i="7"/>
  <c r="AG441" i="7"/>
  <c r="AG445" i="7"/>
  <c r="AG444" i="7"/>
  <c r="AG443" i="7"/>
  <c r="AG416" i="7"/>
  <c r="AG431" i="7"/>
  <c r="AG420" i="7"/>
  <c r="AG440" i="7"/>
  <c r="AG433" i="7"/>
  <c r="AG407" i="7"/>
  <c r="AG434" i="7"/>
  <c r="AG403" i="7"/>
  <c r="AG423" i="7"/>
  <c r="AG428" i="7"/>
  <c r="AG438" i="7"/>
  <c r="AG436" i="7"/>
  <c r="AG414" i="7"/>
  <c r="AG424" i="7"/>
  <c r="AG429" i="7"/>
  <c r="AG432" i="7"/>
  <c r="AG437" i="7"/>
  <c r="AG421" i="7"/>
  <c r="AG364" i="7"/>
  <c r="AG409" i="7"/>
  <c r="AG419" i="7"/>
  <c r="AG381" i="7"/>
  <c r="AG405" i="7"/>
  <c r="AG418" i="7"/>
  <c r="AG408" i="7"/>
  <c r="AG410" i="7"/>
  <c r="AG415" i="7"/>
  <c r="AG402" i="7"/>
  <c r="AG389" i="7"/>
  <c r="AG360" i="7"/>
  <c r="AG372" i="7"/>
  <c r="AG404" i="7"/>
  <c r="AG422" i="7"/>
  <c r="AG425" i="7"/>
  <c r="AG430" i="7"/>
  <c r="AG406" i="7"/>
  <c r="AG390" i="7"/>
  <c r="AG376" i="7"/>
  <c r="AG380" i="7"/>
  <c r="AG413" i="7"/>
  <c r="AG439" i="7"/>
  <c r="AG435" i="7"/>
  <c r="AG427" i="7"/>
  <c r="AG417" i="7"/>
  <c r="AG385" i="7"/>
  <c r="AG356" i="7"/>
  <c r="AG412" i="7"/>
  <c r="AG411" i="7"/>
  <c r="AG368" i="7"/>
  <c r="AG426" i="7"/>
  <c r="AG359" i="7"/>
  <c r="AG400" i="7"/>
  <c r="AG293" i="7"/>
  <c r="AG371" i="7"/>
  <c r="AG375" i="7"/>
  <c r="AG396" i="7"/>
  <c r="AG363" i="7"/>
  <c r="AG297" i="7"/>
  <c r="AG388" i="7"/>
  <c r="AG392" i="7"/>
  <c r="AG367" i="7"/>
  <c r="AG384" i="7"/>
  <c r="AG379" i="7"/>
  <c r="AG397" i="7"/>
  <c r="AG365" i="7"/>
  <c r="AG377" i="7"/>
  <c r="AG355" i="7"/>
  <c r="AG338" i="7"/>
  <c r="AG300" i="7"/>
  <c r="AG398" i="7"/>
  <c r="AG393" i="7"/>
  <c r="AG361" i="7"/>
  <c r="AG317" i="7"/>
  <c r="AG337" i="7"/>
  <c r="AG343" i="7"/>
  <c r="AG325" i="7"/>
  <c r="AG346" i="7"/>
  <c r="AG358" i="7"/>
  <c r="AG362" i="7"/>
  <c r="AG394" i="7"/>
  <c r="AG303" i="7"/>
  <c r="AG302" i="7"/>
  <c r="AG336" i="7"/>
  <c r="AG374" i="7"/>
  <c r="AG373" i="7"/>
  <c r="AG333" i="7"/>
  <c r="AG321" i="7"/>
  <c r="AG339" i="7"/>
  <c r="AG378" i="7"/>
  <c r="AG331" i="7"/>
  <c r="AG399" i="7"/>
  <c r="AG391" i="7"/>
  <c r="AG386" i="7"/>
  <c r="AG357" i="7"/>
  <c r="AG382" i="7"/>
  <c r="AG370" i="7"/>
  <c r="AG347" i="7"/>
  <c r="AG342" i="7"/>
  <c r="AG351" i="7"/>
  <c r="AG329" i="7"/>
  <c r="AG341" i="7"/>
  <c r="AG345" i="7"/>
  <c r="AG387" i="7"/>
  <c r="AG327" i="7"/>
  <c r="AG395" i="7"/>
  <c r="AG369" i="7"/>
  <c r="AG401" i="7"/>
  <c r="AG383" i="7"/>
  <c r="AG366" i="7"/>
  <c r="AG328" i="7"/>
  <c r="AG309" i="7"/>
  <c r="AG350" i="7"/>
  <c r="AG288" i="7"/>
  <c r="AG316" i="7"/>
  <c r="AG219" i="7"/>
  <c r="AG231" i="7"/>
  <c r="AG239" i="7"/>
  <c r="AG251" i="7"/>
  <c r="AG323" i="7"/>
  <c r="AG335" i="7"/>
  <c r="AG222" i="7"/>
  <c r="AG326" i="7"/>
  <c r="AG311" i="7"/>
  <c r="AG305" i="7"/>
  <c r="AG322" i="7"/>
  <c r="AG352" i="7"/>
  <c r="AG292" i="7"/>
  <c r="AG284" i="7"/>
  <c r="AG320" i="7"/>
  <c r="AG324" i="7"/>
  <c r="AG227" i="7"/>
  <c r="AG223" i="7"/>
  <c r="AG247" i="7"/>
  <c r="AG255" i="7"/>
  <c r="AG267" i="7"/>
  <c r="AG285" i="7"/>
  <c r="AG277" i="7"/>
  <c r="AG218" i="7"/>
  <c r="AG234" i="7"/>
  <c r="AG209" i="7"/>
  <c r="AG217" i="7"/>
  <c r="AG225" i="7"/>
  <c r="AG233" i="7"/>
  <c r="AG241" i="7"/>
  <c r="AG249" i="7"/>
  <c r="AG257" i="7"/>
  <c r="AG265" i="7"/>
  <c r="AG273" i="7"/>
  <c r="AG304" i="7"/>
  <c r="AG295" i="7"/>
  <c r="AG314" i="7"/>
  <c r="AG282" i="7"/>
  <c r="AG306" i="7"/>
  <c r="AG330" i="7"/>
  <c r="AG332" i="7"/>
  <c r="AG296" i="7"/>
  <c r="AG312" i="7"/>
  <c r="AG211" i="7"/>
  <c r="AG243" i="7"/>
  <c r="AG263" i="7"/>
  <c r="AG271" i="7"/>
  <c r="AG301" i="7"/>
  <c r="AG289" i="7"/>
  <c r="AG214" i="7"/>
  <c r="AG258" i="7"/>
  <c r="AG283" i="7"/>
  <c r="AG315" i="7"/>
  <c r="AG286" i="7"/>
  <c r="AG340" i="7"/>
  <c r="AG353" i="7"/>
  <c r="AG310" i="7"/>
  <c r="AG276" i="7"/>
  <c r="AG308" i="7"/>
  <c r="AG349" i="7"/>
  <c r="AG215" i="7"/>
  <c r="AG259" i="7"/>
  <c r="AG275" i="7"/>
  <c r="AG235" i="7"/>
  <c r="AG354" i="7"/>
  <c r="AG313" i="7"/>
  <c r="AG281" i="7"/>
  <c r="AG213" i="7"/>
  <c r="AG221" i="7"/>
  <c r="AG229" i="7"/>
  <c r="AG237" i="7"/>
  <c r="AG245" i="7"/>
  <c r="AG253" i="7"/>
  <c r="AG261" i="7"/>
  <c r="AG269" i="7"/>
  <c r="AG291" i="7"/>
  <c r="AG299" i="7"/>
  <c r="AG287" i="7"/>
  <c r="AG307" i="7"/>
  <c r="AG290" i="7"/>
  <c r="AG334" i="7"/>
  <c r="AG318" i="7"/>
  <c r="AG298" i="7"/>
  <c r="AG294" i="7"/>
  <c r="AG348" i="7"/>
  <c r="AG280" i="7"/>
  <c r="AG319" i="7"/>
  <c r="AG344" i="7"/>
  <c r="AG248" i="7"/>
  <c r="AG228" i="7"/>
  <c r="AG212" i="7"/>
  <c r="AG240" i="7"/>
  <c r="AG224" i="7"/>
  <c r="AG279" i="7"/>
  <c r="AG272" i="7"/>
  <c r="AG121" i="7"/>
  <c r="AG140" i="7"/>
  <c r="AG131" i="7"/>
  <c r="AG126" i="7"/>
  <c r="AG182" i="7"/>
  <c r="AG252" i="7"/>
  <c r="AG260" i="7"/>
  <c r="AG220" i="7"/>
  <c r="AG268" i="7"/>
  <c r="AG124" i="7"/>
  <c r="AG136" i="7"/>
  <c r="AG142" i="7"/>
  <c r="AG158" i="7"/>
  <c r="AG174" i="7"/>
  <c r="AG198" i="7"/>
  <c r="AG264" i="7"/>
  <c r="AG256" i="7"/>
  <c r="AG244" i="7"/>
  <c r="AG236" i="7"/>
  <c r="AG155" i="7"/>
  <c r="AG171" i="7"/>
  <c r="AG118" i="7"/>
  <c r="AG138" i="7"/>
  <c r="AG190" i="7"/>
  <c r="AG206" i="7"/>
  <c r="AG232" i="7"/>
  <c r="AG216" i="7"/>
  <c r="AG208" i="7"/>
  <c r="AG137" i="7"/>
  <c r="AG129" i="7"/>
  <c r="AG187" i="7"/>
  <c r="AG196" i="7"/>
  <c r="AG130" i="7"/>
  <c r="AG150" i="7"/>
  <c r="AG166" i="7"/>
  <c r="AG278" i="7"/>
  <c r="AG270" i="7"/>
  <c r="AG246" i="7"/>
  <c r="AG238" i="7"/>
  <c r="AG266" i="7"/>
  <c r="AG250" i="7"/>
  <c r="AG210" i="7"/>
  <c r="AG226" i="7"/>
  <c r="AG230" i="7"/>
  <c r="AG274" i="7"/>
  <c r="AG262" i="7"/>
  <c r="AG254" i="7"/>
  <c r="AG242" i="7"/>
  <c r="AG119" i="7"/>
  <c r="AG123" i="7"/>
  <c r="AG175" i="7"/>
  <c r="AG154" i="7"/>
  <c r="AG125" i="7"/>
  <c r="AG160" i="7"/>
  <c r="AG163" i="7"/>
  <c r="AG146" i="7"/>
  <c r="AG173" i="7"/>
  <c r="AG188" i="7"/>
  <c r="AG102" i="7"/>
  <c r="AG177" i="7"/>
  <c r="AG149" i="7"/>
  <c r="AG134" i="7"/>
  <c r="AG132" i="7"/>
  <c r="AG205" i="7"/>
  <c r="AG143" i="7"/>
  <c r="AG167" i="7"/>
  <c r="AG147" i="7"/>
  <c r="AG148" i="7"/>
  <c r="AG98" i="7"/>
  <c r="AG172" i="7"/>
  <c r="AG186" i="7"/>
  <c r="AG165" i="7"/>
  <c r="AG156" i="7"/>
  <c r="AG145" i="7"/>
  <c r="AG197" i="7"/>
  <c r="AG179" i="7"/>
  <c r="AG122" i="7"/>
  <c r="AG191" i="7"/>
  <c r="AG117" i="7"/>
  <c r="AG169" i="7"/>
  <c r="AG141" i="7"/>
  <c r="AG153" i="7"/>
  <c r="AG151" i="7"/>
  <c r="AG183" i="7"/>
  <c r="AG181" i="7"/>
  <c r="AG152" i="7"/>
  <c r="AG185" i="7"/>
  <c r="AG201" i="7"/>
  <c r="AG176" i="7"/>
  <c r="AG116" i="7"/>
  <c r="AG184" i="7"/>
  <c r="AG192" i="7"/>
  <c r="AG144" i="7"/>
  <c r="AG114" i="7"/>
  <c r="AG162" i="7"/>
  <c r="AG106" i="7"/>
  <c r="AG139" i="7"/>
  <c r="AG159" i="7"/>
  <c r="AG120" i="7"/>
  <c r="AG193" i="7"/>
  <c r="AG170" i="7"/>
  <c r="AG168" i="7"/>
  <c r="AG189" i="7"/>
  <c r="AG161" i="7"/>
  <c r="AG104" i="7"/>
  <c r="AG128" i="7"/>
  <c r="AG157" i="7"/>
  <c r="AG195" i="7"/>
  <c r="AG133" i="7"/>
  <c r="AG180" i="7"/>
  <c r="AG135" i="7"/>
  <c r="AG108" i="7"/>
  <c r="AG178" i="7"/>
  <c r="AG103" i="7"/>
  <c r="AG74" i="7"/>
  <c r="AG51" i="7"/>
  <c r="AG203" i="7"/>
  <c r="AG115" i="7"/>
  <c r="AG105" i="7"/>
  <c r="AG96" i="7"/>
  <c r="AG94" i="7"/>
  <c r="AG92" i="7"/>
  <c r="AG90" i="7"/>
  <c r="AG88" i="7"/>
  <c r="AG86" i="7"/>
  <c r="AG84" i="7"/>
  <c r="AG82" i="7"/>
  <c r="AG80" i="7"/>
  <c r="AG78" i="7"/>
  <c r="AG76" i="7"/>
  <c r="AG66" i="7"/>
  <c r="AG199" i="7"/>
  <c r="AG107" i="7"/>
  <c r="AG67" i="7"/>
  <c r="AG62" i="7"/>
  <c r="AG57" i="7"/>
  <c r="AG200" i="7"/>
  <c r="AG113" i="7"/>
  <c r="AG64" i="7"/>
  <c r="AG111" i="7"/>
  <c r="AG164" i="7"/>
  <c r="AG127" i="7"/>
  <c r="AG100" i="7"/>
  <c r="AG70" i="7"/>
  <c r="AG65" i="7"/>
  <c r="AG59" i="7"/>
  <c r="AG34" i="7"/>
  <c r="AG61" i="7"/>
  <c r="AG109" i="7"/>
  <c r="AG112" i="7"/>
  <c r="AG56" i="7"/>
  <c r="AG207" i="7"/>
  <c r="AG101" i="7"/>
  <c r="AG202" i="7"/>
  <c r="AG46" i="7"/>
  <c r="AG48" i="7"/>
  <c r="AG52" i="7"/>
  <c r="AG54" i="7"/>
  <c r="AG95" i="7"/>
  <c r="AG93" i="7"/>
  <c r="AG91" i="7"/>
  <c r="AG89" i="7"/>
  <c r="AG87" i="7"/>
  <c r="AG85" i="7"/>
  <c r="AG83" i="7"/>
  <c r="AG81" i="7"/>
  <c r="AG79" i="7"/>
  <c r="AG77" i="7"/>
  <c r="AG75" i="7"/>
  <c r="AG72" i="7"/>
  <c r="AG63" i="7"/>
  <c r="AG204" i="7"/>
  <c r="AG58" i="7"/>
  <c r="AG194" i="7"/>
  <c r="AG69" i="7"/>
  <c r="AG60" i="7"/>
  <c r="AG29" i="7"/>
  <c r="AG33" i="7"/>
  <c r="AG35" i="7"/>
  <c r="AG39" i="7"/>
  <c r="AG97" i="7"/>
  <c r="AG71" i="7"/>
  <c r="AG110" i="7"/>
  <c r="AG99" i="7"/>
  <c r="AG73" i="7"/>
  <c r="AG68" i="7"/>
  <c r="AG32" i="7"/>
  <c r="AG38" i="7"/>
  <c r="AG31" i="7"/>
  <c r="AG49" i="7"/>
  <c r="AG43" i="7"/>
  <c r="AG53" i="7"/>
  <c r="AG27" i="7"/>
  <c r="AG28" i="7"/>
  <c r="AG40" i="7"/>
  <c r="AG44" i="7"/>
  <c r="AG23" i="7"/>
  <c r="AG47" i="7"/>
  <c r="AG37" i="7"/>
  <c r="AG30" i="7"/>
  <c r="AG42" i="7"/>
  <c r="AG24" i="7"/>
  <c r="AG50" i="7"/>
  <c r="AG36" i="7"/>
  <c r="AG55" i="7"/>
  <c r="AG45" i="7"/>
  <c r="AG41" i="7"/>
  <c r="AG25" i="7"/>
  <c r="AG26" i="7"/>
  <c r="AM543" i="7"/>
  <c r="AM530" i="7"/>
  <c r="AM551" i="7"/>
  <c r="AM542" i="7"/>
  <c r="AM539" i="7"/>
  <c r="AM547" i="7"/>
  <c r="AM552" i="7"/>
  <c r="AM527" i="7"/>
  <c r="AM546" i="7"/>
  <c r="AM545" i="7"/>
  <c r="AM548" i="7"/>
  <c r="AM540" i="7"/>
  <c r="AM544" i="7"/>
  <c r="AM536" i="7"/>
  <c r="AM535" i="7"/>
  <c r="AM538" i="7"/>
  <c r="AM549" i="7"/>
  <c r="AM531" i="7"/>
  <c r="AM528" i="7"/>
  <c r="AM524" i="7"/>
  <c r="AM529" i="7"/>
  <c r="AM525" i="7"/>
  <c r="AM522" i="7"/>
  <c r="AM532" i="7"/>
  <c r="AM509" i="7"/>
  <c r="AM523" i="7"/>
  <c r="AM533" i="7"/>
  <c r="AM506" i="7"/>
  <c r="AM520" i="7"/>
  <c r="AM516" i="7"/>
  <c r="AM507" i="7"/>
  <c r="AM514" i="7"/>
  <c r="AM476" i="7"/>
  <c r="AM519" i="7"/>
  <c r="AM466" i="7"/>
  <c r="AM467" i="7"/>
  <c r="AM515" i="7"/>
  <c r="AM508" i="7"/>
  <c r="AM480" i="7"/>
  <c r="AM510" i="7"/>
  <c r="AM475" i="7"/>
  <c r="AM462" i="7"/>
  <c r="AM511" i="7"/>
  <c r="AM499" i="7"/>
  <c r="AM456" i="7"/>
  <c r="AM468" i="7"/>
  <c r="AM502" i="7"/>
  <c r="AM484" i="7"/>
  <c r="AM464" i="7"/>
  <c r="AM497" i="7"/>
  <c r="AM469" i="7"/>
  <c r="AM473" i="7"/>
  <c r="AM455" i="7"/>
  <c r="AM453" i="7"/>
  <c r="AM461" i="7"/>
  <c r="AM481" i="7"/>
  <c r="AM454" i="7"/>
  <c r="AM494" i="7"/>
  <c r="AM479" i="7"/>
  <c r="AM482" i="7"/>
  <c r="AM491" i="7"/>
  <c r="AM488" i="7"/>
  <c r="AM457" i="7"/>
  <c r="AM459" i="7"/>
  <c r="AM472" i="7"/>
  <c r="AM471" i="7"/>
  <c r="AM451" i="7"/>
  <c r="AM493" i="7"/>
  <c r="AM452" i="7"/>
  <c r="AM463" i="7"/>
  <c r="AM460" i="7"/>
  <c r="AM503" i="7"/>
  <c r="AM501" i="7"/>
  <c r="AM477" i="7"/>
  <c r="AM496" i="7"/>
  <c r="AM474" i="7"/>
  <c r="AM504" i="7"/>
  <c r="AM478" i="7"/>
  <c r="AM483" i="7"/>
  <c r="AM492" i="7"/>
  <c r="AM500" i="7"/>
  <c r="AM485" i="7"/>
  <c r="AM490" i="7"/>
  <c r="AM495" i="7"/>
  <c r="AM487" i="7"/>
  <c r="AM458" i="7"/>
  <c r="AM114" i="7"/>
  <c r="AM119" i="7"/>
  <c r="AM175" i="7"/>
  <c r="AM143" i="7"/>
  <c r="AM93" i="7"/>
  <c r="AM76" i="7"/>
  <c r="AM84" i="7"/>
  <c r="AM92" i="7"/>
  <c r="AM85" i="7"/>
  <c r="AM75" i="7"/>
  <c r="AM83" i="7"/>
  <c r="AM91" i="7"/>
  <c r="AM78" i="7"/>
  <c r="AM86" i="7"/>
  <c r="AM94" i="7"/>
  <c r="AM89" i="7"/>
  <c r="AM133" i="7"/>
  <c r="AM181" i="7"/>
  <c r="AM189" i="7"/>
  <c r="AM56" i="7"/>
  <c r="AM98" i="7"/>
  <c r="AM102" i="7"/>
  <c r="AM106" i="7"/>
  <c r="AM69" i="7"/>
  <c r="AM59" i="7"/>
  <c r="AM97" i="7"/>
  <c r="AM113" i="7"/>
  <c r="AM149" i="7"/>
  <c r="AM157" i="7"/>
  <c r="AM173" i="7"/>
  <c r="AM139" i="7"/>
  <c r="AM191" i="7"/>
  <c r="AM123" i="7"/>
  <c r="AM163" i="7"/>
  <c r="AM167" i="7"/>
  <c r="AM77" i="7"/>
  <c r="AM80" i="7"/>
  <c r="AM88" i="7"/>
  <c r="AM96" i="7"/>
  <c r="AM79" i="7"/>
  <c r="AM87" i="7"/>
  <c r="AM95" i="7"/>
  <c r="AM82" i="7"/>
  <c r="AM90" i="7"/>
  <c r="AM81" i="7"/>
  <c r="AM193" i="7"/>
  <c r="AM159" i="7"/>
  <c r="AM151" i="7"/>
  <c r="AM183" i="7"/>
  <c r="AM135" i="7"/>
  <c r="AM62" i="7"/>
  <c r="AM100" i="7"/>
  <c r="AM104" i="7"/>
  <c r="AM108" i="7"/>
  <c r="AM161" i="7"/>
  <c r="AM168" i="7"/>
  <c r="AM131" i="7"/>
  <c r="AM196" i="7"/>
  <c r="AM187" i="7"/>
  <c r="AM186" i="7"/>
  <c r="AM116" i="7"/>
  <c r="AM190" i="7"/>
  <c r="AM138" i="7"/>
  <c r="AM165" i="7"/>
  <c r="AM101" i="7"/>
  <c r="AM154" i="7"/>
  <c r="AM128" i="7"/>
  <c r="AM148" i="7"/>
  <c r="AM129" i="7"/>
  <c r="AM158" i="7"/>
  <c r="AM171" i="7"/>
  <c r="AM156" i="7"/>
  <c r="AM184" i="7"/>
  <c r="AM188" i="7"/>
  <c r="AM155" i="7"/>
  <c r="AM125" i="7"/>
  <c r="AM50" i="7"/>
  <c r="AM130" i="7"/>
  <c r="AM147" i="7"/>
  <c r="AM178" i="7"/>
  <c r="AM136" i="7"/>
  <c r="AM177" i="7"/>
  <c r="AM146" i="7"/>
  <c r="AM120" i="7"/>
  <c r="AM180" i="7"/>
  <c r="AM169" i="7"/>
  <c r="AM132" i="7"/>
  <c r="AM150" i="7"/>
  <c r="AM25" i="7"/>
  <c r="AM170" i="7"/>
  <c r="AM144" i="7"/>
  <c r="AM185" i="7"/>
  <c r="AM164" i="7"/>
  <c r="AM105" i="7"/>
  <c r="AM124" i="7"/>
  <c r="AM145" i="7"/>
  <c r="AM153" i="7"/>
  <c r="AM142" i="7"/>
  <c r="AM174" i="7"/>
  <c r="AM103" i="7"/>
  <c r="AM195" i="7"/>
  <c r="AM118" i="7"/>
  <c r="AM99" i="7"/>
  <c r="AM107" i="7"/>
  <c r="AM160" i="7"/>
  <c r="AM172" i="7"/>
  <c r="AM121" i="7"/>
  <c r="AM141" i="7"/>
  <c r="AM140" i="7"/>
  <c r="AM137" i="7"/>
  <c r="AM182" i="7"/>
  <c r="AM166" i="7"/>
  <c r="AM194" i="7"/>
  <c r="AM47" i="7"/>
  <c r="AM53" i="7"/>
  <c r="AM126" i="7"/>
  <c r="AM176" i="7"/>
  <c r="AM64" i="7"/>
  <c r="AM74" i="7"/>
  <c r="AM70" i="7"/>
  <c r="AM60" i="7"/>
  <c r="AM61" i="7"/>
  <c r="AM72" i="7"/>
  <c r="AM57" i="7"/>
  <c r="AM112" i="7"/>
  <c r="AM27" i="7"/>
  <c r="AM179" i="7"/>
  <c r="AM122" i="7"/>
  <c r="AM152" i="7"/>
  <c r="AM73" i="7"/>
  <c r="AM58" i="7"/>
  <c r="AM109" i="7"/>
  <c r="AM117" i="7"/>
  <c r="AM65" i="7"/>
  <c r="AM66" i="7"/>
  <c r="AM115" i="7"/>
  <c r="AM55" i="7"/>
  <c r="AM111" i="7"/>
  <c r="AM67" i="7"/>
  <c r="AM134" i="7"/>
  <c r="AM162" i="7"/>
  <c r="AM127" i="7"/>
  <c r="AM49" i="7"/>
  <c r="AM192" i="7"/>
  <c r="AM68" i="7"/>
  <c r="AM110" i="7"/>
  <c r="AM23" i="7"/>
  <c r="AM71" i="7"/>
  <c r="AM63" i="7"/>
  <c r="AM24" i="7"/>
  <c r="AM38" i="7"/>
  <c r="AM45" i="7"/>
  <c r="AM34" i="7"/>
  <c r="AM31" i="7"/>
  <c r="AM35" i="7"/>
  <c r="AM26" i="7"/>
  <c r="AM44" i="7"/>
  <c r="AM33" i="7"/>
  <c r="AM48" i="7"/>
  <c r="AM30" i="7"/>
  <c r="AM54" i="7"/>
  <c r="AM7" i="7"/>
  <c r="AM41" i="7"/>
  <c r="AM32" i="7"/>
  <c r="AM51" i="7"/>
  <c r="AM52" i="7"/>
  <c r="AM39" i="7"/>
  <c r="AM40" i="7"/>
  <c r="AM46" i="7"/>
  <c r="AM37" i="7"/>
  <c r="AM29" i="7"/>
  <c r="AM36" i="7"/>
  <c r="AM28" i="7"/>
  <c r="AM43" i="7"/>
  <c r="AM42" i="7"/>
  <c r="AM17" i="7"/>
  <c r="F7" i="7"/>
  <c r="L7" i="7" s="1"/>
  <c r="AS7" i="7" s="1"/>
  <c r="AM22" i="7"/>
  <c r="AP22" i="7"/>
  <c r="AG7" i="7"/>
  <c r="AD8" i="7"/>
  <c r="AH8" i="7"/>
  <c r="X9" i="7"/>
  <c r="F11" i="7"/>
  <c r="AN11" i="7"/>
  <c r="AK11" i="7"/>
  <c r="AE12" i="7"/>
  <c r="U13" i="7"/>
  <c r="V13" i="7"/>
  <c r="AN15" i="7"/>
  <c r="AL15" i="7"/>
  <c r="AG16" i="7"/>
  <c r="U17" i="7"/>
  <c r="V17" i="7"/>
  <c r="W18" i="7"/>
  <c r="F20" i="7"/>
  <c r="AK20" i="7"/>
  <c r="AO20" i="7"/>
  <c r="AE21" i="7"/>
  <c r="AM6" i="7"/>
  <c r="U7" i="7"/>
  <c r="Z8" i="7"/>
  <c r="Y8" i="7"/>
  <c r="F10" i="7"/>
  <c r="AN10" i="7"/>
  <c r="AP10" i="7"/>
  <c r="AE11" i="7"/>
  <c r="X12" i="7"/>
  <c r="V12" i="7"/>
  <c r="AM14" i="7"/>
  <c r="AF15" i="7"/>
  <c r="AG15" i="7"/>
  <c r="V16" i="7"/>
  <c r="R18" i="7"/>
  <c r="AL19" i="7"/>
  <c r="AP19" i="7"/>
  <c r="AE20" i="7"/>
  <c r="U21" i="7"/>
  <c r="V21" i="7"/>
  <c r="AH9" i="7"/>
  <c r="AC9" i="7"/>
  <c r="U14" i="7"/>
  <c r="AC18" i="7"/>
  <c r="AP21" i="7"/>
  <c r="AP6" i="7"/>
  <c r="R7" i="7"/>
  <c r="R8" i="7"/>
  <c r="AO9" i="7"/>
  <c r="AC10" i="7"/>
  <c r="U11" i="7"/>
  <c r="W11" i="7"/>
  <c r="AP13" i="7"/>
  <c r="AL13" i="7"/>
  <c r="AF14" i="7"/>
  <c r="U15" i="7"/>
  <c r="W15" i="7"/>
  <c r="AO18" i="7"/>
  <c r="AD19" i="7"/>
  <c r="X20" i="7"/>
  <c r="AG22" i="7"/>
  <c r="AM8" i="7"/>
  <c r="U10" i="7"/>
  <c r="AM12" i="7"/>
  <c r="AF13" i="7"/>
  <c r="AK16" i="7"/>
  <c r="AM16" i="7"/>
  <c r="W19" i="7"/>
  <c r="W22" i="7"/>
  <c r="U22" i="7"/>
  <c r="F553" i="7"/>
  <c r="F547" i="7"/>
  <c r="F541" i="7"/>
  <c r="F535" i="7"/>
  <c r="F550" i="7"/>
  <c r="F551" i="7"/>
  <c r="F523" i="7"/>
  <c r="F545" i="7"/>
  <c r="F536" i="7"/>
  <c r="F537" i="7"/>
  <c r="F538" i="7"/>
  <c r="F539" i="7"/>
  <c r="F549" i="7"/>
  <c r="F548" i="7"/>
  <c r="F544" i="7"/>
  <c r="F524" i="7"/>
  <c r="F540" i="7"/>
  <c r="F542" i="7"/>
  <c r="F543" i="7"/>
  <c r="F546" i="7"/>
  <c r="F552" i="7"/>
  <c r="F531" i="7"/>
  <c r="F534" i="7"/>
  <c r="F533" i="7"/>
  <c r="F527" i="7"/>
  <c r="F525" i="7"/>
  <c r="F528" i="7"/>
  <c r="F532" i="7"/>
  <c r="F514" i="7"/>
  <c r="F529" i="7"/>
  <c r="F526" i="7"/>
  <c r="F506" i="7"/>
  <c r="F505" i="7"/>
  <c r="F513" i="7"/>
  <c r="F530" i="7"/>
  <c r="F522" i="7"/>
  <c r="F509" i="7"/>
  <c r="F490" i="7"/>
  <c r="F521" i="7"/>
  <c r="F454" i="7"/>
  <c r="F465" i="7"/>
  <c r="F460" i="7"/>
  <c r="F507" i="7"/>
  <c r="F494" i="7"/>
  <c r="F486" i="7"/>
  <c r="F511" i="7"/>
  <c r="F510" i="7"/>
  <c r="F512" i="7"/>
  <c r="F517" i="7"/>
  <c r="F487" i="7"/>
  <c r="F508" i="7"/>
  <c r="F474" i="7"/>
  <c r="F498" i="7"/>
  <c r="F469" i="7"/>
  <c r="F471" i="7"/>
  <c r="F518" i="7"/>
  <c r="F482" i="7"/>
  <c r="F500" i="7"/>
  <c r="F458" i="7"/>
  <c r="F503" i="7"/>
  <c r="F519" i="7"/>
  <c r="F515" i="7"/>
  <c r="F459" i="7"/>
  <c r="F451" i="7"/>
  <c r="F516" i="7"/>
  <c r="F520" i="7"/>
  <c r="F466" i="7"/>
  <c r="F461" i="7"/>
  <c r="F453" i="7"/>
  <c r="F502" i="7"/>
  <c r="F447" i="7"/>
  <c r="F456" i="7"/>
  <c r="F481" i="7"/>
  <c r="F457" i="7"/>
  <c r="F479" i="7"/>
  <c r="F473" i="7"/>
  <c r="F475" i="7"/>
  <c r="F462" i="7"/>
  <c r="F449" i="7"/>
  <c r="F499" i="7"/>
  <c r="F485" i="7"/>
  <c r="F464" i="7"/>
  <c r="F467" i="7"/>
  <c r="F480" i="7"/>
  <c r="F444" i="7"/>
  <c r="F463" i="7"/>
  <c r="F484" i="7"/>
  <c r="F493" i="7"/>
  <c r="F455" i="7"/>
  <c r="F476" i="7"/>
  <c r="F472" i="7"/>
  <c r="F489" i="7"/>
  <c r="F452" i="7"/>
  <c r="F491" i="7"/>
  <c r="F497" i="7"/>
  <c r="F504" i="7"/>
  <c r="F483" i="7"/>
  <c r="F446" i="7"/>
  <c r="F450" i="7"/>
  <c r="F495" i="7"/>
  <c r="F477" i="7"/>
  <c r="F496" i="7"/>
  <c r="F468" i="7"/>
  <c r="F501" i="7"/>
  <c r="F492" i="7"/>
  <c r="F448" i="7"/>
  <c r="F478" i="7"/>
  <c r="F445" i="7"/>
  <c r="F488" i="7"/>
  <c r="F470" i="7"/>
  <c r="F443" i="7"/>
  <c r="F442" i="7"/>
  <c r="F406" i="7"/>
  <c r="F411" i="7"/>
  <c r="F441" i="7"/>
  <c r="F402" i="7"/>
  <c r="F432" i="7"/>
  <c r="F428" i="7"/>
  <c r="F403" i="7"/>
  <c r="F407" i="7"/>
  <c r="F433" i="7"/>
  <c r="F440" i="7"/>
  <c r="F436" i="7"/>
  <c r="F418" i="7"/>
  <c r="F438" i="7"/>
  <c r="F413" i="7"/>
  <c r="F419" i="7"/>
  <c r="F425" i="7"/>
  <c r="F401" i="7"/>
  <c r="F434" i="7"/>
  <c r="F414" i="7"/>
  <c r="F420" i="7"/>
  <c r="F415" i="7"/>
  <c r="F367" i="7"/>
  <c r="F431" i="7"/>
  <c r="F439" i="7"/>
  <c r="F405" i="7"/>
  <c r="F430" i="7"/>
  <c r="F422" i="7"/>
  <c r="F410" i="7"/>
  <c r="F437" i="7"/>
  <c r="F424" i="7"/>
  <c r="F427" i="7"/>
  <c r="F423" i="7"/>
  <c r="F416" i="7"/>
  <c r="F408" i="7"/>
  <c r="F404" i="7"/>
  <c r="F417" i="7"/>
  <c r="F426" i="7"/>
  <c r="F421" i="7"/>
  <c r="F429" i="7"/>
  <c r="F435" i="7"/>
  <c r="F409" i="7"/>
  <c r="F412" i="7"/>
  <c r="F375" i="7"/>
  <c r="F289" i="7"/>
  <c r="F389" i="7"/>
  <c r="F388" i="7"/>
  <c r="F363" i="7"/>
  <c r="F397" i="7"/>
  <c r="F354" i="7"/>
  <c r="F384" i="7"/>
  <c r="F393" i="7"/>
  <c r="F371" i="7"/>
  <c r="F396" i="7"/>
  <c r="F379" i="7"/>
  <c r="F359" i="7"/>
  <c r="F392" i="7"/>
  <c r="F332" i="7"/>
  <c r="F296" i="7"/>
  <c r="F309" i="7"/>
  <c r="F400" i="7"/>
  <c r="F370" i="7"/>
  <c r="F387" i="7"/>
  <c r="F320" i="7"/>
  <c r="F358" i="7"/>
  <c r="F382" i="7"/>
  <c r="F292" i="7"/>
  <c r="F374" i="7"/>
  <c r="F369" i="7"/>
  <c r="F381" i="7"/>
  <c r="F399" i="7"/>
  <c r="F383" i="7"/>
  <c r="F366" i="7"/>
  <c r="F376" i="7"/>
  <c r="F365" i="7"/>
  <c r="F286" i="7"/>
  <c r="F357" i="7"/>
  <c r="F362" i="7"/>
  <c r="F372" i="7"/>
  <c r="F356" i="7"/>
  <c r="F378" i="7"/>
  <c r="F394" i="7"/>
  <c r="F386" i="7"/>
  <c r="F368" i="7"/>
  <c r="F377" i="7"/>
  <c r="F361" i="7"/>
  <c r="F385" i="7"/>
  <c r="F364" i="7"/>
  <c r="F360" i="7"/>
  <c r="F373" i="7"/>
  <c r="F391" i="7"/>
  <c r="F398" i="7"/>
  <c r="F395" i="7"/>
  <c r="F390" i="7"/>
  <c r="F380" i="7"/>
  <c r="F293" i="7"/>
  <c r="F338" i="7"/>
  <c r="F342" i="7"/>
  <c r="F349" i="7"/>
  <c r="F345" i="7"/>
  <c r="F327" i="7"/>
  <c r="F316" i="7"/>
  <c r="F340" i="7"/>
  <c r="F307" i="7"/>
  <c r="F306" i="7"/>
  <c r="F287" i="7"/>
  <c r="F318" i="7"/>
  <c r="F319" i="7"/>
  <c r="F347" i="7"/>
  <c r="F294" i="7"/>
  <c r="F344" i="7"/>
  <c r="F337" i="7"/>
  <c r="F317" i="7"/>
  <c r="F288" i="7"/>
  <c r="F297" i="7"/>
  <c r="F324" i="7"/>
  <c r="F336" i="7"/>
  <c r="F312" i="7"/>
  <c r="F301" i="7"/>
  <c r="F313" i="7"/>
  <c r="F321" i="7"/>
  <c r="F322" i="7"/>
  <c r="F333" i="7"/>
  <c r="F283" i="7"/>
  <c r="F334" i="7"/>
  <c r="F353" i="7"/>
  <c r="F329" i="7"/>
  <c r="F348" i="7"/>
  <c r="F323" i="7"/>
  <c r="F346" i="7"/>
  <c r="F284" i="7"/>
  <c r="F285" i="7"/>
  <c r="F300" i="7"/>
  <c r="F305" i="7"/>
  <c r="F281" i="7"/>
  <c r="F308" i="7"/>
  <c r="F351" i="7"/>
  <c r="F315" i="7"/>
  <c r="F295" i="7"/>
  <c r="F302" i="7"/>
  <c r="F310" i="7"/>
  <c r="F335" i="7"/>
  <c r="F355" i="7"/>
  <c r="F350" i="7"/>
  <c r="F279" i="7"/>
  <c r="F341" i="7"/>
  <c r="F331" i="7"/>
  <c r="F328" i="7"/>
  <c r="F339" i="7"/>
  <c r="F298" i="7"/>
  <c r="F290" i="7"/>
  <c r="F311" i="7"/>
  <c r="F304" i="7"/>
  <c r="F299" i="7"/>
  <c r="F291" i="7"/>
  <c r="F352" i="7"/>
  <c r="F330" i="7"/>
  <c r="F282" i="7"/>
  <c r="F325" i="7"/>
  <c r="F303" i="7"/>
  <c r="F314" i="7"/>
  <c r="F343" i="7"/>
  <c r="F326" i="7"/>
  <c r="F120" i="7"/>
  <c r="L120" i="7" s="1"/>
  <c r="AS120" i="7" s="1"/>
  <c r="F267" i="7"/>
  <c r="F259" i="7"/>
  <c r="F231" i="7"/>
  <c r="F247" i="7"/>
  <c r="F271" i="7"/>
  <c r="F107" i="7"/>
  <c r="L107" i="7" s="1"/>
  <c r="AS107" i="7" s="1"/>
  <c r="F272" i="7"/>
  <c r="F260" i="7"/>
  <c r="F244" i="7"/>
  <c r="F236" i="7"/>
  <c r="F212" i="7"/>
  <c r="F238" i="7"/>
  <c r="F275" i="7"/>
  <c r="F215" i="7"/>
  <c r="F243" i="7"/>
  <c r="F99" i="7"/>
  <c r="L99" i="7" s="1"/>
  <c r="AS99" i="7" s="1"/>
  <c r="F195" i="7"/>
  <c r="F264" i="7"/>
  <c r="F252" i="7"/>
  <c r="F248" i="7"/>
  <c r="F228" i="7"/>
  <c r="F216" i="7"/>
  <c r="F208" i="7"/>
  <c r="F265" i="7"/>
  <c r="F226" i="7"/>
  <c r="F223" i="7"/>
  <c r="F227" i="7"/>
  <c r="F276" i="7"/>
  <c r="F255" i="7"/>
  <c r="F109" i="7"/>
  <c r="L109" i="7" s="1"/>
  <c r="AS109" i="7" s="1"/>
  <c r="F105" i="7"/>
  <c r="L105" i="7" s="1"/>
  <c r="AS105" i="7" s="1"/>
  <c r="F268" i="7"/>
  <c r="F240" i="7"/>
  <c r="F232" i="7"/>
  <c r="F220" i="7"/>
  <c r="F235" i="7"/>
  <c r="F263" i="7"/>
  <c r="F211" i="7"/>
  <c r="F280" i="7"/>
  <c r="F219" i="7"/>
  <c r="F239" i="7"/>
  <c r="F251" i="7"/>
  <c r="F101" i="7"/>
  <c r="L101" i="7" s="1"/>
  <c r="AS101" i="7" s="1"/>
  <c r="F256" i="7"/>
  <c r="F224" i="7"/>
  <c r="F217" i="7"/>
  <c r="F270" i="7"/>
  <c r="F277" i="7"/>
  <c r="F261" i="7"/>
  <c r="F213" i="7"/>
  <c r="F254" i="7"/>
  <c r="F230" i="7"/>
  <c r="F273" i="7"/>
  <c r="F257" i="7"/>
  <c r="F225" i="7"/>
  <c r="F209" i="7"/>
  <c r="F250" i="7"/>
  <c r="F269" i="7"/>
  <c r="F266" i="7"/>
  <c r="F245" i="7"/>
  <c r="F246" i="7"/>
  <c r="F241" i="7"/>
  <c r="F278" i="7"/>
  <c r="F262" i="7"/>
  <c r="F229" i="7"/>
  <c r="F218" i="7"/>
  <c r="F242" i="7"/>
  <c r="F210" i="7"/>
  <c r="F237" i="7"/>
  <c r="F233" i="7"/>
  <c r="F249" i="7"/>
  <c r="F222" i="7"/>
  <c r="F274" i="7"/>
  <c r="F258" i="7"/>
  <c r="F234" i="7"/>
  <c r="F214" i="7"/>
  <c r="F221" i="7"/>
  <c r="F253" i="7"/>
  <c r="F164" i="7"/>
  <c r="L164" i="7" s="1"/>
  <c r="AS164" i="7" s="1"/>
  <c r="F174" i="7"/>
  <c r="L174" i="7" s="1"/>
  <c r="AS174" i="7" s="1"/>
  <c r="F128" i="7"/>
  <c r="L128" i="7" s="1"/>
  <c r="AS128" i="7" s="1"/>
  <c r="F184" i="7"/>
  <c r="L184" i="7" s="1"/>
  <c r="AS184" i="7" s="1"/>
  <c r="F152" i="7"/>
  <c r="L152" i="7" s="1"/>
  <c r="AS152" i="7" s="1"/>
  <c r="F168" i="7"/>
  <c r="L168" i="7" s="1"/>
  <c r="AS168" i="7" s="1"/>
  <c r="F182" i="7"/>
  <c r="L182" i="7" s="1"/>
  <c r="AS182" i="7" s="1"/>
  <c r="F185" i="7"/>
  <c r="L185" i="7" s="1"/>
  <c r="AS185" i="7" s="1"/>
  <c r="F141" i="7"/>
  <c r="L141" i="7" s="1"/>
  <c r="AS141" i="7" s="1"/>
  <c r="F201" i="7"/>
  <c r="F133" i="7"/>
  <c r="L133" i="7" s="1"/>
  <c r="AS133" i="7" s="1"/>
  <c r="F129" i="7"/>
  <c r="L129" i="7" s="1"/>
  <c r="AS129" i="7" s="1"/>
  <c r="F131" i="7"/>
  <c r="L131" i="7" s="1"/>
  <c r="AS131" i="7" s="1"/>
  <c r="F154" i="7"/>
  <c r="L154" i="7" s="1"/>
  <c r="AS154" i="7" s="1"/>
  <c r="F103" i="7"/>
  <c r="L103" i="7" s="1"/>
  <c r="AS103" i="7" s="1"/>
  <c r="F148" i="7"/>
  <c r="L148" i="7" s="1"/>
  <c r="AS148" i="7" s="1"/>
  <c r="F171" i="7"/>
  <c r="L171" i="7" s="1"/>
  <c r="AS171" i="7" s="1"/>
  <c r="F155" i="7"/>
  <c r="L155" i="7" s="1"/>
  <c r="AS155" i="7" s="1"/>
  <c r="F161" i="7"/>
  <c r="L161" i="7" s="1"/>
  <c r="AS161" i="7" s="1"/>
  <c r="F147" i="7"/>
  <c r="L147" i="7" s="1"/>
  <c r="AS147" i="7" s="1"/>
  <c r="F145" i="7"/>
  <c r="L145" i="7" s="1"/>
  <c r="AS145" i="7" s="1"/>
  <c r="F130" i="7"/>
  <c r="L130" i="7" s="1"/>
  <c r="AS130" i="7" s="1"/>
  <c r="F181" i="7"/>
  <c r="L181" i="7" s="1"/>
  <c r="AS181" i="7" s="1"/>
  <c r="F180" i="7"/>
  <c r="L180" i="7" s="1"/>
  <c r="AS180" i="7" s="1"/>
  <c r="F194" i="7"/>
  <c r="F172" i="7"/>
  <c r="L172" i="7" s="1"/>
  <c r="AS172" i="7" s="1"/>
  <c r="F160" i="7"/>
  <c r="L160" i="7" s="1"/>
  <c r="AS160" i="7" s="1"/>
  <c r="F188" i="7"/>
  <c r="L188" i="7" s="1"/>
  <c r="AS188" i="7" s="1"/>
  <c r="F192" i="7"/>
  <c r="L192" i="7" s="1"/>
  <c r="AS192" i="7" s="1"/>
  <c r="F176" i="7"/>
  <c r="L176" i="7" s="1"/>
  <c r="AS176" i="7" s="1"/>
  <c r="F125" i="7"/>
  <c r="L125" i="7" s="1"/>
  <c r="AS125" i="7" s="1"/>
  <c r="F196" i="7"/>
  <c r="F138" i="7"/>
  <c r="L138" i="7" s="1"/>
  <c r="AS138" i="7" s="1"/>
  <c r="F162" i="7"/>
  <c r="L162" i="7" s="1"/>
  <c r="AS162" i="7" s="1"/>
  <c r="F187" i="7"/>
  <c r="L187" i="7" s="1"/>
  <c r="AS187" i="7" s="1"/>
  <c r="F198" i="7"/>
  <c r="F165" i="7"/>
  <c r="L165" i="7" s="1"/>
  <c r="AS165" i="7" s="1"/>
  <c r="F157" i="7"/>
  <c r="L157" i="7" s="1"/>
  <c r="AS157" i="7" s="1"/>
  <c r="F137" i="7"/>
  <c r="L137" i="7" s="1"/>
  <c r="AS137" i="7" s="1"/>
  <c r="F113" i="7"/>
  <c r="L113" i="7" s="1"/>
  <c r="AS113" i="7" s="1"/>
  <c r="F146" i="7"/>
  <c r="L146" i="7" s="1"/>
  <c r="AS146" i="7" s="1"/>
  <c r="F140" i="7"/>
  <c r="L140" i="7" s="1"/>
  <c r="AS140" i="7" s="1"/>
  <c r="F206" i="7"/>
  <c r="F142" i="7"/>
  <c r="L142" i="7" s="1"/>
  <c r="AS142" i="7" s="1"/>
  <c r="F186" i="7"/>
  <c r="L186" i="7" s="1"/>
  <c r="AS186" i="7" s="1"/>
  <c r="F169" i="7"/>
  <c r="L169" i="7" s="1"/>
  <c r="AS169" i="7" s="1"/>
  <c r="F118" i="7"/>
  <c r="L118" i="7" s="1"/>
  <c r="AS118" i="7" s="1"/>
  <c r="F97" i="7"/>
  <c r="L97" i="7" s="1"/>
  <c r="AS97" i="7" s="1"/>
  <c r="F197" i="7"/>
  <c r="F150" i="7"/>
  <c r="L150" i="7" s="1"/>
  <c r="AS150" i="7" s="1"/>
  <c r="F121" i="7"/>
  <c r="L121" i="7" s="1"/>
  <c r="AS121" i="7" s="1"/>
  <c r="F166" i="7"/>
  <c r="L166" i="7" s="1"/>
  <c r="AS166" i="7" s="1"/>
  <c r="F136" i="7"/>
  <c r="L136" i="7" s="1"/>
  <c r="AS136" i="7" s="1"/>
  <c r="F156" i="7"/>
  <c r="L156" i="7" s="1"/>
  <c r="AS156" i="7" s="1"/>
  <c r="F189" i="7"/>
  <c r="L189" i="7" s="1"/>
  <c r="AS189" i="7" s="1"/>
  <c r="F124" i="7"/>
  <c r="L124" i="7" s="1"/>
  <c r="AS124" i="7" s="1"/>
  <c r="F153" i="7"/>
  <c r="L153" i="7" s="1"/>
  <c r="AS153" i="7" s="1"/>
  <c r="F202" i="7"/>
  <c r="F144" i="7"/>
  <c r="L144" i="7" s="1"/>
  <c r="AS144" i="7" s="1"/>
  <c r="F205" i="7"/>
  <c r="F132" i="7"/>
  <c r="L132" i="7" s="1"/>
  <c r="AS132" i="7" s="1"/>
  <c r="F158" i="7"/>
  <c r="L158" i="7" s="1"/>
  <c r="AS158" i="7" s="1"/>
  <c r="F190" i="7"/>
  <c r="L190" i="7" s="1"/>
  <c r="AS190" i="7" s="1"/>
  <c r="F167" i="7"/>
  <c r="L167" i="7" s="1"/>
  <c r="AS167" i="7" s="1"/>
  <c r="F139" i="7"/>
  <c r="L139" i="7" s="1"/>
  <c r="AS139" i="7" s="1"/>
  <c r="F119" i="7"/>
  <c r="L119" i="7" s="1"/>
  <c r="AS119" i="7" s="1"/>
  <c r="F149" i="7"/>
  <c r="L149" i="7" s="1"/>
  <c r="AS149" i="7" s="1"/>
  <c r="F127" i="7"/>
  <c r="L127" i="7" s="1"/>
  <c r="AS127" i="7" s="1"/>
  <c r="F159" i="7"/>
  <c r="L159" i="7" s="1"/>
  <c r="AS159" i="7" s="1"/>
  <c r="F151" i="7"/>
  <c r="L151" i="7" s="1"/>
  <c r="AS151" i="7" s="1"/>
  <c r="F170" i="7"/>
  <c r="L170" i="7" s="1"/>
  <c r="AS170" i="7" s="1"/>
  <c r="F193" i="7"/>
  <c r="F123" i="7"/>
  <c r="L123" i="7" s="1"/>
  <c r="AS123" i="7" s="1"/>
  <c r="F100" i="7"/>
  <c r="L100" i="7" s="1"/>
  <c r="AS100" i="7" s="1"/>
  <c r="F68" i="7"/>
  <c r="L68" i="7" s="1"/>
  <c r="AS68" i="7" s="1"/>
  <c r="F110" i="7"/>
  <c r="L110" i="7" s="1"/>
  <c r="AS110" i="7" s="1"/>
  <c r="F42" i="7"/>
  <c r="L42" i="7" s="1"/>
  <c r="AS42" i="7" s="1"/>
  <c r="F102" i="7"/>
  <c r="L102" i="7" s="1"/>
  <c r="AS102" i="7" s="1"/>
  <c r="F74" i="7"/>
  <c r="L74" i="7" s="1"/>
  <c r="AS74" i="7" s="1"/>
  <c r="F104" i="7"/>
  <c r="L104" i="7" s="1"/>
  <c r="AS104" i="7" s="1"/>
  <c r="F94" i="7"/>
  <c r="L94" i="7" s="1"/>
  <c r="AS94" i="7" s="1"/>
  <c r="F90" i="7"/>
  <c r="L90" i="7" s="1"/>
  <c r="AS90" i="7" s="1"/>
  <c r="F86" i="7"/>
  <c r="L86" i="7" s="1"/>
  <c r="AS86" i="7" s="1"/>
  <c r="F82" i="7"/>
  <c r="L82" i="7" s="1"/>
  <c r="AS82" i="7" s="1"/>
  <c r="F78" i="7"/>
  <c r="L78" i="7" s="1"/>
  <c r="AS78" i="7" s="1"/>
  <c r="F72" i="7"/>
  <c r="L72" i="7" s="1"/>
  <c r="AS72" i="7" s="1"/>
  <c r="F57" i="7"/>
  <c r="L57" i="7" s="1"/>
  <c r="AS57" i="7" s="1"/>
  <c r="F191" i="7"/>
  <c r="L191" i="7" s="1"/>
  <c r="AS191" i="7" s="1"/>
  <c r="F183" i="7"/>
  <c r="L183" i="7" s="1"/>
  <c r="AS183" i="7" s="1"/>
  <c r="F175" i="7"/>
  <c r="L175" i="7" s="1"/>
  <c r="AS175" i="7" s="1"/>
  <c r="F135" i="7"/>
  <c r="L135" i="7" s="1"/>
  <c r="AS135" i="7" s="1"/>
  <c r="F204" i="7"/>
  <c r="F203" i="7"/>
  <c r="F108" i="7"/>
  <c r="L108" i="7" s="1"/>
  <c r="AS108" i="7" s="1"/>
  <c r="F73" i="7"/>
  <c r="L73" i="7" s="1"/>
  <c r="AS73" i="7" s="1"/>
  <c r="F64" i="7"/>
  <c r="L64" i="7" s="1"/>
  <c r="AS64" i="7" s="1"/>
  <c r="F70" i="7"/>
  <c r="L70" i="7" s="1"/>
  <c r="AS70" i="7" s="1"/>
  <c r="F69" i="7"/>
  <c r="L69" i="7" s="1"/>
  <c r="AS69" i="7" s="1"/>
  <c r="F93" i="7"/>
  <c r="L93" i="7" s="1"/>
  <c r="AS93" i="7" s="1"/>
  <c r="F89" i="7"/>
  <c r="L89" i="7" s="1"/>
  <c r="AS89" i="7" s="1"/>
  <c r="F85" i="7"/>
  <c r="L85" i="7" s="1"/>
  <c r="AS85" i="7" s="1"/>
  <c r="F81" i="7"/>
  <c r="L81" i="7" s="1"/>
  <c r="AS81" i="7" s="1"/>
  <c r="F77" i="7"/>
  <c r="L77" i="7" s="1"/>
  <c r="AS77" i="7" s="1"/>
  <c r="F117" i="7"/>
  <c r="L117" i="7" s="1"/>
  <c r="AS117" i="7" s="1"/>
  <c r="F98" i="7"/>
  <c r="L98" i="7" s="1"/>
  <c r="AS98" i="7" s="1"/>
  <c r="F63" i="7"/>
  <c r="L63" i="7" s="1"/>
  <c r="AS63" i="7" s="1"/>
  <c r="F62" i="7"/>
  <c r="L62" i="7" s="1"/>
  <c r="AS62" i="7" s="1"/>
  <c r="F56" i="7"/>
  <c r="L56" i="7" s="1"/>
  <c r="AS56" i="7" s="1"/>
  <c r="F178" i="7"/>
  <c r="L178" i="7" s="1"/>
  <c r="AS178" i="7" s="1"/>
  <c r="F163" i="7"/>
  <c r="L163" i="7" s="1"/>
  <c r="AS163" i="7" s="1"/>
  <c r="F143" i="7"/>
  <c r="L143" i="7" s="1"/>
  <c r="AS143" i="7" s="1"/>
  <c r="F126" i="7"/>
  <c r="L126" i="7" s="1"/>
  <c r="AS126" i="7" s="1"/>
  <c r="F122" i="7"/>
  <c r="L122" i="7" s="1"/>
  <c r="AS122" i="7" s="1"/>
  <c r="F200" i="7"/>
  <c r="F58" i="7"/>
  <c r="L58" i="7" s="1"/>
  <c r="AS58" i="7" s="1"/>
  <c r="F40" i="7"/>
  <c r="L40" i="7" s="1"/>
  <c r="AS40" i="7" s="1"/>
  <c r="F65" i="7"/>
  <c r="L65" i="7" s="1"/>
  <c r="AS65" i="7" s="1"/>
  <c r="F60" i="7"/>
  <c r="L60" i="7" s="1"/>
  <c r="AS60" i="7" s="1"/>
  <c r="F59" i="7"/>
  <c r="L59" i="7" s="1"/>
  <c r="AS59" i="7" s="1"/>
  <c r="F96" i="7"/>
  <c r="L96" i="7" s="1"/>
  <c r="AS96" i="7" s="1"/>
  <c r="F92" i="7"/>
  <c r="L92" i="7" s="1"/>
  <c r="AS92" i="7" s="1"/>
  <c r="F88" i="7"/>
  <c r="L88" i="7" s="1"/>
  <c r="AS88" i="7" s="1"/>
  <c r="F84" i="7"/>
  <c r="L84" i="7" s="1"/>
  <c r="AS84" i="7" s="1"/>
  <c r="F80" i="7"/>
  <c r="L80" i="7" s="1"/>
  <c r="AS80" i="7" s="1"/>
  <c r="F76" i="7"/>
  <c r="L76" i="7" s="1"/>
  <c r="AS76" i="7" s="1"/>
  <c r="F66" i="7"/>
  <c r="L66" i="7" s="1"/>
  <c r="AS66" i="7" s="1"/>
  <c r="F61" i="7"/>
  <c r="L61" i="7" s="1"/>
  <c r="AS61" i="7" s="1"/>
  <c r="F115" i="7"/>
  <c r="L115" i="7" s="1"/>
  <c r="AS115" i="7" s="1"/>
  <c r="F112" i="7"/>
  <c r="L112" i="7" s="1"/>
  <c r="AS112" i="7" s="1"/>
  <c r="F106" i="7"/>
  <c r="L106" i="7" s="1"/>
  <c r="AS106" i="7" s="1"/>
  <c r="F173" i="7"/>
  <c r="L173" i="7" s="1"/>
  <c r="AS173" i="7" s="1"/>
  <c r="F177" i="7"/>
  <c r="L177" i="7" s="1"/>
  <c r="AS177" i="7" s="1"/>
  <c r="F179" i="7"/>
  <c r="L179" i="7" s="1"/>
  <c r="AS179" i="7" s="1"/>
  <c r="F134" i="7"/>
  <c r="L134" i="7" s="1"/>
  <c r="AS134" i="7" s="1"/>
  <c r="F114" i="7"/>
  <c r="L114" i="7" s="1"/>
  <c r="AS114" i="7" s="1"/>
  <c r="F41" i="7"/>
  <c r="L41" i="7" s="1"/>
  <c r="AS41" i="7" s="1"/>
  <c r="F199" i="7"/>
  <c r="F116" i="7"/>
  <c r="L116" i="7" s="1"/>
  <c r="AS116" i="7" s="1"/>
  <c r="F207" i="7"/>
  <c r="F95" i="7"/>
  <c r="L95" i="7" s="1"/>
  <c r="AS95" i="7" s="1"/>
  <c r="F91" i="7"/>
  <c r="L91" i="7" s="1"/>
  <c r="AS91" i="7" s="1"/>
  <c r="F87" i="7"/>
  <c r="L87" i="7" s="1"/>
  <c r="AS87" i="7" s="1"/>
  <c r="F83" i="7"/>
  <c r="L83" i="7" s="1"/>
  <c r="AS83" i="7" s="1"/>
  <c r="F79" i="7"/>
  <c r="L79" i="7" s="1"/>
  <c r="AS79" i="7" s="1"/>
  <c r="F75" i="7"/>
  <c r="L75" i="7" s="1"/>
  <c r="AS75" i="7" s="1"/>
  <c r="F71" i="7"/>
  <c r="L71" i="7" s="1"/>
  <c r="AS71" i="7" s="1"/>
  <c r="F111" i="7"/>
  <c r="L111" i="7" s="1"/>
  <c r="AS111" i="7" s="1"/>
  <c r="F67" i="7"/>
  <c r="L67" i="7" s="1"/>
  <c r="AS67" i="7" s="1"/>
  <c r="F54" i="7"/>
  <c r="L54" i="7" s="1"/>
  <c r="AS54" i="7" s="1"/>
  <c r="F44" i="7"/>
  <c r="L44" i="7" s="1"/>
  <c r="AS44" i="7" s="1"/>
  <c r="F26" i="7"/>
  <c r="L26" i="7" s="1"/>
  <c r="AS26" i="7" s="1"/>
  <c r="F31" i="7"/>
  <c r="L31" i="7" s="1"/>
  <c r="AS31" i="7" s="1"/>
  <c r="F35" i="7"/>
  <c r="L35" i="7" s="1"/>
  <c r="AS35" i="7" s="1"/>
  <c r="F51" i="7"/>
  <c r="L51" i="7" s="1"/>
  <c r="AS51" i="7" s="1"/>
  <c r="F49" i="7"/>
  <c r="L49" i="7" s="1"/>
  <c r="AS49" i="7" s="1"/>
  <c r="F33" i="7"/>
  <c r="L33" i="7" s="1"/>
  <c r="AS33" i="7" s="1"/>
  <c r="F39" i="7"/>
  <c r="L39" i="7" s="1"/>
  <c r="AS39" i="7" s="1"/>
  <c r="F28" i="7"/>
  <c r="L28" i="7" s="1"/>
  <c r="AS28" i="7" s="1"/>
  <c r="F38" i="7"/>
  <c r="L38" i="7" s="1"/>
  <c r="AS38" i="7" s="1"/>
  <c r="F32" i="7"/>
  <c r="L32" i="7" s="1"/>
  <c r="AS32" i="7" s="1"/>
  <c r="F53" i="7"/>
  <c r="L53" i="7" s="1"/>
  <c r="AS53" i="7" s="1"/>
  <c r="F25" i="7"/>
  <c r="L25" i="7" s="1"/>
  <c r="AS25" i="7" s="1"/>
  <c r="F36" i="7"/>
  <c r="L36" i="7" s="1"/>
  <c r="AS36" i="7" s="1"/>
  <c r="F24" i="7"/>
  <c r="L24" i="7" s="1"/>
  <c r="AS24" i="7" s="1"/>
  <c r="F46" i="7"/>
  <c r="L46" i="7" s="1"/>
  <c r="AS46" i="7" s="1"/>
  <c r="F50" i="7"/>
  <c r="L50" i="7" s="1"/>
  <c r="AS50" i="7" s="1"/>
  <c r="F45" i="7"/>
  <c r="L45" i="7" s="1"/>
  <c r="AS45" i="7" s="1"/>
  <c r="F30" i="7"/>
  <c r="L30" i="7" s="1"/>
  <c r="AS30" i="7" s="1"/>
  <c r="F34" i="7"/>
  <c r="L34" i="7" s="1"/>
  <c r="AS34" i="7" s="1"/>
  <c r="F27" i="7"/>
  <c r="L27" i="7" s="1"/>
  <c r="AS27" i="7" s="1"/>
  <c r="F55" i="7"/>
  <c r="L55" i="7" s="1"/>
  <c r="AS55" i="7" s="1"/>
  <c r="F48" i="7"/>
  <c r="L48" i="7" s="1"/>
  <c r="AS48" i="7" s="1"/>
  <c r="F52" i="7"/>
  <c r="L52" i="7" s="1"/>
  <c r="AS52" i="7" s="1"/>
  <c r="F29" i="7"/>
  <c r="L29" i="7" s="1"/>
  <c r="AS29" i="7" s="1"/>
  <c r="F37" i="7"/>
  <c r="L37" i="7" s="1"/>
  <c r="AS37" i="7" s="1"/>
  <c r="F47" i="7"/>
  <c r="L47" i="7" s="1"/>
  <c r="AS47" i="7" s="1"/>
  <c r="F23" i="7"/>
  <c r="L23" i="7" s="1"/>
  <c r="AS23" i="7" s="1"/>
  <c r="F43" i="7"/>
  <c r="L43" i="7" s="1"/>
  <c r="AS43" i="7" s="1"/>
  <c r="M551" i="7"/>
  <c r="M553" i="7"/>
  <c r="M542" i="7"/>
  <c r="M550" i="7"/>
  <c r="M538" i="7"/>
  <c r="M535" i="7"/>
  <c r="M545" i="7"/>
  <c r="M544" i="7"/>
  <c r="M546" i="7"/>
  <c r="M536" i="7"/>
  <c r="M547" i="7"/>
  <c r="M548" i="7"/>
  <c r="M537" i="7"/>
  <c r="M543" i="7"/>
  <c r="M540" i="7"/>
  <c r="M541" i="7"/>
  <c r="M539" i="7"/>
  <c r="M549" i="7"/>
  <c r="M533" i="7"/>
  <c r="M534" i="7"/>
  <c r="M552" i="7"/>
  <c r="M530" i="7"/>
  <c r="M531" i="7"/>
  <c r="M522" i="7"/>
  <c r="M523" i="7"/>
  <c r="M521" i="7"/>
  <c r="M528" i="7"/>
  <c r="M527" i="7"/>
  <c r="M526" i="7"/>
  <c r="M529" i="7"/>
  <c r="M524" i="7"/>
  <c r="M532" i="7"/>
  <c r="M525" i="7"/>
  <c r="M518" i="7"/>
  <c r="M512" i="7"/>
  <c r="M517" i="7"/>
  <c r="M514" i="7"/>
  <c r="M515" i="7"/>
  <c r="M513" i="7"/>
  <c r="M516" i="7"/>
  <c r="M507" i="7"/>
  <c r="M519" i="7"/>
  <c r="M461" i="7"/>
  <c r="M510" i="7"/>
  <c r="M520" i="7"/>
  <c r="M508" i="7"/>
  <c r="M477" i="7"/>
  <c r="M453" i="7"/>
  <c r="M484" i="7"/>
  <c r="M509" i="7"/>
  <c r="M505" i="7"/>
  <c r="M506" i="7"/>
  <c r="M511" i="7"/>
  <c r="M502" i="7"/>
  <c r="M485" i="7"/>
  <c r="M460" i="7"/>
  <c r="M447" i="7"/>
  <c r="M473" i="7"/>
  <c r="M462" i="7"/>
  <c r="M455" i="7"/>
  <c r="M503" i="7"/>
  <c r="M493" i="7"/>
  <c r="M492" i="7"/>
  <c r="M497" i="7"/>
  <c r="M468" i="7"/>
  <c r="M481" i="7"/>
  <c r="M494" i="7"/>
  <c r="M467" i="7"/>
  <c r="M480" i="7"/>
  <c r="M464" i="7"/>
  <c r="M470" i="7"/>
  <c r="M450" i="7"/>
  <c r="M463" i="7"/>
  <c r="M456" i="7"/>
  <c r="M466" i="7"/>
  <c r="M487" i="7"/>
  <c r="M504" i="7"/>
  <c r="M459" i="7"/>
  <c r="M483" i="7"/>
  <c r="M479" i="7"/>
  <c r="M476" i="7"/>
  <c r="M457" i="7"/>
  <c r="M501" i="7"/>
  <c r="M496" i="7"/>
  <c r="M454" i="7"/>
  <c r="M446" i="7"/>
  <c r="M449" i="7"/>
  <c r="M471" i="7"/>
  <c r="M489" i="7"/>
  <c r="M451" i="7"/>
  <c r="M475" i="7"/>
  <c r="M452" i="7"/>
  <c r="M482" i="7"/>
  <c r="M478" i="7"/>
  <c r="M490" i="7"/>
  <c r="M458" i="7"/>
  <c r="M488" i="7"/>
  <c r="M472" i="7"/>
  <c r="M448" i="7"/>
  <c r="M469" i="7"/>
  <c r="M498" i="7"/>
  <c r="M474" i="7"/>
  <c r="M495" i="7"/>
  <c r="M491" i="7"/>
  <c r="M499" i="7"/>
  <c r="M500" i="7"/>
  <c r="M465" i="7"/>
  <c r="M486" i="7"/>
  <c r="M442" i="7"/>
  <c r="M445" i="7"/>
  <c r="M444" i="7"/>
  <c r="M443" i="7"/>
  <c r="M429" i="7"/>
  <c r="M415" i="7"/>
  <c r="M432" i="7"/>
  <c r="M441" i="7"/>
  <c r="M421" i="7"/>
  <c r="M411" i="7"/>
  <c r="M424" i="7"/>
  <c r="M406" i="7"/>
  <c r="M427" i="7"/>
  <c r="M422" i="7"/>
  <c r="M438" i="7"/>
  <c r="M409" i="7"/>
  <c r="M426" i="7"/>
  <c r="M420" i="7"/>
  <c r="M437" i="7"/>
  <c r="M407" i="7"/>
  <c r="M431" i="7"/>
  <c r="M435" i="7"/>
  <c r="M419" i="7"/>
  <c r="M404" i="7"/>
  <c r="M388" i="7"/>
  <c r="M393" i="7"/>
  <c r="M434" i="7"/>
  <c r="M408" i="7"/>
  <c r="M428" i="7"/>
  <c r="M436" i="7"/>
  <c r="M414" i="7"/>
  <c r="M433" i="7"/>
  <c r="M430" i="7"/>
  <c r="M417" i="7"/>
  <c r="M413" i="7"/>
  <c r="M405" i="7"/>
  <c r="M418" i="7"/>
  <c r="M439" i="7"/>
  <c r="M397" i="7"/>
  <c r="M410" i="7"/>
  <c r="M440" i="7"/>
  <c r="M425" i="7"/>
  <c r="M412" i="7"/>
  <c r="M402" i="7"/>
  <c r="M416" i="7"/>
  <c r="M403" i="7"/>
  <c r="M423" i="7"/>
  <c r="M384" i="7"/>
  <c r="M389" i="7"/>
  <c r="M359" i="7"/>
  <c r="M375" i="7"/>
  <c r="M392" i="7"/>
  <c r="M379" i="7"/>
  <c r="M363" i="7"/>
  <c r="M396" i="7"/>
  <c r="M367" i="7"/>
  <c r="M400" i="7"/>
  <c r="M371" i="7"/>
  <c r="M368" i="7"/>
  <c r="M380" i="7"/>
  <c r="M288" i="7"/>
  <c r="M372" i="7"/>
  <c r="M369" i="7"/>
  <c r="M284" i="7"/>
  <c r="M387" i="7"/>
  <c r="M391" i="7"/>
  <c r="M390" i="7"/>
  <c r="M386" i="7"/>
  <c r="M376" i="7"/>
  <c r="M395" i="7"/>
  <c r="M382" i="7"/>
  <c r="M350" i="7"/>
  <c r="M366" i="7"/>
  <c r="M364" i="7"/>
  <c r="M399" i="7"/>
  <c r="M356" i="7"/>
  <c r="M370" i="7"/>
  <c r="M401" i="7"/>
  <c r="M335" i="7"/>
  <c r="M362" i="7"/>
  <c r="M394" i="7"/>
  <c r="M381" i="7"/>
  <c r="M383" i="7"/>
  <c r="M357" i="7"/>
  <c r="M360" i="7"/>
  <c r="M285" i="7"/>
  <c r="M365" i="7"/>
  <c r="M378" i="7"/>
  <c r="M358" i="7"/>
  <c r="M373" i="7"/>
  <c r="M398" i="7"/>
  <c r="M385" i="7"/>
  <c r="M323" i="7"/>
  <c r="M374" i="7"/>
  <c r="M377" i="7"/>
  <c r="M361" i="7"/>
  <c r="M300" i="7"/>
  <c r="M316" i="7"/>
  <c r="M337" i="7"/>
  <c r="M320" i="7"/>
  <c r="M313" i="7"/>
  <c r="M332" i="7"/>
  <c r="M302" i="7"/>
  <c r="M310" i="7"/>
  <c r="M334" i="7"/>
  <c r="M319" i="7"/>
  <c r="M344" i="7"/>
  <c r="M299" i="7"/>
  <c r="M291" i="7"/>
  <c r="M283" i="7"/>
  <c r="M289" i="7"/>
  <c r="M297" i="7"/>
  <c r="M293" i="7"/>
  <c r="M349" i="7"/>
  <c r="M336" i="7"/>
  <c r="M281" i="7"/>
  <c r="M342" i="7"/>
  <c r="M327" i="7"/>
  <c r="M325" i="7"/>
  <c r="M353" i="7"/>
  <c r="M298" i="7"/>
  <c r="M290" i="7"/>
  <c r="M348" i="7"/>
  <c r="M311" i="7"/>
  <c r="M328" i="7"/>
  <c r="M296" i="7"/>
  <c r="M341" i="7"/>
  <c r="M338" i="7"/>
  <c r="M343" i="7"/>
  <c r="M351" i="7"/>
  <c r="M339" i="7"/>
  <c r="M333" i="7"/>
  <c r="M304" i="7"/>
  <c r="M326" i="7"/>
  <c r="M314" i="7"/>
  <c r="M347" i="7"/>
  <c r="M354" i="7"/>
  <c r="M331" i="7"/>
  <c r="M355" i="7"/>
  <c r="M309" i="7"/>
  <c r="M324" i="7"/>
  <c r="M305" i="7"/>
  <c r="M301" i="7"/>
  <c r="M345" i="7"/>
  <c r="M317" i="7"/>
  <c r="M346" i="7"/>
  <c r="M312" i="7"/>
  <c r="M292" i="7"/>
  <c r="M308" i="7"/>
  <c r="M303" i="7"/>
  <c r="M318" i="7"/>
  <c r="M330" i="7"/>
  <c r="M352" i="7"/>
  <c r="M321" i="7"/>
  <c r="M315" i="7"/>
  <c r="M295" i="7"/>
  <c r="M287" i="7"/>
  <c r="M286" i="7"/>
  <c r="M329" i="7"/>
  <c r="M307" i="7"/>
  <c r="M306" i="7"/>
  <c r="M322" i="7"/>
  <c r="M282" i="7"/>
  <c r="M294" i="7"/>
  <c r="M340" i="7"/>
  <c r="M255" i="7"/>
  <c r="M223" i="7"/>
  <c r="M275" i="7"/>
  <c r="M243" i="7"/>
  <c r="M211" i="7"/>
  <c r="M248" i="7"/>
  <c r="M272" i="7"/>
  <c r="M268" i="7"/>
  <c r="M116" i="7"/>
  <c r="M186" i="7"/>
  <c r="M214" i="7"/>
  <c r="M247" i="7"/>
  <c r="M215" i="7"/>
  <c r="M267" i="7"/>
  <c r="M235" i="7"/>
  <c r="M276" i="7"/>
  <c r="M224" i="7"/>
  <c r="M208" i="7"/>
  <c r="M260" i="7"/>
  <c r="M220" i="7"/>
  <c r="M146" i="7"/>
  <c r="M162" i="7"/>
  <c r="M197" i="7"/>
  <c r="M271" i="7"/>
  <c r="M239" i="7"/>
  <c r="M259" i="7"/>
  <c r="M227" i="7"/>
  <c r="M252" i="7"/>
  <c r="M216" i="7"/>
  <c r="M240" i="7"/>
  <c r="M228" i="7"/>
  <c r="M232" i="7"/>
  <c r="M280" i="7"/>
  <c r="M212" i="7"/>
  <c r="M127" i="7"/>
  <c r="M122" i="7"/>
  <c r="M263" i="7"/>
  <c r="M231" i="7"/>
  <c r="M279" i="7"/>
  <c r="M251" i="7"/>
  <c r="M219" i="7"/>
  <c r="M264" i="7"/>
  <c r="M256" i="7"/>
  <c r="M244" i="7"/>
  <c r="M236" i="7"/>
  <c r="M117" i="7"/>
  <c r="M221" i="7"/>
  <c r="M154" i="7"/>
  <c r="M170" i="7"/>
  <c r="M250" i="7"/>
  <c r="M164" i="7"/>
  <c r="M269" i="7"/>
  <c r="M233" i="7"/>
  <c r="M270" i="7"/>
  <c r="M229" i="7"/>
  <c r="M246" i="7"/>
  <c r="M225" i="7"/>
  <c r="M194" i="7"/>
  <c r="M217" i="7"/>
  <c r="M278" i="7"/>
  <c r="M266" i="7"/>
  <c r="M277" i="7"/>
  <c r="M213" i="7"/>
  <c r="M218" i="7"/>
  <c r="M273" i="7"/>
  <c r="M237" i="7"/>
  <c r="M165" i="7"/>
  <c r="M156" i="7"/>
  <c r="M238" i="7"/>
  <c r="M265" i="7"/>
  <c r="M222" i="7"/>
  <c r="M261" i="7"/>
  <c r="M258" i="7"/>
  <c r="M254" i="7"/>
  <c r="M242" i="7"/>
  <c r="M234" i="7"/>
  <c r="M230" i="7"/>
  <c r="M257" i="7"/>
  <c r="M145" i="7"/>
  <c r="M210" i="7"/>
  <c r="M253" i="7"/>
  <c r="M188" i="7"/>
  <c r="M226" i="7"/>
  <c r="M249" i="7"/>
  <c r="M274" i="7"/>
  <c r="M262" i="7"/>
  <c r="M245" i="7"/>
  <c r="M241" i="7"/>
  <c r="M209" i="7"/>
  <c r="M182" i="7"/>
  <c r="M138" i="7"/>
  <c r="M158" i="7"/>
  <c r="M180" i="7"/>
  <c r="M190" i="7"/>
  <c r="M150" i="7"/>
  <c r="M166" i="7"/>
  <c r="M160" i="7"/>
  <c r="M149" i="7"/>
  <c r="M183" i="7"/>
  <c r="M151" i="7"/>
  <c r="M123" i="7"/>
  <c r="M198" i="7"/>
  <c r="M114" i="7"/>
  <c r="M147" i="7"/>
  <c r="M168" i="7"/>
  <c r="M121" i="7"/>
  <c r="M191" i="7"/>
  <c r="M135" i="7"/>
  <c r="M134" i="7"/>
  <c r="M173" i="7"/>
  <c r="M157" i="7"/>
  <c r="M163" i="7"/>
  <c r="M175" i="7"/>
  <c r="M176" i="7"/>
  <c r="M181" i="7"/>
  <c r="M206" i="7"/>
  <c r="M169" i="7"/>
  <c r="M132" i="7"/>
  <c r="M148" i="7"/>
  <c r="M130" i="7"/>
  <c r="M124" i="7"/>
  <c r="M102" i="7"/>
  <c r="M177" i="7"/>
  <c r="M167" i="7"/>
  <c r="M100" i="7"/>
  <c r="M142" i="7"/>
  <c r="M187" i="7"/>
  <c r="M195" i="7"/>
  <c r="M205" i="7"/>
  <c r="M184" i="7"/>
  <c r="M133" i="7"/>
  <c r="M189" i="7"/>
  <c r="M108" i="7"/>
  <c r="M126" i="7"/>
  <c r="M185" i="7"/>
  <c r="M139" i="7"/>
  <c r="M159" i="7"/>
  <c r="M178" i="7"/>
  <c r="M141" i="7"/>
  <c r="M137" i="7"/>
  <c r="M140" i="7"/>
  <c r="M161" i="7"/>
  <c r="M155" i="7"/>
  <c r="M136" i="7"/>
  <c r="M128" i="7"/>
  <c r="M202" i="7"/>
  <c r="M171" i="7"/>
  <c r="M131" i="7"/>
  <c r="M144" i="7"/>
  <c r="M196" i="7"/>
  <c r="M118" i="7"/>
  <c r="M119" i="7"/>
  <c r="M192" i="7"/>
  <c r="M172" i="7"/>
  <c r="M193" i="7"/>
  <c r="M152" i="7"/>
  <c r="M153" i="7"/>
  <c r="M104" i="7"/>
  <c r="M174" i="7"/>
  <c r="M201" i="7"/>
  <c r="M143" i="7"/>
  <c r="M120" i="7"/>
  <c r="M125" i="7"/>
  <c r="M98" i="7"/>
  <c r="M199" i="7"/>
  <c r="M113" i="7"/>
  <c r="M56" i="7"/>
  <c r="M26" i="7"/>
  <c r="M207" i="7"/>
  <c r="M70" i="7"/>
  <c r="M69" i="7"/>
  <c r="M59" i="7"/>
  <c r="M95" i="7"/>
  <c r="M93" i="7"/>
  <c r="M91" i="7"/>
  <c r="M89" i="7"/>
  <c r="M87" i="7"/>
  <c r="M85" i="7"/>
  <c r="M83" i="7"/>
  <c r="M81" i="7"/>
  <c r="M79" i="7"/>
  <c r="M77" i="7"/>
  <c r="M75" i="7"/>
  <c r="M71" i="7"/>
  <c r="M61" i="7"/>
  <c r="M110" i="7"/>
  <c r="M99" i="7"/>
  <c r="M72" i="7"/>
  <c r="M67" i="7"/>
  <c r="M200" i="7"/>
  <c r="M101" i="7"/>
  <c r="M64" i="7"/>
  <c r="M112" i="7"/>
  <c r="M103" i="7"/>
  <c r="M65" i="7"/>
  <c r="M60" i="7"/>
  <c r="M203" i="7"/>
  <c r="M106" i="7"/>
  <c r="M179" i="7"/>
  <c r="M129" i="7"/>
  <c r="M107" i="7"/>
  <c r="M63" i="7"/>
  <c r="M57" i="7"/>
  <c r="M109" i="7"/>
  <c r="M68" i="7"/>
  <c r="M58" i="7"/>
  <c r="M74" i="7"/>
  <c r="M97" i="7"/>
  <c r="M96" i="7"/>
  <c r="M94" i="7"/>
  <c r="M92" i="7"/>
  <c r="M90" i="7"/>
  <c r="M88" i="7"/>
  <c r="M86" i="7"/>
  <c r="M84" i="7"/>
  <c r="M82" i="7"/>
  <c r="M80" i="7"/>
  <c r="M78" i="7"/>
  <c r="M76" i="7"/>
  <c r="M66" i="7"/>
  <c r="M62" i="7"/>
  <c r="M43" i="7"/>
  <c r="M204" i="7"/>
  <c r="M73" i="7"/>
  <c r="M111" i="7"/>
  <c r="M115" i="7"/>
  <c r="M105" i="7"/>
  <c r="M52" i="7"/>
  <c r="M32" i="7"/>
  <c r="M23" i="7"/>
  <c r="M24" i="7"/>
  <c r="M39" i="7"/>
  <c r="M33" i="7"/>
  <c r="M46" i="7"/>
  <c r="M36" i="7"/>
  <c r="M51" i="7"/>
  <c r="M48" i="7"/>
  <c r="M29" i="7"/>
  <c r="M38" i="7"/>
  <c r="M47" i="7"/>
  <c r="M44" i="7"/>
  <c r="M37" i="7"/>
  <c r="M35" i="7"/>
  <c r="M40" i="7"/>
  <c r="M30" i="7"/>
  <c r="M25" i="7"/>
  <c r="M50" i="7"/>
  <c r="M34" i="7"/>
  <c r="M49" i="7"/>
  <c r="M54" i="7"/>
  <c r="M27" i="7"/>
  <c r="M55" i="7"/>
  <c r="M45" i="7"/>
  <c r="M53" i="7"/>
  <c r="M28" i="7"/>
  <c r="M31" i="7"/>
  <c r="M41" i="7"/>
  <c r="M42" i="7"/>
  <c r="M22" i="7"/>
  <c r="AC553" i="7"/>
  <c r="AC546" i="7"/>
  <c r="AC538" i="7"/>
  <c r="AC536" i="7"/>
  <c r="AC537" i="7"/>
  <c r="AC545" i="7"/>
  <c r="AC543" i="7"/>
  <c r="AC551" i="7"/>
  <c r="AC535" i="7"/>
  <c r="AC544" i="7"/>
  <c r="AC542" i="7"/>
  <c r="AC534" i="7"/>
  <c r="AC529" i="7"/>
  <c r="AC547" i="7"/>
  <c r="AC549" i="7"/>
  <c r="AC550" i="7"/>
  <c r="AC541" i="7"/>
  <c r="AC548" i="7"/>
  <c r="AC525" i="7"/>
  <c r="AC540" i="7"/>
  <c r="AC539" i="7"/>
  <c r="AC552" i="7"/>
  <c r="AC530" i="7"/>
  <c r="AC519" i="7"/>
  <c r="AC512" i="7"/>
  <c r="AC518" i="7"/>
  <c r="AC526" i="7"/>
  <c r="AC527" i="7"/>
  <c r="AC532" i="7"/>
  <c r="AC531" i="7"/>
  <c r="AC528" i="7"/>
  <c r="AC522" i="7"/>
  <c r="AC523" i="7"/>
  <c r="AC524" i="7"/>
  <c r="AC533" i="7"/>
  <c r="AC508" i="7"/>
  <c r="AC497" i="7"/>
  <c r="AC456" i="7"/>
  <c r="AC464" i="7"/>
  <c r="AC485" i="7"/>
  <c r="AC479" i="7"/>
  <c r="AC513" i="7"/>
  <c r="AC517" i="7"/>
  <c r="AC520" i="7"/>
  <c r="AC515" i="7"/>
  <c r="AC457" i="7"/>
  <c r="AC506" i="7"/>
  <c r="AC499" i="7"/>
  <c r="AC509" i="7"/>
  <c r="AC521" i="7"/>
  <c r="AC516" i="7"/>
  <c r="AC463" i="7"/>
  <c r="AC468" i="7"/>
  <c r="AC450" i="7"/>
  <c r="AC507" i="7"/>
  <c r="AC510" i="7"/>
  <c r="AC505" i="7"/>
  <c r="AC514" i="7"/>
  <c r="AC473" i="7"/>
  <c r="AC470" i="7"/>
  <c r="AC511" i="7"/>
  <c r="AC480" i="7"/>
  <c r="AC467" i="7"/>
  <c r="AC484" i="7"/>
  <c r="AC502" i="7"/>
  <c r="AC453" i="7"/>
  <c r="AC481" i="7"/>
  <c r="AC462" i="7"/>
  <c r="AC460" i="7"/>
  <c r="AC461" i="7"/>
  <c r="AC447" i="7"/>
  <c r="AC486" i="7"/>
  <c r="AC489" i="7"/>
  <c r="AC488" i="7"/>
  <c r="AC451" i="7"/>
  <c r="AC459" i="7"/>
  <c r="AC476" i="7"/>
  <c r="AC471" i="7"/>
  <c r="AC466" i="7"/>
  <c r="AC446" i="7"/>
  <c r="AC477" i="7"/>
  <c r="AC491" i="7"/>
  <c r="AC458" i="7"/>
  <c r="AC483" i="7"/>
  <c r="AC478" i="7"/>
  <c r="AC503" i="7"/>
  <c r="AC455" i="7"/>
  <c r="AC498" i="7"/>
  <c r="AC475" i="7"/>
  <c r="AC482" i="7"/>
  <c r="AC454" i="7"/>
  <c r="AC504" i="7"/>
  <c r="AC501" i="7"/>
  <c r="AC492" i="7"/>
  <c r="AC448" i="7"/>
  <c r="AC442" i="7"/>
  <c r="AC472" i="7"/>
  <c r="AC500" i="7"/>
  <c r="AC474" i="7"/>
  <c r="AC496" i="7"/>
  <c r="AC452" i="7"/>
  <c r="AC490" i="7"/>
  <c r="AC495" i="7"/>
  <c r="AC487" i="7"/>
  <c r="AC465" i="7"/>
  <c r="AC449" i="7"/>
  <c r="AC469" i="7"/>
  <c r="AC494" i="7"/>
  <c r="AC493" i="7"/>
  <c r="AC445" i="7"/>
  <c r="AC441" i="7"/>
  <c r="AC444" i="7"/>
  <c r="AC443" i="7"/>
  <c r="AC423" i="7"/>
  <c r="AC434" i="7"/>
  <c r="AC424" i="7"/>
  <c r="AC407" i="7"/>
  <c r="AC428" i="7"/>
  <c r="AC420" i="7"/>
  <c r="AC436" i="7"/>
  <c r="AC433" i="7"/>
  <c r="AC414" i="7"/>
  <c r="AC440" i="7"/>
  <c r="AC431" i="7"/>
  <c r="AC438" i="7"/>
  <c r="AC416" i="7"/>
  <c r="AC403" i="7"/>
  <c r="AC411" i="7"/>
  <c r="AC429" i="7"/>
  <c r="AC421" i="7"/>
  <c r="AC437" i="7"/>
  <c r="AC415" i="7"/>
  <c r="AC406" i="7"/>
  <c r="AC385" i="7"/>
  <c r="AC390" i="7"/>
  <c r="AC356" i="7"/>
  <c r="AC368" i="7"/>
  <c r="AC381" i="7"/>
  <c r="AC405" i="7"/>
  <c r="AC412" i="7"/>
  <c r="AC376" i="7"/>
  <c r="AC380" i="7"/>
  <c r="AC422" i="7"/>
  <c r="AC364" i="7"/>
  <c r="AC426" i="7"/>
  <c r="AC409" i="7"/>
  <c r="AC418" i="7"/>
  <c r="AC408" i="7"/>
  <c r="AC435" i="7"/>
  <c r="AC427" i="7"/>
  <c r="AC419" i="7"/>
  <c r="AC417" i="7"/>
  <c r="AC432" i="7"/>
  <c r="AC410" i="7"/>
  <c r="AC402" i="7"/>
  <c r="AC389" i="7"/>
  <c r="AC360" i="7"/>
  <c r="AC372" i="7"/>
  <c r="AC430" i="7"/>
  <c r="AC404" i="7"/>
  <c r="AC413" i="7"/>
  <c r="AC425" i="7"/>
  <c r="AC439" i="7"/>
  <c r="AC359" i="7"/>
  <c r="AC384" i="7"/>
  <c r="AC400" i="7"/>
  <c r="AC396" i="7"/>
  <c r="AC367" i="7"/>
  <c r="AC379" i="7"/>
  <c r="AC393" i="7"/>
  <c r="AC375" i="7"/>
  <c r="AC388" i="7"/>
  <c r="AC397" i="7"/>
  <c r="AC371" i="7"/>
  <c r="AC303" i="7"/>
  <c r="AC302" i="7"/>
  <c r="AC347" i="7"/>
  <c r="AC342" i="7"/>
  <c r="AC351" i="7"/>
  <c r="AC329" i="7"/>
  <c r="AC293" i="7"/>
  <c r="AC373" i="7"/>
  <c r="AC377" i="7"/>
  <c r="AC355" i="7"/>
  <c r="AC338" i="7"/>
  <c r="AC297" i="7"/>
  <c r="AC392" i="7"/>
  <c r="AC361" i="7"/>
  <c r="AC317" i="7"/>
  <c r="AC337" i="7"/>
  <c r="AC343" i="7"/>
  <c r="AC325" i="7"/>
  <c r="AC346" i="7"/>
  <c r="AC358" i="7"/>
  <c r="AC362" i="7"/>
  <c r="AC394" i="7"/>
  <c r="AC341" i="7"/>
  <c r="AC383" i="7"/>
  <c r="AC369" i="7"/>
  <c r="AC401" i="7"/>
  <c r="AC363" i="7"/>
  <c r="AC336" i="7"/>
  <c r="AC374" i="7"/>
  <c r="AC365" i="7"/>
  <c r="AC333" i="7"/>
  <c r="AC321" i="7"/>
  <c r="AC300" i="7"/>
  <c r="AC339" i="7"/>
  <c r="AC378" i="7"/>
  <c r="AC398" i="7"/>
  <c r="AC345" i="7"/>
  <c r="AC399" i="7"/>
  <c r="AC391" i="7"/>
  <c r="AC386" i="7"/>
  <c r="AC370" i="7"/>
  <c r="AC366" i="7"/>
  <c r="AC382" i="7"/>
  <c r="AC327" i="7"/>
  <c r="AC387" i="7"/>
  <c r="AC331" i="7"/>
  <c r="AC357" i="7"/>
  <c r="AC395" i="7"/>
  <c r="AC281" i="7"/>
  <c r="AC308" i="7"/>
  <c r="AC335" i="7"/>
  <c r="AC332" i="7"/>
  <c r="AC313" i="7"/>
  <c r="AC312" i="7"/>
  <c r="AC214" i="7"/>
  <c r="AC258" i="7"/>
  <c r="AC213" i="7"/>
  <c r="AC221" i="7"/>
  <c r="AC229" i="7"/>
  <c r="AC237" i="7"/>
  <c r="AC245" i="7"/>
  <c r="AC253" i="7"/>
  <c r="AC261" i="7"/>
  <c r="AC269" i="7"/>
  <c r="AC291" i="7"/>
  <c r="AC299" i="7"/>
  <c r="AC287" i="7"/>
  <c r="AC334" i="7"/>
  <c r="AC318" i="7"/>
  <c r="AC310" i="7"/>
  <c r="AC330" i="7"/>
  <c r="AC289" i="7"/>
  <c r="AC292" i="7"/>
  <c r="AC296" i="7"/>
  <c r="AC288" i="7"/>
  <c r="AC309" i="7"/>
  <c r="AC320" i="7"/>
  <c r="AC328" i="7"/>
  <c r="AC326" i="7"/>
  <c r="AC311" i="7"/>
  <c r="AC305" i="7"/>
  <c r="AC286" i="7"/>
  <c r="AC307" i="7"/>
  <c r="AC215" i="7"/>
  <c r="AC223" i="7"/>
  <c r="AC231" i="7"/>
  <c r="AC239" i="7"/>
  <c r="AC247" i="7"/>
  <c r="AC255" i="7"/>
  <c r="AC263" i="7"/>
  <c r="AC271" i="7"/>
  <c r="AC290" i="7"/>
  <c r="AC353" i="7"/>
  <c r="AC285" i="7"/>
  <c r="AC324" i="7"/>
  <c r="AC350" i="7"/>
  <c r="AC354" i="7"/>
  <c r="AC277" i="7"/>
  <c r="AC218" i="7"/>
  <c r="AC222" i="7"/>
  <c r="AC234" i="7"/>
  <c r="AC209" i="7"/>
  <c r="AC217" i="7"/>
  <c r="AC225" i="7"/>
  <c r="AC233" i="7"/>
  <c r="AC241" i="7"/>
  <c r="AC249" i="7"/>
  <c r="AC257" i="7"/>
  <c r="AC265" i="7"/>
  <c r="AC273" i="7"/>
  <c r="AC304" i="7"/>
  <c r="AC295" i="7"/>
  <c r="AC314" i="7"/>
  <c r="AC319" i="7"/>
  <c r="AC301" i="7"/>
  <c r="AC323" i="7"/>
  <c r="AC349" i="7"/>
  <c r="AC284" i="7"/>
  <c r="AC316" i="7"/>
  <c r="AC283" i="7"/>
  <c r="AC315" i="7"/>
  <c r="AC282" i="7"/>
  <c r="AC340" i="7"/>
  <c r="AC306" i="7"/>
  <c r="AC322" i="7"/>
  <c r="AC211" i="7"/>
  <c r="AC219" i="7"/>
  <c r="AC227" i="7"/>
  <c r="AC235" i="7"/>
  <c r="AC243" i="7"/>
  <c r="AC251" i="7"/>
  <c r="AC259" i="7"/>
  <c r="AC267" i="7"/>
  <c r="AC275" i="7"/>
  <c r="AC352" i="7"/>
  <c r="AC280" i="7"/>
  <c r="AC276" i="7"/>
  <c r="AC298" i="7"/>
  <c r="AC294" i="7"/>
  <c r="AC348" i="7"/>
  <c r="AC344" i="7"/>
  <c r="AC264" i="7"/>
  <c r="AC272" i="7"/>
  <c r="AC232" i="7"/>
  <c r="AC216" i="7"/>
  <c r="AC248" i="7"/>
  <c r="AC224" i="7"/>
  <c r="AC220" i="7"/>
  <c r="AC228" i="7"/>
  <c r="AC137" i="7"/>
  <c r="AC129" i="7"/>
  <c r="AC187" i="7"/>
  <c r="AC196" i="7"/>
  <c r="AC130" i="7"/>
  <c r="AC150" i="7"/>
  <c r="AC166" i="7"/>
  <c r="AC256" i="7"/>
  <c r="AC208" i="7"/>
  <c r="AC212" i="7"/>
  <c r="AC121" i="7"/>
  <c r="AC140" i="7"/>
  <c r="AC131" i="7"/>
  <c r="AC126" i="7"/>
  <c r="AC182" i="7"/>
  <c r="AC279" i="7"/>
  <c r="AC124" i="7"/>
  <c r="AC136" i="7"/>
  <c r="AC142" i="7"/>
  <c r="AC158" i="7"/>
  <c r="AC174" i="7"/>
  <c r="AC260" i="7"/>
  <c r="AC240" i="7"/>
  <c r="AC252" i="7"/>
  <c r="AC244" i="7"/>
  <c r="AC236" i="7"/>
  <c r="AC268" i="7"/>
  <c r="AC155" i="7"/>
  <c r="AC171" i="7"/>
  <c r="AC118" i="7"/>
  <c r="AC138" i="7"/>
  <c r="AC190" i="7"/>
  <c r="AC262" i="7"/>
  <c r="AC278" i="7"/>
  <c r="AC270" i="7"/>
  <c r="AC254" i="7"/>
  <c r="AC242" i="7"/>
  <c r="AC238" i="7"/>
  <c r="AC274" i="7"/>
  <c r="AC250" i="7"/>
  <c r="AC226" i="7"/>
  <c r="AC198" i="7"/>
  <c r="AC266" i="7"/>
  <c r="AC246" i="7"/>
  <c r="AC230" i="7"/>
  <c r="AC210" i="7"/>
  <c r="AC206" i="7"/>
  <c r="AC149" i="7"/>
  <c r="AC202" i="7"/>
  <c r="AC104" i="7"/>
  <c r="AC117" i="7"/>
  <c r="AC185" i="7"/>
  <c r="AC191" i="7"/>
  <c r="AC146" i="7"/>
  <c r="AC106" i="7"/>
  <c r="AC175" i="7"/>
  <c r="AC151" i="7"/>
  <c r="AC125" i="7"/>
  <c r="AC102" i="7"/>
  <c r="AC178" i="7"/>
  <c r="AC173" i="7"/>
  <c r="AC98" i="7"/>
  <c r="AC116" i="7"/>
  <c r="AC161" i="7"/>
  <c r="AC195" i="7"/>
  <c r="AC156" i="7"/>
  <c r="AC148" i="7"/>
  <c r="AC169" i="7"/>
  <c r="AC159" i="7"/>
  <c r="AC172" i="7"/>
  <c r="AC120" i="7"/>
  <c r="AC180" i="7"/>
  <c r="AC154" i="7"/>
  <c r="AC143" i="7"/>
  <c r="AC132" i="7"/>
  <c r="AC145" i="7"/>
  <c r="AC163" i="7"/>
  <c r="AC192" i="7"/>
  <c r="AC179" i="7"/>
  <c r="AC139" i="7"/>
  <c r="AC134" i="7"/>
  <c r="AC165" i="7"/>
  <c r="AC141" i="7"/>
  <c r="AC153" i="7"/>
  <c r="AC188" i="7"/>
  <c r="AC193" i="7"/>
  <c r="AC144" i="7"/>
  <c r="AC189" i="7"/>
  <c r="AC184" i="7"/>
  <c r="AC128" i="7"/>
  <c r="AC157" i="7"/>
  <c r="AC170" i="7"/>
  <c r="AC194" i="7"/>
  <c r="AC177" i="7"/>
  <c r="AC183" i="7"/>
  <c r="AC122" i="7"/>
  <c r="AC160" i="7"/>
  <c r="AC119" i="7"/>
  <c r="AC162" i="7"/>
  <c r="AC114" i="7"/>
  <c r="AC167" i="7"/>
  <c r="AC181" i="7"/>
  <c r="AC186" i="7"/>
  <c r="AC201" i="7"/>
  <c r="AC176" i="7"/>
  <c r="AC147" i="7"/>
  <c r="AC197" i="7"/>
  <c r="AC168" i="7"/>
  <c r="AC133" i="7"/>
  <c r="AC152" i="7"/>
  <c r="AC108" i="7"/>
  <c r="AC205" i="7"/>
  <c r="AC69" i="7"/>
  <c r="AC34" i="7"/>
  <c r="AC71" i="7"/>
  <c r="AC112" i="7"/>
  <c r="AC62" i="7"/>
  <c r="AC207" i="7"/>
  <c r="AC58" i="7"/>
  <c r="AC100" i="7"/>
  <c r="AC135" i="7"/>
  <c r="AC74" i="7"/>
  <c r="AC70" i="7"/>
  <c r="AC59" i="7"/>
  <c r="AC46" i="7"/>
  <c r="AC48" i="7"/>
  <c r="AC52" i="7"/>
  <c r="AC54" i="7"/>
  <c r="AC203" i="7"/>
  <c r="AC115" i="7"/>
  <c r="AC97" i="7"/>
  <c r="AC96" i="7"/>
  <c r="AC94" i="7"/>
  <c r="AC92" i="7"/>
  <c r="AC90" i="7"/>
  <c r="AC88" i="7"/>
  <c r="AC86" i="7"/>
  <c r="AC84" i="7"/>
  <c r="AC82" i="7"/>
  <c r="AC80" i="7"/>
  <c r="AC78" i="7"/>
  <c r="AC76" i="7"/>
  <c r="AC66" i="7"/>
  <c r="AC110" i="7"/>
  <c r="AC99" i="7"/>
  <c r="AC56" i="7"/>
  <c r="AC200" i="7"/>
  <c r="AC68" i="7"/>
  <c r="AC164" i="7"/>
  <c r="AC127" i="7"/>
  <c r="AC103" i="7"/>
  <c r="AC29" i="7"/>
  <c r="AC33" i="7"/>
  <c r="AC35" i="7"/>
  <c r="AC39" i="7"/>
  <c r="AC105" i="7"/>
  <c r="AC107" i="7"/>
  <c r="AC72" i="7"/>
  <c r="AC67" i="7"/>
  <c r="AC113" i="7"/>
  <c r="AC64" i="7"/>
  <c r="AC111" i="7"/>
  <c r="AC123" i="7"/>
  <c r="AC65" i="7"/>
  <c r="AC60" i="7"/>
  <c r="AC51" i="7"/>
  <c r="AC95" i="7"/>
  <c r="AC93" i="7"/>
  <c r="AC91" i="7"/>
  <c r="AC89" i="7"/>
  <c r="AC87" i="7"/>
  <c r="AC85" i="7"/>
  <c r="AC83" i="7"/>
  <c r="AC81" i="7"/>
  <c r="AC79" i="7"/>
  <c r="AC77" i="7"/>
  <c r="AC75" i="7"/>
  <c r="AC61" i="7"/>
  <c r="AC109" i="7"/>
  <c r="AC199" i="7"/>
  <c r="AC63" i="7"/>
  <c r="AC57" i="7"/>
  <c r="AC204" i="7"/>
  <c r="AC101" i="7"/>
  <c r="AC73" i="7"/>
  <c r="AC50" i="7"/>
  <c r="AC32" i="7"/>
  <c r="AC38" i="7"/>
  <c r="AC36" i="7"/>
  <c r="AC53" i="7"/>
  <c r="AC44" i="7"/>
  <c r="AC23" i="7"/>
  <c r="AC45" i="7"/>
  <c r="AC41" i="7"/>
  <c r="AC49" i="7"/>
  <c r="AC27" i="7"/>
  <c r="AC43" i="7"/>
  <c r="AC42" i="7"/>
  <c r="AC31" i="7"/>
  <c r="AC40" i="7"/>
  <c r="AC26" i="7"/>
  <c r="AC28" i="7"/>
  <c r="AC55" i="7"/>
  <c r="AC30" i="7"/>
  <c r="AC37" i="7"/>
  <c r="AC24" i="7"/>
  <c r="AC25" i="7"/>
  <c r="AC47" i="7"/>
  <c r="R542" i="7"/>
  <c r="T542" i="7" s="1"/>
  <c r="R551" i="7"/>
  <c r="T551" i="7" s="1"/>
  <c r="R550" i="7"/>
  <c r="T550" i="7" s="1"/>
  <c r="R553" i="7"/>
  <c r="T553" i="7" s="1"/>
  <c r="R541" i="7"/>
  <c r="T541" i="7" s="1"/>
  <c r="R547" i="7"/>
  <c r="T547" i="7" s="1"/>
  <c r="R533" i="7"/>
  <c r="T533" i="7" s="1"/>
  <c r="R537" i="7"/>
  <c r="T537" i="7" s="1"/>
  <c r="R538" i="7"/>
  <c r="T538" i="7" s="1"/>
  <c r="R536" i="7"/>
  <c r="T536" i="7" s="1"/>
  <c r="R549" i="7"/>
  <c r="T549" i="7" s="1"/>
  <c r="R546" i="7"/>
  <c r="T546" i="7" s="1"/>
  <c r="R548" i="7"/>
  <c r="T548" i="7" s="1"/>
  <c r="R545" i="7"/>
  <c r="T545" i="7" s="1"/>
  <c r="R544" i="7"/>
  <c r="T544" i="7" s="1"/>
  <c r="R552" i="7"/>
  <c r="T552" i="7" s="1"/>
  <c r="R534" i="7"/>
  <c r="T534" i="7" s="1"/>
  <c r="R539" i="7"/>
  <c r="T539" i="7" s="1"/>
  <c r="R543" i="7"/>
  <c r="T543" i="7" s="1"/>
  <c r="R535" i="7"/>
  <c r="T535" i="7" s="1"/>
  <c r="R540" i="7"/>
  <c r="T540" i="7" s="1"/>
  <c r="R528" i="7"/>
  <c r="T528" i="7" s="1"/>
  <c r="R530" i="7"/>
  <c r="T530" i="7" s="1"/>
  <c r="R523" i="7"/>
  <c r="T523" i="7" s="1"/>
  <c r="R529" i="7"/>
  <c r="T529" i="7" s="1"/>
  <c r="R527" i="7"/>
  <c r="T527" i="7" s="1"/>
  <c r="R526" i="7"/>
  <c r="T526" i="7" s="1"/>
  <c r="R525" i="7"/>
  <c r="T525" i="7" s="1"/>
  <c r="R524" i="7"/>
  <c r="T524" i="7" s="1"/>
  <c r="R522" i="7"/>
  <c r="T522" i="7" s="1"/>
  <c r="R532" i="7"/>
  <c r="T532" i="7" s="1"/>
  <c r="R531" i="7"/>
  <c r="T531" i="7" s="1"/>
  <c r="R521" i="7"/>
  <c r="T521" i="7" s="1"/>
  <c r="R512" i="7"/>
  <c r="T512" i="7" s="1"/>
  <c r="R518" i="7"/>
  <c r="T518" i="7" s="1"/>
  <c r="R484" i="7"/>
  <c r="T484" i="7" s="1"/>
  <c r="R453" i="7"/>
  <c r="T453" i="7" s="1"/>
  <c r="R509" i="7"/>
  <c r="T509" i="7" s="1"/>
  <c r="R520" i="7"/>
  <c r="T520" i="7" s="1"/>
  <c r="R511" i="7"/>
  <c r="T511" i="7" s="1"/>
  <c r="R510" i="7"/>
  <c r="T510" i="7" s="1"/>
  <c r="R519" i="7"/>
  <c r="T519" i="7" s="1"/>
  <c r="R461" i="7"/>
  <c r="T461" i="7" s="1"/>
  <c r="R508" i="7"/>
  <c r="T508" i="7" s="1"/>
  <c r="R517" i="7"/>
  <c r="T517" i="7" s="1"/>
  <c r="R477" i="7"/>
  <c r="T477" i="7" s="1"/>
  <c r="R506" i="7"/>
  <c r="T506" i="7" s="1"/>
  <c r="R515" i="7"/>
  <c r="T515" i="7" s="1"/>
  <c r="R513" i="7"/>
  <c r="T513" i="7" s="1"/>
  <c r="R505" i="7"/>
  <c r="T505" i="7" s="1"/>
  <c r="R516" i="7"/>
  <c r="T516" i="7" s="1"/>
  <c r="R514" i="7"/>
  <c r="T514" i="7" s="1"/>
  <c r="R507" i="7"/>
  <c r="T507" i="7" s="1"/>
  <c r="R462" i="7"/>
  <c r="T462" i="7" s="1"/>
  <c r="R485" i="7"/>
  <c r="T485" i="7" s="1"/>
  <c r="R479" i="7"/>
  <c r="T479" i="7" s="1"/>
  <c r="R481" i="7"/>
  <c r="T481" i="7" s="1"/>
  <c r="R476" i="7"/>
  <c r="T476" i="7" s="1"/>
  <c r="R450" i="7"/>
  <c r="T450" i="7" s="1"/>
  <c r="R460" i="7"/>
  <c r="T460" i="7" s="1"/>
  <c r="R447" i="7"/>
  <c r="T447" i="7" s="1"/>
  <c r="R496" i="7"/>
  <c r="T496" i="7" s="1"/>
  <c r="R452" i="7"/>
  <c r="T452" i="7" s="1"/>
  <c r="R456" i="7"/>
  <c r="T456" i="7" s="1"/>
  <c r="R497" i="7"/>
  <c r="T497" i="7" s="1"/>
  <c r="R464" i="7"/>
  <c r="T464" i="7" s="1"/>
  <c r="R467" i="7"/>
  <c r="T467" i="7" s="1"/>
  <c r="R480" i="7"/>
  <c r="T480" i="7" s="1"/>
  <c r="R463" i="7"/>
  <c r="T463" i="7" s="1"/>
  <c r="R466" i="7"/>
  <c r="T466" i="7" s="1"/>
  <c r="R493" i="7"/>
  <c r="T493" i="7" s="1"/>
  <c r="R487" i="7"/>
  <c r="T487" i="7" s="1"/>
  <c r="R455" i="7"/>
  <c r="T455" i="7" s="1"/>
  <c r="R503" i="7"/>
  <c r="T503" i="7" s="1"/>
  <c r="R501" i="7"/>
  <c r="T501" i="7" s="1"/>
  <c r="R492" i="7"/>
  <c r="T492" i="7" s="1"/>
  <c r="R500" i="7"/>
  <c r="T500" i="7" s="1"/>
  <c r="R448" i="7"/>
  <c r="T448" i="7" s="1"/>
  <c r="R454" i="7"/>
  <c r="T454" i="7" s="1"/>
  <c r="R502" i="7"/>
  <c r="T502" i="7" s="1"/>
  <c r="R473" i="7"/>
  <c r="T473" i="7" s="1"/>
  <c r="R499" i="7"/>
  <c r="T499" i="7" s="1"/>
  <c r="R494" i="7"/>
  <c r="T494" i="7" s="1"/>
  <c r="R469" i="7"/>
  <c r="T469" i="7" s="1"/>
  <c r="R483" i="7"/>
  <c r="T483" i="7" s="1"/>
  <c r="R478" i="7"/>
  <c r="T478" i="7" s="1"/>
  <c r="R490" i="7"/>
  <c r="T490" i="7" s="1"/>
  <c r="R458" i="7"/>
  <c r="T458" i="7" s="1"/>
  <c r="R472" i="7"/>
  <c r="T472" i="7" s="1"/>
  <c r="R459" i="7"/>
  <c r="T459" i="7" s="1"/>
  <c r="R468" i="7"/>
  <c r="T468" i="7" s="1"/>
  <c r="R504" i="7"/>
  <c r="T504" i="7" s="1"/>
  <c r="R465" i="7"/>
  <c r="T465" i="7" s="1"/>
  <c r="R449" i="7"/>
  <c r="T449" i="7" s="1"/>
  <c r="R486" i="7"/>
  <c r="T486" i="7" s="1"/>
  <c r="R451" i="7"/>
  <c r="T451" i="7" s="1"/>
  <c r="R488" i="7"/>
  <c r="T488" i="7" s="1"/>
  <c r="R495" i="7"/>
  <c r="T495" i="7" s="1"/>
  <c r="R475" i="7"/>
  <c r="T475" i="7" s="1"/>
  <c r="R482" i="7"/>
  <c r="T482" i="7" s="1"/>
  <c r="R470" i="7"/>
  <c r="T470" i="7" s="1"/>
  <c r="R457" i="7"/>
  <c r="T457" i="7" s="1"/>
  <c r="R498" i="7"/>
  <c r="T498" i="7" s="1"/>
  <c r="R474" i="7"/>
  <c r="T474" i="7" s="1"/>
  <c r="R489" i="7"/>
  <c r="T489" i="7" s="1"/>
  <c r="R491" i="7"/>
  <c r="T491" i="7" s="1"/>
  <c r="R446" i="7"/>
  <c r="T446" i="7" s="1"/>
  <c r="R471" i="7"/>
  <c r="T471" i="7" s="1"/>
  <c r="R445" i="7"/>
  <c r="T445" i="7" s="1"/>
  <c r="R442" i="7"/>
  <c r="T442" i="7" s="1"/>
  <c r="R443" i="7"/>
  <c r="T443" i="7" s="1"/>
  <c r="R444" i="7"/>
  <c r="T444" i="7" s="1"/>
  <c r="R441" i="7"/>
  <c r="T441" i="7" s="1"/>
  <c r="R429" i="7"/>
  <c r="T429" i="7" s="1"/>
  <c r="R421" i="7"/>
  <c r="T421" i="7" s="1"/>
  <c r="R432" i="7"/>
  <c r="T432" i="7" s="1"/>
  <c r="R415" i="7"/>
  <c r="T415" i="7" s="1"/>
  <c r="R437" i="7"/>
  <c r="T437" i="7" s="1"/>
  <c r="R416" i="7"/>
  <c r="T416" i="7" s="1"/>
  <c r="R397" i="7"/>
  <c r="T397" i="7" s="1"/>
  <c r="R424" i="7"/>
  <c r="T424" i="7" s="1"/>
  <c r="R434" i="7"/>
  <c r="T434" i="7" s="1"/>
  <c r="R408" i="7"/>
  <c r="T408" i="7" s="1"/>
  <c r="R431" i="7"/>
  <c r="T431" i="7" s="1"/>
  <c r="R388" i="7"/>
  <c r="T388" i="7" s="1"/>
  <c r="R419" i="7"/>
  <c r="T419" i="7" s="1"/>
  <c r="R404" i="7"/>
  <c r="T404" i="7" s="1"/>
  <c r="R411" i="7"/>
  <c r="T411" i="7" s="1"/>
  <c r="R425" i="7"/>
  <c r="T425" i="7" s="1"/>
  <c r="R413" i="7"/>
  <c r="T413" i="7" s="1"/>
  <c r="R405" i="7"/>
  <c r="T405" i="7" s="1"/>
  <c r="R414" i="7"/>
  <c r="T414" i="7" s="1"/>
  <c r="R420" i="7"/>
  <c r="T420" i="7" s="1"/>
  <c r="R433" i="7"/>
  <c r="T433" i="7" s="1"/>
  <c r="R428" i="7"/>
  <c r="T428" i="7" s="1"/>
  <c r="R440" i="7"/>
  <c r="T440" i="7" s="1"/>
  <c r="R407" i="7"/>
  <c r="T407" i="7" s="1"/>
  <c r="R435" i="7"/>
  <c r="T435" i="7" s="1"/>
  <c r="R430" i="7"/>
  <c r="T430" i="7" s="1"/>
  <c r="R417" i="7"/>
  <c r="T417" i="7" s="1"/>
  <c r="R438" i="7"/>
  <c r="T438" i="7" s="1"/>
  <c r="R418" i="7"/>
  <c r="T418" i="7" s="1"/>
  <c r="R439" i="7"/>
  <c r="T439" i="7" s="1"/>
  <c r="R393" i="7"/>
  <c r="T393" i="7" s="1"/>
  <c r="R427" i="7"/>
  <c r="T427" i="7" s="1"/>
  <c r="R422" i="7"/>
  <c r="T422" i="7" s="1"/>
  <c r="R402" i="7"/>
  <c r="T402" i="7" s="1"/>
  <c r="R406" i="7"/>
  <c r="T406" i="7" s="1"/>
  <c r="R403" i="7"/>
  <c r="T403" i="7" s="1"/>
  <c r="R436" i="7"/>
  <c r="T436" i="7" s="1"/>
  <c r="R412" i="7"/>
  <c r="T412" i="7" s="1"/>
  <c r="R423" i="7"/>
  <c r="T423" i="7" s="1"/>
  <c r="R426" i="7"/>
  <c r="T426" i="7" s="1"/>
  <c r="R409" i="7"/>
  <c r="T409" i="7" s="1"/>
  <c r="R410" i="7"/>
  <c r="T410" i="7" s="1"/>
  <c r="R384" i="7"/>
  <c r="T384" i="7" s="1"/>
  <c r="R392" i="7"/>
  <c r="T392" i="7" s="1"/>
  <c r="R396" i="7"/>
  <c r="T396" i="7" s="1"/>
  <c r="R371" i="7"/>
  <c r="T371" i="7" s="1"/>
  <c r="R359" i="7"/>
  <c r="T359" i="7" s="1"/>
  <c r="R375" i="7"/>
  <c r="T375" i="7" s="1"/>
  <c r="R335" i="7"/>
  <c r="T335" i="7" s="1"/>
  <c r="R363" i="7"/>
  <c r="T363" i="7" s="1"/>
  <c r="R367" i="7"/>
  <c r="T367" i="7" s="1"/>
  <c r="R400" i="7"/>
  <c r="T400" i="7" s="1"/>
  <c r="R379" i="7"/>
  <c r="T379" i="7" s="1"/>
  <c r="R323" i="7"/>
  <c r="T323" i="7" s="1"/>
  <c r="R285" i="7"/>
  <c r="T285" i="7" s="1"/>
  <c r="R389" i="7"/>
  <c r="T389" i="7" s="1"/>
  <c r="R366" i="7"/>
  <c r="T366" i="7" s="1"/>
  <c r="R356" i="7"/>
  <c r="T356" i="7" s="1"/>
  <c r="R401" i="7"/>
  <c r="T401" i="7" s="1"/>
  <c r="R383" i="7"/>
  <c r="T383" i="7" s="1"/>
  <c r="R368" i="7"/>
  <c r="T368" i="7" s="1"/>
  <c r="R390" i="7"/>
  <c r="T390" i="7" s="1"/>
  <c r="R380" i="7"/>
  <c r="T380" i="7" s="1"/>
  <c r="R288" i="7"/>
  <c r="T288" i="7" s="1"/>
  <c r="R360" i="7"/>
  <c r="T360" i="7" s="1"/>
  <c r="R372" i="7"/>
  <c r="T372" i="7" s="1"/>
  <c r="R382" i="7"/>
  <c r="T382" i="7" s="1"/>
  <c r="R387" i="7"/>
  <c r="T387" i="7" s="1"/>
  <c r="R391" i="7"/>
  <c r="T391" i="7" s="1"/>
  <c r="R386" i="7"/>
  <c r="T386" i="7" s="1"/>
  <c r="R376" i="7"/>
  <c r="T376" i="7" s="1"/>
  <c r="R395" i="7"/>
  <c r="T395" i="7" s="1"/>
  <c r="R358" i="7"/>
  <c r="T358" i="7" s="1"/>
  <c r="R350" i="7"/>
  <c r="T350" i="7" s="1"/>
  <c r="R364" i="7"/>
  <c r="T364" i="7" s="1"/>
  <c r="R357" i="7"/>
  <c r="T357" i="7" s="1"/>
  <c r="R284" i="7"/>
  <c r="T284" i="7" s="1"/>
  <c r="R399" i="7"/>
  <c r="T399" i="7" s="1"/>
  <c r="R369" i="7"/>
  <c r="T369" i="7" s="1"/>
  <c r="R370" i="7"/>
  <c r="T370" i="7" s="1"/>
  <c r="R374" i="7"/>
  <c r="T374" i="7" s="1"/>
  <c r="R377" i="7"/>
  <c r="T377" i="7" s="1"/>
  <c r="R361" i="7"/>
  <c r="T361" i="7" s="1"/>
  <c r="R365" i="7"/>
  <c r="T365" i="7" s="1"/>
  <c r="R362" i="7"/>
  <c r="T362" i="7" s="1"/>
  <c r="R398" i="7"/>
  <c r="T398" i="7" s="1"/>
  <c r="R381" i="7"/>
  <c r="T381" i="7" s="1"/>
  <c r="R373" i="7"/>
  <c r="T373" i="7" s="1"/>
  <c r="R378" i="7"/>
  <c r="T378" i="7" s="1"/>
  <c r="R394" i="7"/>
  <c r="T394" i="7" s="1"/>
  <c r="R385" i="7"/>
  <c r="T385" i="7" s="1"/>
  <c r="R308" i="7"/>
  <c r="T308" i="7" s="1"/>
  <c r="R342" i="7"/>
  <c r="T342" i="7" s="1"/>
  <c r="R305" i="7"/>
  <c r="T305" i="7" s="1"/>
  <c r="R317" i="7"/>
  <c r="T317" i="7" s="1"/>
  <c r="R324" i="7"/>
  <c r="T324" i="7" s="1"/>
  <c r="R328" i="7"/>
  <c r="T328" i="7" s="1"/>
  <c r="R281" i="7"/>
  <c r="T281" i="7" s="1"/>
  <c r="R349" i="7"/>
  <c r="T349" i="7" s="1"/>
  <c r="R337" i="7"/>
  <c r="T337" i="7" s="1"/>
  <c r="R293" i="7"/>
  <c r="T293" i="7" s="1"/>
  <c r="R300" i="7"/>
  <c r="T300" i="7" s="1"/>
  <c r="R289" i="7"/>
  <c r="T289" i="7" s="1"/>
  <c r="R331" i="7"/>
  <c r="T331" i="7" s="1"/>
  <c r="R302" i="7"/>
  <c r="T302" i="7" s="1"/>
  <c r="R321" i="7"/>
  <c r="T321" i="7" s="1"/>
  <c r="R298" i="7"/>
  <c r="T298" i="7" s="1"/>
  <c r="R348" i="7"/>
  <c r="T348" i="7" s="1"/>
  <c r="R344" i="7"/>
  <c r="T344" i="7" s="1"/>
  <c r="R315" i="7"/>
  <c r="T315" i="7" s="1"/>
  <c r="R336" i="7"/>
  <c r="T336" i="7" s="1"/>
  <c r="R292" i="7"/>
  <c r="T292" i="7" s="1"/>
  <c r="R346" i="7"/>
  <c r="T346" i="7" s="1"/>
  <c r="R312" i="7"/>
  <c r="T312" i="7" s="1"/>
  <c r="R341" i="7"/>
  <c r="T341" i="7" s="1"/>
  <c r="R354" i="7"/>
  <c r="T354" i="7" s="1"/>
  <c r="R353" i="7"/>
  <c r="T353" i="7" s="1"/>
  <c r="R295" i="7"/>
  <c r="T295" i="7" s="1"/>
  <c r="R291" i="7"/>
  <c r="T291" i="7" s="1"/>
  <c r="R287" i="7"/>
  <c r="T287" i="7" s="1"/>
  <c r="R283" i="7"/>
  <c r="T283" i="7" s="1"/>
  <c r="R326" i="7"/>
  <c r="T326" i="7" s="1"/>
  <c r="R314" i="7"/>
  <c r="T314" i="7" s="1"/>
  <c r="R301" i="7"/>
  <c r="T301" i="7" s="1"/>
  <c r="R313" i="7"/>
  <c r="T313" i="7" s="1"/>
  <c r="R316" i="7"/>
  <c r="T316" i="7" s="1"/>
  <c r="R320" i="7"/>
  <c r="T320" i="7" s="1"/>
  <c r="R327" i="7"/>
  <c r="T327" i="7" s="1"/>
  <c r="R309" i="7"/>
  <c r="T309" i="7" s="1"/>
  <c r="R338" i="7"/>
  <c r="T338" i="7" s="1"/>
  <c r="R325" i="7"/>
  <c r="T325" i="7" s="1"/>
  <c r="R318" i="7"/>
  <c r="T318" i="7" s="1"/>
  <c r="R352" i="7"/>
  <c r="T352" i="7" s="1"/>
  <c r="R319" i="7"/>
  <c r="T319" i="7" s="1"/>
  <c r="R290" i="7"/>
  <c r="T290" i="7" s="1"/>
  <c r="R299" i="7"/>
  <c r="T299" i="7" s="1"/>
  <c r="R355" i="7"/>
  <c r="T355" i="7" s="1"/>
  <c r="R332" i="7"/>
  <c r="T332" i="7" s="1"/>
  <c r="R296" i="7"/>
  <c r="T296" i="7" s="1"/>
  <c r="R345" i="7"/>
  <c r="T345" i="7" s="1"/>
  <c r="R297" i="7"/>
  <c r="T297" i="7" s="1"/>
  <c r="R303" i="7"/>
  <c r="T303" i="7" s="1"/>
  <c r="R310" i="7"/>
  <c r="T310" i="7" s="1"/>
  <c r="R330" i="7"/>
  <c r="T330" i="7" s="1"/>
  <c r="R343" i="7"/>
  <c r="T343" i="7" s="1"/>
  <c r="R334" i="7"/>
  <c r="T334" i="7" s="1"/>
  <c r="R351" i="7"/>
  <c r="T351" i="7" s="1"/>
  <c r="R339" i="7"/>
  <c r="T339" i="7" s="1"/>
  <c r="R311" i="7"/>
  <c r="T311" i="7" s="1"/>
  <c r="R333" i="7"/>
  <c r="T333" i="7" s="1"/>
  <c r="R304" i="7"/>
  <c r="T304" i="7" s="1"/>
  <c r="R307" i="7"/>
  <c r="T307" i="7" s="1"/>
  <c r="R306" i="7"/>
  <c r="T306" i="7" s="1"/>
  <c r="R347" i="7"/>
  <c r="T347" i="7" s="1"/>
  <c r="R282" i="7"/>
  <c r="T282" i="7" s="1"/>
  <c r="R329" i="7"/>
  <c r="T329" i="7" s="1"/>
  <c r="R294" i="7"/>
  <c r="T294" i="7" s="1"/>
  <c r="R340" i="7"/>
  <c r="T340" i="7" s="1"/>
  <c r="R322" i="7"/>
  <c r="T322" i="7" s="1"/>
  <c r="R286" i="7"/>
  <c r="T286" i="7" s="1"/>
  <c r="R117" i="7"/>
  <c r="R248" i="7"/>
  <c r="T248" i="7" s="1"/>
  <c r="R264" i="7"/>
  <c r="T264" i="7" s="1"/>
  <c r="R276" i="7"/>
  <c r="T276" i="7" s="1"/>
  <c r="R228" i="7"/>
  <c r="T228" i="7" s="1"/>
  <c r="R208" i="7"/>
  <c r="T208" i="7" s="1"/>
  <c r="R240" i="7"/>
  <c r="T240" i="7" s="1"/>
  <c r="R280" i="7"/>
  <c r="T280" i="7" s="1"/>
  <c r="R127" i="7"/>
  <c r="R165" i="7"/>
  <c r="R145" i="7"/>
  <c r="R170" i="7"/>
  <c r="R275" i="7"/>
  <c r="T275" i="7" s="1"/>
  <c r="R259" i="7"/>
  <c r="T259" i="7" s="1"/>
  <c r="R243" i="7"/>
  <c r="T243" i="7" s="1"/>
  <c r="R227" i="7"/>
  <c r="T227" i="7" s="1"/>
  <c r="R211" i="7"/>
  <c r="T211" i="7" s="1"/>
  <c r="R221" i="7"/>
  <c r="T221" i="7" s="1"/>
  <c r="R156" i="7"/>
  <c r="R164" i="7"/>
  <c r="T164" i="7" s="1"/>
  <c r="R146" i="7"/>
  <c r="R224" i="7"/>
  <c r="T224" i="7" s="1"/>
  <c r="R272" i="7"/>
  <c r="T272" i="7" s="1"/>
  <c r="R268" i="7"/>
  <c r="T268" i="7" s="1"/>
  <c r="R252" i="7"/>
  <c r="T252" i="7" s="1"/>
  <c r="R260" i="7"/>
  <c r="T260" i="7" s="1"/>
  <c r="R116" i="7"/>
  <c r="R271" i="7"/>
  <c r="T271" i="7" s="1"/>
  <c r="R255" i="7"/>
  <c r="T255" i="7" s="1"/>
  <c r="R239" i="7"/>
  <c r="T239" i="7" s="1"/>
  <c r="R223" i="7"/>
  <c r="T223" i="7" s="1"/>
  <c r="R250" i="7"/>
  <c r="T250" i="7" s="1"/>
  <c r="R237" i="7"/>
  <c r="T237" i="7" s="1"/>
  <c r="R256" i="7"/>
  <c r="T256" i="7" s="1"/>
  <c r="R216" i="7"/>
  <c r="T216" i="7" s="1"/>
  <c r="R220" i="7"/>
  <c r="T220" i="7" s="1"/>
  <c r="R122" i="7"/>
  <c r="T122" i="7" s="1"/>
  <c r="R154" i="7"/>
  <c r="R186" i="7"/>
  <c r="T186" i="7" s="1"/>
  <c r="R279" i="7"/>
  <c r="T279" i="7" s="1"/>
  <c r="R267" i="7"/>
  <c r="T267" i="7" s="1"/>
  <c r="R251" i="7"/>
  <c r="T251" i="7" s="1"/>
  <c r="R235" i="7"/>
  <c r="T235" i="7" s="1"/>
  <c r="R219" i="7"/>
  <c r="T219" i="7" s="1"/>
  <c r="R212" i="7"/>
  <c r="T212" i="7" s="1"/>
  <c r="R232" i="7"/>
  <c r="T232" i="7" s="1"/>
  <c r="R244" i="7"/>
  <c r="T244" i="7" s="1"/>
  <c r="R236" i="7"/>
  <c r="T236" i="7" s="1"/>
  <c r="R194" i="7"/>
  <c r="T194" i="7" s="1"/>
  <c r="R162" i="7"/>
  <c r="R263" i="7"/>
  <c r="T263" i="7" s="1"/>
  <c r="R247" i="7"/>
  <c r="T247" i="7" s="1"/>
  <c r="R231" i="7"/>
  <c r="T231" i="7" s="1"/>
  <c r="R215" i="7"/>
  <c r="T215" i="7" s="1"/>
  <c r="R188" i="7"/>
  <c r="T188" i="7" s="1"/>
  <c r="R197" i="7"/>
  <c r="T197" i="7" s="1"/>
  <c r="R214" i="7"/>
  <c r="T214" i="7" s="1"/>
  <c r="R253" i="7"/>
  <c r="T253" i="7" s="1"/>
  <c r="R226" i="7"/>
  <c r="T226" i="7" s="1"/>
  <c r="R265" i="7"/>
  <c r="T265" i="7" s="1"/>
  <c r="R249" i="7"/>
  <c r="T249" i="7" s="1"/>
  <c r="R278" i="7"/>
  <c r="T278" i="7" s="1"/>
  <c r="R270" i="7"/>
  <c r="T270" i="7" s="1"/>
  <c r="R262" i="7"/>
  <c r="T262" i="7" s="1"/>
  <c r="R218" i="7"/>
  <c r="T218" i="7" s="1"/>
  <c r="R257" i="7"/>
  <c r="T257" i="7" s="1"/>
  <c r="R209" i="7"/>
  <c r="T209" i="7" s="1"/>
  <c r="R233" i="7"/>
  <c r="T233" i="7" s="1"/>
  <c r="R261" i="7"/>
  <c r="T261" i="7" s="1"/>
  <c r="R258" i="7"/>
  <c r="T258" i="7" s="1"/>
  <c r="R246" i="7"/>
  <c r="T246" i="7" s="1"/>
  <c r="R234" i="7"/>
  <c r="T234" i="7" s="1"/>
  <c r="R241" i="7"/>
  <c r="T241" i="7" s="1"/>
  <c r="R210" i="7"/>
  <c r="T210" i="7" s="1"/>
  <c r="R269" i="7"/>
  <c r="T269" i="7" s="1"/>
  <c r="R238" i="7"/>
  <c r="T238" i="7" s="1"/>
  <c r="R217" i="7"/>
  <c r="T217" i="7" s="1"/>
  <c r="R274" i="7"/>
  <c r="T274" i="7" s="1"/>
  <c r="R266" i="7"/>
  <c r="T266" i="7" s="1"/>
  <c r="R277" i="7"/>
  <c r="T277" i="7" s="1"/>
  <c r="R245" i="7"/>
  <c r="T245" i="7" s="1"/>
  <c r="R229" i="7"/>
  <c r="T229" i="7" s="1"/>
  <c r="R213" i="7"/>
  <c r="T213" i="7" s="1"/>
  <c r="R273" i="7"/>
  <c r="T273" i="7" s="1"/>
  <c r="R222" i="7"/>
  <c r="T222" i="7" s="1"/>
  <c r="R254" i="7"/>
  <c r="T254" i="7" s="1"/>
  <c r="R242" i="7"/>
  <c r="T242" i="7" s="1"/>
  <c r="R230" i="7"/>
  <c r="T230" i="7" s="1"/>
  <c r="R225" i="7"/>
  <c r="T225" i="7" s="1"/>
  <c r="R141" i="7"/>
  <c r="R158" i="7"/>
  <c r="R114" i="7"/>
  <c r="T114" i="7" s="1"/>
  <c r="R192" i="7"/>
  <c r="R185" i="7"/>
  <c r="R163" i="7"/>
  <c r="R173" i="7"/>
  <c r="R150" i="7"/>
  <c r="R201" i="7"/>
  <c r="T201" i="7" s="1"/>
  <c r="R166" i="7"/>
  <c r="R184" i="7"/>
  <c r="R147" i="7"/>
  <c r="T147" i="7" s="1"/>
  <c r="R120" i="7"/>
  <c r="R157" i="7"/>
  <c r="R206" i="7"/>
  <c r="T206" i="7" s="1"/>
  <c r="R187" i="7"/>
  <c r="R148" i="7"/>
  <c r="R134" i="7"/>
  <c r="R126" i="7"/>
  <c r="R108" i="7"/>
  <c r="R174" i="7"/>
  <c r="R172" i="7"/>
  <c r="T172" i="7" s="1"/>
  <c r="R160" i="7"/>
  <c r="R189" i="7"/>
  <c r="T189" i="7" s="1"/>
  <c r="R182" i="7"/>
  <c r="R180" i="7"/>
  <c r="R144" i="7"/>
  <c r="R198" i="7"/>
  <c r="T198" i="7" s="1"/>
  <c r="R169" i="7"/>
  <c r="T169" i="7" s="1"/>
  <c r="R132" i="7"/>
  <c r="T132" i="7" s="1"/>
  <c r="R124" i="7"/>
  <c r="R128" i="7"/>
  <c r="R190" i="7"/>
  <c r="R129" i="7"/>
  <c r="R104" i="7"/>
  <c r="R152" i="7"/>
  <c r="T152" i="7" s="1"/>
  <c r="R196" i="7"/>
  <c r="T196" i="7" s="1"/>
  <c r="R102" i="7"/>
  <c r="T102" i="7" s="1"/>
  <c r="R137" i="7"/>
  <c r="R140" i="7"/>
  <c r="R155" i="7"/>
  <c r="R205" i="7"/>
  <c r="T205" i="7" s="1"/>
  <c r="R125" i="7"/>
  <c r="T125" i="7" s="1"/>
  <c r="R133" i="7"/>
  <c r="R121" i="7"/>
  <c r="R176" i="7"/>
  <c r="T176" i="7" s="1"/>
  <c r="R100" i="7"/>
  <c r="R202" i="7"/>
  <c r="T202" i="7" s="1"/>
  <c r="R130" i="7"/>
  <c r="R153" i="7"/>
  <c r="R195" i="7"/>
  <c r="T195" i="7" s="1"/>
  <c r="R168" i="7"/>
  <c r="R142" i="7"/>
  <c r="R179" i="7"/>
  <c r="R149" i="7"/>
  <c r="R171" i="7"/>
  <c r="R123" i="7"/>
  <c r="T123" i="7" s="1"/>
  <c r="R177" i="7"/>
  <c r="R199" i="7"/>
  <c r="T199" i="7" s="1"/>
  <c r="R99" i="7"/>
  <c r="R67" i="7"/>
  <c r="T67" i="7" s="1"/>
  <c r="R62" i="7"/>
  <c r="R207" i="7"/>
  <c r="T207" i="7" s="1"/>
  <c r="R101" i="7"/>
  <c r="R73" i="7"/>
  <c r="R112" i="7"/>
  <c r="R103" i="7"/>
  <c r="R70" i="7"/>
  <c r="R59" i="7"/>
  <c r="R203" i="7"/>
  <c r="T203" i="7" s="1"/>
  <c r="R143" i="7"/>
  <c r="R193" i="7"/>
  <c r="T193" i="7" s="1"/>
  <c r="R183" i="7"/>
  <c r="R151" i="7"/>
  <c r="R161" i="7"/>
  <c r="R178" i="7"/>
  <c r="R107" i="7"/>
  <c r="T107" i="7" s="1"/>
  <c r="R63" i="7"/>
  <c r="T63" i="7" s="1"/>
  <c r="R56" i="7"/>
  <c r="T56" i="7" s="1"/>
  <c r="R43" i="7"/>
  <c r="R204" i="7"/>
  <c r="T204" i="7" s="1"/>
  <c r="R109" i="7"/>
  <c r="R68" i="7"/>
  <c r="R69" i="7"/>
  <c r="R60" i="7"/>
  <c r="R97" i="7"/>
  <c r="R95" i="7"/>
  <c r="R93" i="7"/>
  <c r="R91" i="7"/>
  <c r="R89" i="7"/>
  <c r="R87" i="7"/>
  <c r="R85" i="7"/>
  <c r="R83" i="7"/>
  <c r="R81" i="7"/>
  <c r="R79" i="7"/>
  <c r="R77" i="7"/>
  <c r="R75" i="7"/>
  <c r="R71" i="7"/>
  <c r="R61" i="7"/>
  <c r="R136" i="7"/>
  <c r="T136" i="7" s="1"/>
  <c r="R135" i="7"/>
  <c r="R191" i="7"/>
  <c r="R175" i="7"/>
  <c r="R167" i="7"/>
  <c r="T167" i="7" s="1"/>
  <c r="R159" i="7"/>
  <c r="T159" i="7" s="1"/>
  <c r="R139" i="7"/>
  <c r="R119" i="7"/>
  <c r="R106" i="7"/>
  <c r="R72" i="7"/>
  <c r="R64" i="7"/>
  <c r="R111" i="7"/>
  <c r="R26" i="7"/>
  <c r="T26" i="7" s="1"/>
  <c r="R115" i="7"/>
  <c r="R65" i="7"/>
  <c r="R105" i="7"/>
  <c r="T105" i="7" s="1"/>
  <c r="R118" i="7"/>
  <c r="R138" i="7"/>
  <c r="R181" i="7"/>
  <c r="R131" i="7"/>
  <c r="R98" i="7"/>
  <c r="T98" i="7" s="1"/>
  <c r="R113" i="7"/>
  <c r="R57" i="7"/>
  <c r="R200" i="7"/>
  <c r="T200" i="7" s="1"/>
  <c r="R58" i="7"/>
  <c r="R74" i="7"/>
  <c r="R96" i="7"/>
  <c r="R94" i="7"/>
  <c r="R92" i="7"/>
  <c r="R90" i="7"/>
  <c r="R88" i="7"/>
  <c r="R86" i="7"/>
  <c r="R84" i="7"/>
  <c r="R82" i="7"/>
  <c r="R80" i="7"/>
  <c r="R78" i="7"/>
  <c r="R76" i="7"/>
  <c r="R66" i="7"/>
  <c r="R110" i="7"/>
  <c r="T110" i="7" s="1"/>
  <c r="R38" i="7"/>
  <c r="T38" i="7" s="1"/>
  <c r="R27" i="7"/>
  <c r="R54" i="7"/>
  <c r="R53" i="7"/>
  <c r="T53" i="7" s="1"/>
  <c r="R42" i="7"/>
  <c r="R22" i="7"/>
  <c r="R34" i="7"/>
  <c r="R50" i="7"/>
  <c r="R24" i="7"/>
  <c r="T24" i="7" s="1"/>
  <c r="R37" i="7"/>
  <c r="R39" i="7"/>
  <c r="R23" i="7"/>
  <c r="T23" i="7" s="1"/>
  <c r="R30" i="7"/>
  <c r="R29" i="7"/>
  <c r="R47" i="7"/>
  <c r="R32" i="7"/>
  <c r="R35" i="7"/>
  <c r="T35" i="7" s="1"/>
  <c r="R31" i="7"/>
  <c r="T31" i="7" s="1"/>
  <c r="R36" i="7"/>
  <c r="R33" i="7"/>
  <c r="R45" i="7"/>
  <c r="R52" i="7"/>
  <c r="T52" i="7" s="1"/>
  <c r="R51" i="7"/>
  <c r="R46" i="7"/>
  <c r="T46" i="7" s="1"/>
  <c r="R55" i="7"/>
  <c r="R44" i="7"/>
  <c r="R28" i="7"/>
  <c r="R49" i="7"/>
  <c r="R40" i="7"/>
  <c r="R48" i="7"/>
  <c r="R41" i="7"/>
  <c r="T41" i="7" s="1"/>
  <c r="R25" i="7"/>
  <c r="T25" i="7" s="1"/>
  <c r="X534" i="7"/>
  <c r="X553" i="7"/>
  <c r="X546" i="7"/>
  <c r="X551" i="7"/>
  <c r="X550" i="7"/>
  <c r="X536" i="7"/>
  <c r="X537" i="7"/>
  <c r="X542" i="7"/>
  <c r="X538" i="7"/>
  <c r="X543" i="7"/>
  <c r="X552" i="7"/>
  <c r="X549" i="7"/>
  <c r="X547" i="7"/>
  <c r="X545" i="7"/>
  <c r="X526" i="7"/>
  <c r="X540" i="7"/>
  <c r="X541" i="7"/>
  <c r="X548" i="7"/>
  <c r="X539" i="7"/>
  <c r="X535" i="7"/>
  <c r="X544" i="7"/>
  <c r="X528" i="7"/>
  <c r="X532" i="7"/>
  <c r="X531" i="7"/>
  <c r="X527" i="7"/>
  <c r="X530" i="7"/>
  <c r="X525" i="7"/>
  <c r="X524" i="7"/>
  <c r="X529" i="7"/>
  <c r="X533" i="7"/>
  <c r="X523" i="7"/>
  <c r="X522" i="7"/>
  <c r="X447" i="7"/>
  <c r="X481" i="7"/>
  <c r="X514" i="7"/>
  <c r="X511" i="7"/>
  <c r="X505" i="7"/>
  <c r="X510" i="7"/>
  <c r="X512" i="7"/>
  <c r="X508" i="7"/>
  <c r="X509" i="7"/>
  <c r="X513" i="7"/>
  <c r="X455" i="7"/>
  <c r="X518" i="7"/>
  <c r="X519" i="7"/>
  <c r="X521" i="7"/>
  <c r="X506" i="7"/>
  <c r="X502" i="7"/>
  <c r="X516" i="7"/>
  <c r="X517" i="7"/>
  <c r="X515" i="7"/>
  <c r="X520" i="7"/>
  <c r="X507" i="7"/>
  <c r="X456" i="7"/>
  <c r="X484" i="7"/>
  <c r="X463" i="7"/>
  <c r="X468" i="7"/>
  <c r="X464" i="7"/>
  <c r="X497" i="7"/>
  <c r="X462" i="7"/>
  <c r="X485" i="7"/>
  <c r="X457" i="7"/>
  <c r="X490" i="7"/>
  <c r="X487" i="7"/>
  <c r="X504" i="7"/>
  <c r="X478" i="7"/>
  <c r="X479" i="7"/>
  <c r="X450" i="7"/>
  <c r="X500" i="7"/>
  <c r="X498" i="7"/>
  <c r="X465" i="7"/>
  <c r="X483" i="7"/>
  <c r="X475" i="7"/>
  <c r="X492" i="7"/>
  <c r="X480" i="7"/>
  <c r="X451" i="7"/>
  <c r="X474" i="7"/>
  <c r="X448" i="7"/>
  <c r="X471" i="7"/>
  <c r="X496" i="7"/>
  <c r="X503" i="7"/>
  <c r="X493" i="7"/>
  <c r="X470" i="7"/>
  <c r="X495" i="7"/>
  <c r="X499" i="7"/>
  <c r="X467" i="7"/>
  <c r="X461" i="7"/>
  <c r="X476" i="7"/>
  <c r="X477" i="7"/>
  <c r="X491" i="7"/>
  <c r="X488" i="7"/>
  <c r="X482" i="7"/>
  <c r="X469" i="7"/>
  <c r="X454" i="7"/>
  <c r="X459" i="7"/>
  <c r="X453" i="7"/>
  <c r="X446" i="7"/>
  <c r="X486" i="7"/>
  <c r="X466" i="7"/>
  <c r="X489" i="7"/>
  <c r="X458" i="7"/>
  <c r="X452" i="7"/>
  <c r="X449" i="7"/>
  <c r="X473" i="7"/>
  <c r="X460" i="7"/>
  <c r="X494" i="7"/>
  <c r="X472" i="7"/>
  <c r="X501" i="7"/>
  <c r="X442" i="7"/>
  <c r="X444" i="7"/>
  <c r="X445" i="7"/>
  <c r="X443" i="7"/>
  <c r="X419" i="7"/>
  <c r="X441" i="7"/>
  <c r="X437" i="7"/>
  <c r="X410" i="7"/>
  <c r="X427" i="7"/>
  <c r="X424" i="7"/>
  <c r="X440" i="7"/>
  <c r="X363" i="7"/>
  <c r="X413" i="7"/>
  <c r="X425" i="7"/>
  <c r="X430" i="7"/>
  <c r="X417" i="7"/>
  <c r="X434" i="7"/>
  <c r="X421" i="7"/>
  <c r="X416" i="7"/>
  <c r="X408" i="7"/>
  <c r="X418" i="7"/>
  <c r="X435" i="7"/>
  <c r="X402" i="7"/>
  <c r="X415" i="7"/>
  <c r="X414" i="7"/>
  <c r="X392" i="7"/>
  <c r="X433" i="7"/>
  <c r="X403" i="7"/>
  <c r="X359" i="7"/>
  <c r="X371" i="7"/>
  <c r="X438" i="7"/>
  <c r="X431" i="7"/>
  <c r="X423" i="7"/>
  <c r="X412" i="7"/>
  <c r="X439" i="7"/>
  <c r="X400" i="7"/>
  <c r="X396" i="7"/>
  <c r="X407" i="7"/>
  <c r="X428" i="7"/>
  <c r="X420" i="7"/>
  <c r="X436" i="7"/>
  <c r="X411" i="7"/>
  <c r="X375" i="7"/>
  <c r="X379" i="7"/>
  <c r="X426" i="7"/>
  <c r="X409" i="7"/>
  <c r="X405" i="7"/>
  <c r="X429" i="7"/>
  <c r="X406" i="7"/>
  <c r="X432" i="7"/>
  <c r="X422" i="7"/>
  <c r="X404" i="7"/>
  <c r="X393" i="7"/>
  <c r="X281" i="7"/>
  <c r="X313" i="7"/>
  <c r="X384" i="7"/>
  <c r="X388" i="7"/>
  <c r="X397" i="7"/>
  <c r="X349" i="7"/>
  <c r="X389" i="7"/>
  <c r="X367" i="7"/>
  <c r="X301" i="7"/>
  <c r="X324" i="7"/>
  <c r="X401" i="7"/>
  <c r="X399" i="7"/>
  <c r="X391" i="7"/>
  <c r="X386" i="7"/>
  <c r="X290" i="7"/>
  <c r="X362" i="7"/>
  <c r="X316" i="7"/>
  <c r="X398" i="7"/>
  <c r="X395" i="7"/>
  <c r="X383" i="7"/>
  <c r="X380" i="7"/>
  <c r="X372" i="7"/>
  <c r="X364" i="7"/>
  <c r="X356" i="7"/>
  <c r="X361" i="7"/>
  <c r="X365" i="7"/>
  <c r="X305" i="7"/>
  <c r="X381" i="7"/>
  <c r="X378" i="7"/>
  <c r="X328" i="7"/>
  <c r="X366" i="7"/>
  <c r="X390" i="7"/>
  <c r="X377" i="7"/>
  <c r="X358" i="7"/>
  <c r="X385" i="7"/>
  <c r="X312" i="7"/>
  <c r="X308" i="7"/>
  <c r="X394" i="7"/>
  <c r="X376" i="7"/>
  <c r="X368" i="7"/>
  <c r="X360" i="7"/>
  <c r="X373" i="7"/>
  <c r="X387" i="7"/>
  <c r="X374" i="7"/>
  <c r="X370" i="7"/>
  <c r="X369" i="7"/>
  <c r="X357" i="7"/>
  <c r="X382" i="7"/>
  <c r="X208" i="7"/>
  <c r="X224" i="7"/>
  <c r="X240" i="7"/>
  <c r="X256" i="7"/>
  <c r="X272" i="7"/>
  <c r="X288" i="7"/>
  <c r="X355" i="7"/>
  <c r="X336" i="7"/>
  <c r="X332" i="7"/>
  <c r="X285" i="7"/>
  <c r="X337" i="7"/>
  <c r="X346" i="7"/>
  <c r="X331" i="7"/>
  <c r="X345" i="7"/>
  <c r="X354" i="7"/>
  <c r="X347" i="7"/>
  <c r="X348" i="7"/>
  <c r="X344" i="7"/>
  <c r="X282" i="7"/>
  <c r="X294" i="7"/>
  <c r="X343" i="7"/>
  <c r="X326" i="7"/>
  <c r="X339" i="7"/>
  <c r="X340" i="7"/>
  <c r="X307" i="7"/>
  <c r="X212" i="7"/>
  <c r="X228" i="7"/>
  <c r="X244" i="7"/>
  <c r="X260" i="7"/>
  <c r="X292" i="7"/>
  <c r="X320" i="7"/>
  <c r="X338" i="7"/>
  <c r="X323" i="7"/>
  <c r="X293" i="7"/>
  <c r="X317" i="7"/>
  <c r="X289" i="7"/>
  <c r="X325" i="7"/>
  <c r="X351" i="7"/>
  <c r="X321" i="7"/>
  <c r="X302" i="7"/>
  <c r="X322" i="7"/>
  <c r="X216" i="7"/>
  <c r="X232" i="7"/>
  <c r="X248" i="7"/>
  <c r="X264" i="7"/>
  <c r="X284" i="7"/>
  <c r="X300" i="7"/>
  <c r="X335" i="7"/>
  <c r="X286" i="7"/>
  <c r="X298" i="7"/>
  <c r="X306" i="7"/>
  <c r="X315" i="7"/>
  <c r="X220" i="7"/>
  <c r="X236" i="7"/>
  <c r="X252" i="7"/>
  <c r="X268" i="7"/>
  <c r="X296" i="7"/>
  <c r="X342" i="7"/>
  <c r="X350" i="7"/>
  <c r="X297" i="7"/>
  <c r="X341" i="7"/>
  <c r="X327" i="7"/>
  <c r="X309" i="7"/>
  <c r="X329" i="7"/>
  <c r="X303" i="7"/>
  <c r="X314" i="7"/>
  <c r="X319" i="7"/>
  <c r="X311" i="7"/>
  <c r="X304" i="7"/>
  <c r="X295" i="7"/>
  <c r="X287" i="7"/>
  <c r="X299" i="7"/>
  <c r="X283" i="7"/>
  <c r="X352" i="7"/>
  <c r="X318" i="7"/>
  <c r="X333" i="7"/>
  <c r="X291" i="7"/>
  <c r="X334" i="7"/>
  <c r="X353" i="7"/>
  <c r="X310" i="7"/>
  <c r="X330" i="7"/>
  <c r="X247" i="7"/>
  <c r="X255" i="7"/>
  <c r="X115" i="7"/>
  <c r="X201" i="7"/>
  <c r="X280" i="7"/>
  <c r="X271" i="7"/>
  <c r="X267" i="7"/>
  <c r="X243" i="7"/>
  <c r="X219" i="7"/>
  <c r="X103" i="7"/>
  <c r="X132" i="7"/>
  <c r="X141" i="7"/>
  <c r="X276" i="7"/>
  <c r="X239" i="7"/>
  <c r="X235" i="7"/>
  <c r="X223" i="7"/>
  <c r="X227" i="7"/>
  <c r="X259" i="7"/>
  <c r="X251" i="7"/>
  <c r="X279" i="7"/>
  <c r="X125" i="7"/>
  <c r="X231" i="7"/>
  <c r="X263" i="7"/>
  <c r="X211" i="7"/>
  <c r="X275" i="7"/>
  <c r="X215" i="7"/>
  <c r="X144" i="7"/>
  <c r="X128" i="7"/>
  <c r="X147" i="7"/>
  <c r="X241" i="7"/>
  <c r="X257" i="7"/>
  <c r="X254" i="7"/>
  <c r="X242" i="7"/>
  <c r="X230" i="7"/>
  <c r="X172" i="7"/>
  <c r="X192" i="7"/>
  <c r="X210" i="7"/>
  <c r="X269" i="7"/>
  <c r="X253" i="7"/>
  <c r="X238" i="7"/>
  <c r="X274" i="7"/>
  <c r="X229" i="7"/>
  <c r="X177" i="7"/>
  <c r="X246" i="7"/>
  <c r="X273" i="7"/>
  <c r="X152" i="7"/>
  <c r="X250" i="7"/>
  <c r="X249" i="7"/>
  <c r="X233" i="7"/>
  <c r="X266" i="7"/>
  <c r="X258" i="7"/>
  <c r="X234" i="7"/>
  <c r="X209" i="7"/>
  <c r="X184" i="7"/>
  <c r="X237" i="7"/>
  <c r="X221" i="7"/>
  <c r="X226" i="7"/>
  <c r="X265" i="7"/>
  <c r="X222" i="7"/>
  <c r="X278" i="7"/>
  <c r="X262" i="7"/>
  <c r="X261" i="7"/>
  <c r="X218" i="7"/>
  <c r="X153" i="7"/>
  <c r="X169" i="7"/>
  <c r="X185" i="7"/>
  <c r="X160" i="7"/>
  <c r="X176" i="7"/>
  <c r="X225" i="7"/>
  <c r="X214" i="7"/>
  <c r="X217" i="7"/>
  <c r="X270" i="7"/>
  <c r="X277" i="7"/>
  <c r="X245" i="7"/>
  <c r="X213" i="7"/>
  <c r="X142" i="7"/>
  <c r="X113" i="7"/>
  <c r="X173" i="7"/>
  <c r="X133" i="7"/>
  <c r="X138" i="7"/>
  <c r="X189" i="7"/>
  <c r="X154" i="7"/>
  <c r="X197" i="7"/>
  <c r="X129" i="7"/>
  <c r="X28" i="7"/>
  <c r="X139" i="7"/>
  <c r="X107" i="7"/>
  <c r="X99" i="7"/>
  <c r="X127" i="7"/>
  <c r="X188" i="7"/>
  <c r="X156" i="7"/>
  <c r="X143" i="7"/>
  <c r="X121" i="7"/>
  <c r="X174" i="7"/>
  <c r="X130" i="7"/>
  <c r="X190" i="7"/>
  <c r="X146" i="7"/>
  <c r="X45" i="7"/>
  <c r="X37" i="7"/>
  <c r="X148" i="7"/>
  <c r="X193" i="7"/>
  <c r="X136" i="7"/>
  <c r="X164" i="7"/>
  <c r="X170" i="7"/>
  <c r="X131" i="7"/>
  <c r="X168" i="7"/>
  <c r="X171" i="7"/>
  <c r="X162" i="7"/>
  <c r="X120" i="7"/>
  <c r="X180" i="7"/>
  <c r="X206" i="7"/>
  <c r="X205" i="7"/>
  <c r="X118" i="7"/>
  <c r="X195" i="7"/>
  <c r="X149" i="7"/>
  <c r="X134" i="7"/>
  <c r="X179" i="7"/>
  <c r="X105" i="7"/>
  <c r="X135" i="7"/>
  <c r="X31" i="7"/>
  <c r="X122" i="7"/>
  <c r="X182" i="7"/>
  <c r="X194" i="7"/>
  <c r="X161" i="7"/>
  <c r="X123" i="7"/>
  <c r="X187" i="7"/>
  <c r="X126" i="7"/>
  <c r="X186" i="7"/>
  <c r="X155" i="7"/>
  <c r="X166" i="7"/>
  <c r="X198" i="7"/>
  <c r="X165" i="7"/>
  <c r="X157" i="7"/>
  <c r="X150" i="7"/>
  <c r="X163" i="7"/>
  <c r="X158" i="7"/>
  <c r="X97" i="7"/>
  <c r="X145" i="7"/>
  <c r="X178" i="7"/>
  <c r="X36" i="7"/>
  <c r="X30" i="7"/>
  <c r="X101" i="7"/>
  <c r="X191" i="7"/>
  <c r="X124" i="7"/>
  <c r="X117" i="7"/>
  <c r="X76" i="7"/>
  <c r="X71" i="7"/>
  <c r="X98" i="7"/>
  <c r="X57" i="7"/>
  <c r="X38" i="7"/>
  <c r="X204" i="7"/>
  <c r="X100" i="7"/>
  <c r="X73" i="7"/>
  <c r="X64" i="7"/>
  <c r="X44" i="7"/>
  <c r="X196" i="7"/>
  <c r="X202" i="7"/>
  <c r="X175" i="7"/>
  <c r="X159" i="7"/>
  <c r="X119" i="7"/>
  <c r="X207" i="7"/>
  <c r="X104" i="7"/>
  <c r="X96" i="7"/>
  <c r="X94" i="7"/>
  <c r="X92" i="7"/>
  <c r="X90" i="7"/>
  <c r="X88" i="7"/>
  <c r="X86" i="7"/>
  <c r="X84" i="7"/>
  <c r="X82" i="7"/>
  <c r="X80" i="7"/>
  <c r="X78" i="7"/>
  <c r="X61" i="7"/>
  <c r="X111" i="7"/>
  <c r="X106" i="7"/>
  <c r="X72" i="7"/>
  <c r="X32" i="7"/>
  <c r="X108" i="7"/>
  <c r="X58" i="7"/>
  <c r="X110" i="7"/>
  <c r="X199" i="7"/>
  <c r="X69" i="7"/>
  <c r="X65" i="7"/>
  <c r="X59" i="7"/>
  <c r="X137" i="7"/>
  <c r="X183" i="7"/>
  <c r="X66" i="7"/>
  <c r="X114" i="7"/>
  <c r="X62" i="7"/>
  <c r="X24" i="7"/>
  <c r="X200" i="7"/>
  <c r="X203" i="7"/>
  <c r="X116" i="7"/>
  <c r="X102" i="7"/>
  <c r="X74" i="7"/>
  <c r="X70" i="7"/>
  <c r="X181" i="7"/>
  <c r="X167" i="7"/>
  <c r="X151" i="7"/>
  <c r="X140" i="7"/>
  <c r="X95" i="7"/>
  <c r="X93" i="7"/>
  <c r="X91" i="7"/>
  <c r="X89" i="7"/>
  <c r="X87" i="7"/>
  <c r="X85" i="7"/>
  <c r="X83" i="7"/>
  <c r="X81" i="7"/>
  <c r="X79" i="7"/>
  <c r="X77" i="7"/>
  <c r="X75" i="7"/>
  <c r="X112" i="7"/>
  <c r="X67" i="7"/>
  <c r="X63" i="7"/>
  <c r="X56" i="7"/>
  <c r="X68" i="7"/>
  <c r="X109" i="7"/>
  <c r="X60" i="7"/>
  <c r="X33" i="7"/>
  <c r="X43" i="7"/>
  <c r="X55" i="7"/>
  <c r="X50" i="7"/>
  <c r="X41" i="7"/>
  <c r="X42" i="7"/>
  <c r="X35" i="7"/>
  <c r="X27" i="7"/>
  <c r="X23" i="7"/>
  <c r="X48" i="7"/>
  <c r="X52" i="7"/>
  <c r="X47" i="7"/>
  <c r="X25" i="7"/>
  <c r="X54" i="7"/>
  <c r="X26" i="7"/>
  <c r="X34" i="7"/>
  <c r="X39" i="7"/>
  <c r="X46" i="7"/>
  <c r="X49" i="7"/>
  <c r="X40" i="7"/>
  <c r="X51" i="7"/>
  <c r="X53" i="7"/>
  <c r="X29" i="7"/>
  <c r="AD553" i="7"/>
  <c r="AD537" i="7"/>
  <c r="AD546" i="7"/>
  <c r="AD538" i="7"/>
  <c r="AD536" i="7"/>
  <c r="AD542" i="7"/>
  <c r="AD543" i="7"/>
  <c r="AD540" i="7"/>
  <c r="AD525" i="7"/>
  <c r="AD541" i="7"/>
  <c r="AD551" i="7"/>
  <c r="AD547" i="7"/>
  <c r="AD539" i="7"/>
  <c r="AD548" i="7"/>
  <c r="AD544" i="7"/>
  <c r="AD545" i="7"/>
  <c r="AD549" i="7"/>
  <c r="AD550" i="7"/>
  <c r="AD529" i="7"/>
  <c r="AD534" i="7"/>
  <c r="AD535" i="7"/>
  <c r="AD552" i="7"/>
  <c r="AD531" i="7"/>
  <c r="AD522" i="7"/>
  <c r="AD524" i="7"/>
  <c r="AD508" i="7"/>
  <c r="AD527" i="7"/>
  <c r="AD530" i="7"/>
  <c r="AD526" i="7"/>
  <c r="AD528" i="7"/>
  <c r="AD533" i="7"/>
  <c r="AD512" i="7"/>
  <c r="AD519" i="7"/>
  <c r="AD532" i="7"/>
  <c r="AD518" i="7"/>
  <c r="AD523" i="7"/>
  <c r="AD456" i="7"/>
  <c r="AD473" i="7"/>
  <c r="AD499" i="7"/>
  <c r="AD511" i="7"/>
  <c r="AD517" i="7"/>
  <c r="AD514" i="7"/>
  <c r="AD520" i="7"/>
  <c r="AD468" i="7"/>
  <c r="AD497" i="7"/>
  <c r="AD516" i="7"/>
  <c r="AD485" i="7"/>
  <c r="AD457" i="7"/>
  <c r="AD515" i="7"/>
  <c r="AD510" i="7"/>
  <c r="AD505" i="7"/>
  <c r="AD470" i="7"/>
  <c r="AD521" i="7"/>
  <c r="AD464" i="7"/>
  <c r="AD479" i="7"/>
  <c r="AD450" i="7"/>
  <c r="AD509" i="7"/>
  <c r="AD463" i="7"/>
  <c r="AD507" i="7"/>
  <c r="AD513" i="7"/>
  <c r="AD506" i="7"/>
  <c r="AD455" i="7"/>
  <c r="AD476" i="7"/>
  <c r="AD484" i="7"/>
  <c r="AD481" i="7"/>
  <c r="AD447" i="7"/>
  <c r="AD480" i="7"/>
  <c r="AD467" i="7"/>
  <c r="AD490" i="7"/>
  <c r="AD486" i="7"/>
  <c r="AD495" i="7"/>
  <c r="AD488" i="7"/>
  <c r="AD477" i="7"/>
  <c r="AD451" i="7"/>
  <c r="AD472" i="7"/>
  <c r="AD500" i="7"/>
  <c r="AD498" i="7"/>
  <c r="AD487" i="7"/>
  <c r="AD461" i="7"/>
  <c r="AD460" i="7"/>
  <c r="AD453" i="7"/>
  <c r="AD458" i="7"/>
  <c r="AD459" i="7"/>
  <c r="AD491" i="7"/>
  <c r="AD446" i="7"/>
  <c r="AD474" i="7"/>
  <c r="AD465" i="7"/>
  <c r="AD449" i="7"/>
  <c r="AD496" i="7"/>
  <c r="AD448" i="7"/>
  <c r="AD442" i="7"/>
  <c r="AD454" i="7"/>
  <c r="AD483" i="7"/>
  <c r="AD478" i="7"/>
  <c r="AD466" i="7"/>
  <c r="AD503" i="7"/>
  <c r="AD493" i="7"/>
  <c r="AD452" i="7"/>
  <c r="AD492" i="7"/>
  <c r="AD469" i="7"/>
  <c r="AD494" i="7"/>
  <c r="AD462" i="7"/>
  <c r="AD502" i="7"/>
  <c r="AD471" i="7"/>
  <c r="AD489" i="7"/>
  <c r="AD475" i="7"/>
  <c r="AD482" i="7"/>
  <c r="AD504" i="7"/>
  <c r="AD501" i="7"/>
  <c r="AD444" i="7"/>
  <c r="AD443" i="7"/>
  <c r="AD441" i="7"/>
  <c r="AD445" i="7"/>
  <c r="AD428" i="7"/>
  <c r="AD407" i="7"/>
  <c r="AD431" i="7"/>
  <c r="AD433" i="7"/>
  <c r="AD414" i="7"/>
  <c r="AD416" i="7"/>
  <c r="AD420" i="7"/>
  <c r="AD424" i="7"/>
  <c r="AD423" i="7"/>
  <c r="AD438" i="7"/>
  <c r="AD440" i="7"/>
  <c r="AD434" i="7"/>
  <c r="AD436" i="7"/>
  <c r="AD403" i="7"/>
  <c r="AD415" i="7"/>
  <c r="AD432" i="7"/>
  <c r="AD410" i="7"/>
  <c r="AD406" i="7"/>
  <c r="AD389" i="7"/>
  <c r="AD390" i="7"/>
  <c r="AD360" i="7"/>
  <c r="AD372" i="7"/>
  <c r="AD422" i="7"/>
  <c r="AD413" i="7"/>
  <c r="AD425" i="7"/>
  <c r="AD421" i="7"/>
  <c r="AD437" i="7"/>
  <c r="AD402" i="7"/>
  <c r="AD376" i="7"/>
  <c r="AD356" i="7"/>
  <c r="AD380" i="7"/>
  <c r="AD405" i="7"/>
  <c r="AD408" i="7"/>
  <c r="AD419" i="7"/>
  <c r="AD409" i="7"/>
  <c r="AD412" i="7"/>
  <c r="AD427" i="7"/>
  <c r="AD430" i="7"/>
  <c r="AD429" i="7"/>
  <c r="AD411" i="7"/>
  <c r="AD385" i="7"/>
  <c r="AD364" i="7"/>
  <c r="AD368" i="7"/>
  <c r="AD381" i="7"/>
  <c r="AD426" i="7"/>
  <c r="AD418" i="7"/>
  <c r="AD435" i="7"/>
  <c r="AD439" i="7"/>
  <c r="AD404" i="7"/>
  <c r="AD417" i="7"/>
  <c r="AD359" i="7"/>
  <c r="AD388" i="7"/>
  <c r="AD379" i="7"/>
  <c r="AD396" i="7"/>
  <c r="AD384" i="7"/>
  <c r="AD341" i="7"/>
  <c r="AD392" i="7"/>
  <c r="AD371" i="7"/>
  <c r="AD293" i="7"/>
  <c r="AD331" i="7"/>
  <c r="AD400" i="7"/>
  <c r="AD363" i="7"/>
  <c r="AD375" i="7"/>
  <c r="AD297" i="7"/>
  <c r="AD327" i="7"/>
  <c r="AD345" i="7"/>
  <c r="AD367" i="7"/>
  <c r="AD397" i="7"/>
  <c r="AD393" i="7"/>
  <c r="AD303" i="7"/>
  <c r="AD302" i="7"/>
  <c r="AD374" i="7"/>
  <c r="AD365" i="7"/>
  <c r="AD317" i="7"/>
  <c r="AD337" i="7"/>
  <c r="AD343" i="7"/>
  <c r="AD325" i="7"/>
  <c r="AD346" i="7"/>
  <c r="AD362" i="7"/>
  <c r="AD336" i="7"/>
  <c r="AD333" i="7"/>
  <c r="AD321" i="7"/>
  <c r="AD377" i="7"/>
  <c r="AD339" i="7"/>
  <c r="AD378" i="7"/>
  <c r="AD394" i="7"/>
  <c r="AD347" i="7"/>
  <c r="AD361" i="7"/>
  <c r="AD342" i="7"/>
  <c r="AD351" i="7"/>
  <c r="AD373" i="7"/>
  <c r="AD300" i="7"/>
  <c r="AD329" i="7"/>
  <c r="AD395" i="7"/>
  <c r="AD366" i="7"/>
  <c r="AD386" i="7"/>
  <c r="AD357" i="7"/>
  <c r="AD369" i="7"/>
  <c r="AD382" i="7"/>
  <c r="AD387" i="7"/>
  <c r="AD355" i="7"/>
  <c r="AD338" i="7"/>
  <c r="AD358" i="7"/>
  <c r="AD398" i="7"/>
  <c r="AD399" i="7"/>
  <c r="AD391" i="7"/>
  <c r="AD383" i="7"/>
  <c r="AD370" i="7"/>
  <c r="AD401" i="7"/>
  <c r="AD349" i="7"/>
  <c r="AD215" i="7"/>
  <c r="AD259" i="7"/>
  <c r="AD275" i="7"/>
  <c r="AD235" i="7"/>
  <c r="AD301" i="7"/>
  <c r="AD335" i="7"/>
  <c r="AD277" i="7"/>
  <c r="AD214" i="7"/>
  <c r="AD222" i="7"/>
  <c r="AD258" i="7"/>
  <c r="AD217" i="7"/>
  <c r="AD225" i="7"/>
  <c r="AD233" i="7"/>
  <c r="AD249" i="7"/>
  <c r="AD273" i="7"/>
  <c r="AD315" i="7"/>
  <c r="AD295" i="7"/>
  <c r="AD322" i="7"/>
  <c r="AD276" i="7"/>
  <c r="AD352" i="7"/>
  <c r="AD334" i="7"/>
  <c r="AD318" i="7"/>
  <c r="AD310" i="7"/>
  <c r="AD292" i="7"/>
  <c r="AD332" i="7"/>
  <c r="AD309" i="7"/>
  <c r="AD219" i="7"/>
  <c r="AD231" i="7"/>
  <c r="AD239" i="7"/>
  <c r="AD251" i="7"/>
  <c r="AD285" i="7"/>
  <c r="AD281" i="7"/>
  <c r="AD328" i="7"/>
  <c r="AD229" i="7"/>
  <c r="AD245" i="7"/>
  <c r="AD261" i="7"/>
  <c r="AD291" i="7"/>
  <c r="AD283" i="7"/>
  <c r="AD326" i="7"/>
  <c r="AD282" i="7"/>
  <c r="AD280" i="7"/>
  <c r="AD290" i="7"/>
  <c r="AD330" i="7"/>
  <c r="AD288" i="7"/>
  <c r="AD320" i="7"/>
  <c r="AD227" i="7"/>
  <c r="AD223" i="7"/>
  <c r="AD247" i="7"/>
  <c r="AD255" i="7"/>
  <c r="AD267" i="7"/>
  <c r="AD289" i="7"/>
  <c r="AD218" i="7"/>
  <c r="AD234" i="7"/>
  <c r="AD213" i="7"/>
  <c r="AD221" i="7"/>
  <c r="AD253" i="7"/>
  <c r="AD269" i="7"/>
  <c r="AD311" i="7"/>
  <c r="AD299" i="7"/>
  <c r="AD287" i="7"/>
  <c r="AD314" i="7"/>
  <c r="AD305" i="7"/>
  <c r="AD307" i="7"/>
  <c r="AD353" i="7"/>
  <c r="AD313" i="7"/>
  <c r="AD284" i="7"/>
  <c r="AD312" i="7"/>
  <c r="AD350" i="7"/>
  <c r="AD324" i="7"/>
  <c r="AD296" i="7"/>
  <c r="AD316" i="7"/>
  <c r="AD211" i="7"/>
  <c r="AD243" i="7"/>
  <c r="AD263" i="7"/>
  <c r="AD271" i="7"/>
  <c r="AD354" i="7"/>
  <c r="AD308" i="7"/>
  <c r="AD323" i="7"/>
  <c r="AD209" i="7"/>
  <c r="AD237" i="7"/>
  <c r="AD241" i="7"/>
  <c r="AD257" i="7"/>
  <c r="AD265" i="7"/>
  <c r="AD304" i="7"/>
  <c r="AD286" i="7"/>
  <c r="AD340" i="7"/>
  <c r="AD306" i="7"/>
  <c r="AD319" i="7"/>
  <c r="AD298" i="7"/>
  <c r="AD348" i="7"/>
  <c r="AD294" i="7"/>
  <c r="AD344" i="7"/>
  <c r="AD150" i="7"/>
  <c r="AD272" i="7"/>
  <c r="AD240" i="7"/>
  <c r="AD208" i="7"/>
  <c r="AD236" i="7"/>
  <c r="AD187" i="7"/>
  <c r="AD118" i="7"/>
  <c r="AD142" i="7"/>
  <c r="AD190" i="7"/>
  <c r="AD268" i="7"/>
  <c r="AD136" i="7"/>
  <c r="AD124" i="7"/>
  <c r="AD166" i="7"/>
  <c r="AD182" i="7"/>
  <c r="AD130" i="7"/>
  <c r="AD171" i="7"/>
  <c r="AD137" i="7"/>
  <c r="AD129" i="7"/>
  <c r="AD140" i="7"/>
  <c r="AD174" i="7"/>
  <c r="AD256" i="7"/>
  <c r="AD216" i="7"/>
  <c r="AD252" i="7"/>
  <c r="AD212" i="7"/>
  <c r="AD244" i="7"/>
  <c r="AD224" i="7"/>
  <c r="AD131" i="7"/>
  <c r="AD155" i="7"/>
  <c r="AD158" i="7"/>
  <c r="AD260" i="7"/>
  <c r="AD121" i="7"/>
  <c r="AD196" i="7"/>
  <c r="AD232" i="7"/>
  <c r="AD264" i="7"/>
  <c r="AD126" i="7"/>
  <c r="AD138" i="7"/>
  <c r="AD220" i="7"/>
  <c r="AD248" i="7"/>
  <c r="AD228" i="7"/>
  <c r="AD279" i="7"/>
  <c r="AD278" i="7"/>
  <c r="AD270" i="7"/>
  <c r="AD262" i="7"/>
  <c r="AD246" i="7"/>
  <c r="AD238" i="7"/>
  <c r="AD206" i="7"/>
  <c r="AD226" i="7"/>
  <c r="AD250" i="7"/>
  <c r="AD274" i="7"/>
  <c r="AD266" i="7"/>
  <c r="AD254" i="7"/>
  <c r="AD242" i="7"/>
  <c r="AD230" i="7"/>
  <c r="AD210" i="7"/>
  <c r="AD198" i="7"/>
  <c r="AD184" i="7"/>
  <c r="AD180" i="7"/>
  <c r="AD172" i="7"/>
  <c r="AD192" i="7"/>
  <c r="AD156" i="7"/>
  <c r="AD120" i="7"/>
  <c r="AD205" i="7"/>
  <c r="AD148" i="7"/>
  <c r="AD201" i="7"/>
  <c r="AD125" i="7"/>
  <c r="AD175" i="7"/>
  <c r="AD119" i="7"/>
  <c r="AD181" i="7"/>
  <c r="AD134" i="7"/>
  <c r="AD195" i="7"/>
  <c r="AD164" i="7"/>
  <c r="AD176" i="7"/>
  <c r="AD186" i="7"/>
  <c r="AD152" i="7"/>
  <c r="AD132" i="7"/>
  <c r="AD154" i="7"/>
  <c r="AD141" i="7"/>
  <c r="AD193" i="7"/>
  <c r="AD117" i="7"/>
  <c r="AD147" i="7"/>
  <c r="AD157" i="7"/>
  <c r="AD128" i="7"/>
  <c r="AD170" i="7"/>
  <c r="AD197" i="7"/>
  <c r="AD161" i="7"/>
  <c r="AD185" i="7"/>
  <c r="AD153" i="7"/>
  <c r="AD168" i="7"/>
  <c r="AD160" i="7"/>
  <c r="AD188" i="7"/>
  <c r="AD165" i="7"/>
  <c r="AD116" i="7"/>
  <c r="AD189" i="7"/>
  <c r="AD114" i="7"/>
  <c r="AD194" i="7"/>
  <c r="AD100" i="7"/>
  <c r="AD123" i="7"/>
  <c r="AD191" i="7"/>
  <c r="AD183" i="7"/>
  <c r="AD167" i="7"/>
  <c r="AD159" i="7"/>
  <c r="AD151" i="7"/>
  <c r="AD169" i="7"/>
  <c r="AD102" i="7"/>
  <c r="AD202" i="7"/>
  <c r="AD144" i="7"/>
  <c r="AD143" i="7"/>
  <c r="AD104" i="7"/>
  <c r="AD135" i="7"/>
  <c r="AD179" i="7"/>
  <c r="AD34" i="7"/>
  <c r="AD109" i="7"/>
  <c r="AD199" i="7"/>
  <c r="AD72" i="7"/>
  <c r="AD63" i="7"/>
  <c r="AD204" i="7"/>
  <c r="AD101" i="7"/>
  <c r="AD64" i="7"/>
  <c r="AD58" i="7"/>
  <c r="AD54" i="7"/>
  <c r="AD178" i="7"/>
  <c r="AD139" i="7"/>
  <c r="AD162" i="7"/>
  <c r="AD98" i="7"/>
  <c r="AD69" i="7"/>
  <c r="AD65" i="7"/>
  <c r="AD60" i="7"/>
  <c r="AD203" i="7"/>
  <c r="AD95" i="7"/>
  <c r="AD93" i="7"/>
  <c r="AD91" i="7"/>
  <c r="AD89" i="7"/>
  <c r="AD87" i="7"/>
  <c r="AD85" i="7"/>
  <c r="AD83" i="7"/>
  <c r="AD81" i="7"/>
  <c r="AD79" i="7"/>
  <c r="AD77" i="7"/>
  <c r="AD75" i="7"/>
  <c r="AD71" i="7"/>
  <c r="AD61" i="7"/>
  <c r="AD33" i="7"/>
  <c r="AD46" i="7"/>
  <c r="AD57" i="7"/>
  <c r="AD207" i="7"/>
  <c r="AD73" i="7"/>
  <c r="AD51" i="7"/>
  <c r="AD52" i="7"/>
  <c r="AD108" i="7"/>
  <c r="AD149" i="7"/>
  <c r="AD145" i="7"/>
  <c r="AD133" i="7"/>
  <c r="AD48" i="7"/>
  <c r="AD115" i="7"/>
  <c r="AD97" i="7"/>
  <c r="AD66" i="7"/>
  <c r="AD110" i="7"/>
  <c r="AD112" i="7"/>
  <c r="AD99" i="7"/>
  <c r="AD67" i="7"/>
  <c r="AD62" i="7"/>
  <c r="AD200" i="7"/>
  <c r="AD127" i="7"/>
  <c r="AD173" i="7"/>
  <c r="AD177" i="7"/>
  <c r="AD122" i="7"/>
  <c r="AD163" i="7"/>
  <c r="AD146" i="7"/>
  <c r="AD106" i="7"/>
  <c r="AD103" i="7"/>
  <c r="AD74" i="7"/>
  <c r="AD70" i="7"/>
  <c r="AD59" i="7"/>
  <c r="AD29" i="7"/>
  <c r="AD105" i="7"/>
  <c r="AD96" i="7"/>
  <c r="AD94" i="7"/>
  <c r="AD92" i="7"/>
  <c r="AD90" i="7"/>
  <c r="AD88" i="7"/>
  <c r="AD86" i="7"/>
  <c r="AD84" i="7"/>
  <c r="AD82" i="7"/>
  <c r="AD80" i="7"/>
  <c r="AD78" i="7"/>
  <c r="AD76" i="7"/>
  <c r="AD35" i="7"/>
  <c r="AD39" i="7"/>
  <c r="AD107" i="7"/>
  <c r="AD56" i="7"/>
  <c r="AD113" i="7"/>
  <c r="AD68" i="7"/>
  <c r="AD111" i="7"/>
  <c r="AD45" i="7"/>
  <c r="AD40" i="7"/>
  <c r="AD43" i="7"/>
  <c r="AD26" i="7"/>
  <c r="AD41" i="7"/>
  <c r="AD47" i="7"/>
  <c r="AD32" i="7"/>
  <c r="AD50" i="7"/>
  <c r="AD36" i="7"/>
  <c r="AD23" i="7"/>
  <c r="AD24" i="7"/>
  <c r="AD55" i="7"/>
  <c r="AD42" i="7"/>
  <c r="AD38" i="7"/>
  <c r="AD30" i="7"/>
  <c r="AD27" i="7"/>
  <c r="AD44" i="7"/>
  <c r="AD25" i="7"/>
  <c r="AD49" i="7"/>
  <c r="AD53" i="7"/>
  <c r="AD31" i="7"/>
  <c r="AD37" i="7"/>
  <c r="AD28" i="7"/>
  <c r="AH553" i="7"/>
  <c r="AH538" i="7"/>
  <c r="AH536" i="7"/>
  <c r="AH546" i="7"/>
  <c r="AH537" i="7"/>
  <c r="AH543" i="7"/>
  <c r="AH550" i="7"/>
  <c r="AH535" i="7"/>
  <c r="AH544" i="7"/>
  <c r="AH549" i="7"/>
  <c r="AH541" i="7"/>
  <c r="AH551" i="7"/>
  <c r="AH548" i="7"/>
  <c r="AH534" i="7"/>
  <c r="AH540" i="7"/>
  <c r="AH552" i="7"/>
  <c r="AH529" i="7"/>
  <c r="AH542" i="7"/>
  <c r="AH547" i="7"/>
  <c r="AH525" i="7"/>
  <c r="AH539" i="7"/>
  <c r="AH545" i="7"/>
  <c r="AH518" i="7"/>
  <c r="AH533" i="7"/>
  <c r="AH508" i="7"/>
  <c r="AH526" i="7"/>
  <c r="AH519" i="7"/>
  <c r="AH527" i="7"/>
  <c r="AH523" i="7"/>
  <c r="AH530" i="7"/>
  <c r="AH512" i="7"/>
  <c r="AH524" i="7"/>
  <c r="AH532" i="7"/>
  <c r="AH522" i="7"/>
  <c r="AH531" i="7"/>
  <c r="AH528" i="7"/>
  <c r="AH521" i="7"/>
  <c r="AH517" i="7"/>
  <c r="AH511" i="7"/>
  <c r="AH514" i="7"/>
  <c r="AH513" i="7"/>
  <c r="AH510" i="7"/>
  <c r="AH520" i="7"/>
  <c r="AH509" i="7"/>
  <c r="AH516" i="7"/>
  <c r="AH464" i="7"/>
  <c r="AH463" i="7"/>
  <c r="AH506" i="7"/>
  <c r="AH468" i="7"/>
  <c r="AH473" i="7"/>
  <c r="AH497" i="7"/>
  <c r="AH456" i="7"/>
  <c r="AH507" i="7"/>
  <c r="AH485" i="7"/>
  <c r="AH470" i="7"/>
  <c r="AH515" i="7"/>
  <c r="AH499" i="7"/>
  <c r="AH457" i="7"/>
  <c r="AH505" i="7"/>
  <c r="AH479" i="7"/>
  <c r="AH450" i="7"/>
  <c r="AH455" i="7"/>
  <c r="AH484" i="7"/>
  <c r="AH460" i="7"/>
  <c r="AH453" i="7"/>
  <c r="AH502" i="7"/>
  <c r="AH495" i="7"/>
  <c r="AH488" i="7"/>
  <c r="AH476" i="7"/>
  <c r="AH481" i="7"/>
  <c r="AH447" i="7"/>
  <c r="AH467" i="7"/>
  <c r="AH489" i="7"/>
  <c r="AH458" i="7"/>
  <c r="AH459" i="7"/>
  <c r="AH491" i="7"/>
  <c r="AH474" i="7"/>
  <c r="AH480" i="7"/>
  <c r="AH461" i="7"/>
  <c r="AH490" i="7"/>
  <c r="AH471" i="7"/>
  <c r="AH451" i="7"/>
  <c r="AH466" i="7"/>
  <c r="AH472" i="7"/>
  <c r="AH462" i="7"/>
  <c r="AH498" i="7"/>
  <c r="AH475" i="7"/>
  <c r="AH442" i="7"/>
  <c r="AH482" i="7"/>
  <c r="AH501" i="7"/>
  <c r="AH493" i="7"/>
  <c r="AH492" i="7"/>
  <c r="AH452" i="7"/>
  <c r="AH503" i="7"/>
  <c r="AH477" i="7"/>
  <c r="AH446" i="7"/>
  <c r="AH500" i="7"/>
  <c r="AH469" i="7"/>
  <c r="AH504" i="7"/>
  <c r="AH496" i="7"/>
  <c r="AH486" i="7"/>
  <c r="AH487" i="7"/>
  <c r="AH449" i="7"/>
  <c r="AH454" i="7"/>
  <c r="AH483" i="7"/>
  <c r="AH478" i="7"/>
  <c r="AH494" i="7"/>
  <c r="AH465" i="7"/>
  <c r="AH448" i="7"/>
  <c r="AH441" i="7"/>
  <c r="AH445" i="7"/>
  <c r="AH444" i="7"/>
  <c r="AH443" i="7"/>
  <c r="AH424" i="7"/>
  <c r="AH440" i="7"/>
  <c r="AH438" i="7"/>
  <c r="AH433" i="7"/>
  <c r="AH420" i="7"/>
  <c r="AH436" i="7"/>
  <c r="AH403" i="7"/>
  <c r="AH414" i="7"/>
  <c r="AH434" i="7"/>
  <c r="AH428" i="7"/>
  <c r="AH431" i="7"/>
  <c r="AH407" i="7"/>
  <c r="AH423" i="7"/>
  <c r="AH416" i="7"/>
  <c r="AH376" i="7"/>
  <c r="AH380" i="7"/>
  <c r="AH426" i="7"/>
  <c r="AH413" i="7"/>
  <c r="AH418" i="7"/>
  <c r="AH408" i="7"/>
  <c r="AH417" i="7"/>
  <c r="AH411" i="7"/>
  <c r="AH415" i="7"/>
  <c r="AH402" i="7"/>
  <c r="AH432" i="7"/>
  <c r="AH406" i="7"/>
  <c r="AH410" i="7"/>
  <c r="AH421" i="7"/>
  <c r="AH385" i="7"/>
  <c r="AH368" i="7"/>
  <c r="AH381" i="7"/>
  <c r="AH435" i="7"/>
  <c r="AH430" i="7"/>
  <c r="AH364" i="7"/>
  <c r="AH425" i="7"/>
  <c r="AH429" i="7"/>
  <c r="AH437" i="7"/>
  <c r="AH356" i="7"/>
  <c r="AH404" i="7"/>
  <c r="AH422" i="7"/>
  <c r="AH409" i="7"/>
  <c r="AH405" i="7"/>
  <c r="AH439" i="7"/>
  <c r="AH412" i="7"/>
  <c r="AH419" i="7"/>
  <c r="AH390" i="7"/>
  <c r="AH360" i="7"/>
  <c r="AH427" i="7"/>
  <c r="AH389" i="7"/>
  <c r="AH372" i="7"/>
  <c r="AH379" i="7"/>
  <c r="AH396" i="7"/>
  <c r="AH400" i="7"/>
  <c r="AH375" i="7"/>
  <c r="AH367" i="7"/>
  <c r="AH297" i="7"/>
  <c r="AH327" i="7"/>
  <c r="AH345" i="7"/>
  <c r="AH392" i="7"/>
  <c r="AH359" i="7"/>
  <c r="AH363" i="7"/>
  <c r="AH384" i="7"/>
  <c r="AH331" i="7"/>
  <c r="AH397" i="7"/>
  <c r="AH393" i="7"/>
  <c r="AH388" i="7"/>
  <c r="AH293" i="7"/>
  <c r="AH341" i="7"/>
  <c r="AH336" i="7"/>
  <c r="AH333" i="7"/>
  <c r="AH321" i="7"/>
  <c r="AH377" i="7"/>
  <c r="AH339" i="7"/>
  <c r="AH358" i="7"/>
  <c r="AH378" i="7"/>
  <c r="AH394" i="7"/>
  <c r="AH347" i="7"/>
  <c r="AH361" i="7"/>
  <c r="AH342" i="7"/>
  <c r="AH351" i="7"/>
  <c r="AH374" i="7"/>
  <c r="AH373" i="7"/>
  <c r="AH329" i="7"/>
  <c r="AH371" i="7"/>
  <c r="AH355" i="7"/>
  <c r="AH338" i="7"/>
  <c r="AH398" i="7"/>
  <c r="AH395" i="7"/>
  <c r="AH387" i="7"/>
  <c r="AH303" i="7"/>
  <c r="AH302" i="7"/>
  <c r="AH365" i="7"/>
  <c r="AH300" i="7"/>
  <c r="AH317" i="7"/>
  <c r="AH337" i="7"/>
  <c r="AH343" i="7"/>
  <c r="AH325" i="7"/>
  <c r="AH346" i="7"/>
  <c r="AH362" i="7"/>
  <c r="AH383" i="7"/>
  <c r="AH366" i="7"/>
  <c r="AH401" i="7"/>
  <c r="AH386" i="7"/>
  <c r="AH357" i="7"/>
  <c r="AH369" i="7"/>
  <c r="AH399" i="7"/>
  <c r="AH391" i="7"/>
  <c r="AH382" i="7"/>
  <c r="AH370" i="7"/>
  <c r="AH292" i="7"/>
  <c r="AH350" i="7"/>
  <c r="AH324" i="7"/>
  <c r="AH219" i="7"/>
  <c r="AH231" i="7"/>
  <c r="AH247" i="7"/>
  <c r="AH285" i="7"/>
  <c r="AH281" i="7"/>
  <c r="AH209" i="7"/>
  <c r="AH241" i="7"/>
  <c r="AH257" i="7"/>
  <c r="AH265" i="7"/>
  <c r="AH283" i="7"/>
  <c r="AH326" i="7"/>
  <c r="AH282" i="7"/>
  <c r="AH307" i="7"/>
  <c r="AH290" i="7"/>
  <c r="AH330" i="7"/>
  <c r="AH349" i="7"/>
  <c r="AH284" i="7"/>
  <c r="AH313" i="7"/>
  <c r="AH312" i="7"/>
  <c r="AH309" i="7"/>
  <c r="AH320" i="7"/>
  <c r="AH227" i="7"/>
  <c r="AH223" i="7"/>
  <c r="AH243" i="7"/>
  <c r="AH255" i="7"/>
  <c r="AH289" i="7"/>
  <c r="AH218" i="7"/>
  <c r="AH234" i="7"/>
  <c r="AH213" i="7"/>
  <c r="AH221" i="7"/>
  <c r="AH237" i="7"/>
  <c r="AH253" i="7"/>
  <c r="AH269" i="7"/>
  <c r="AH315" i="7"/>
  <c r="AH299" i="7"/>
  <c r="AH287" i="7"/>
  <c r="AH314" i="7"/>
  <c r="AH276" i="7"/>
  <c r="AH353" i="7"/>
  <c r="AH316" i="7"/>
  <c r="AH211" i="7"/>
  <c r="AH259" i="7"/>
  <c r="AH263" i="7"/>
  <c r="AH271" i="7"/>
  <c r="AH235" i="7"/>
  <c r="AH354" i="7"/>
  <c r="AH323" i="7"/>
  <c r="AH328" i="7"/>
  <c r="AH229" i="7"/>
  <c r="AH245" i="7"/>
  <c r="AH261" i="7"/>
  <c r="AH291" i="7"/>
  <c r="AH286" i="7"/>
  <c r="AH340" i="7"/>
  <c r="AH306" i="7"/>
  <c r="AH280" i="7"/>
  <c r="AH332" i="7"/>
  <c r="AH308" i="7"/>
  <c r="AH288" i="7"/>
  <c r="AH296" i="7"/>
  <c r="AH215" i="7"/>
  <c r="AH275" i="7"/>
  <c r="AH239" i="7"/>
  <c r="AH251" i="7"/>
  <c r="AH267" i="7"/>
  <c r="AH301" i="7"/>
  <c r="AH335" i="7"/>
  <c r="AH277" i="7"/>
  <c r="AH214" i="7"/>
  <c r="AH222" i="7"/>
  <c r="AH258" i="7"/>
  <c r="AH217" i="7"/>
  <c r="AH225" i="7"/>
  <c r="AH233" i="7"/>
  <c r="AH249" i="7"/>
  <c r="AH273" i="7"/>
  <c r="AH304" i="7"/>
  <c r="AH311" i="7"/>
  <c r="AH295" i="7"/>
  <c r="AH305" i="7"/>
  <c r="AH322" i="7"/>
  <c r="AH352" i="7"/>
  <c r="AH334" i="7"/>
  <c r="AH318" i="7"/>
  <c r="AH310" i="7"/>
  <c r="AH319" i="7"/>
  <c r="AH348" i="7"/>
  <c r="AH294" i="7"/>
  <c r="AH344" i="7"/>
  <c r="AH298" i="7"/>
  <c r="AH138" i="7"/>
  <c r="AH216" i="7"/>
  <c r="AH260" i="7"/>
  <c r="AH244" i="7"/>
  <c r="AH228" i="7"/>
  <c r="AH126" i="7"/>
  <c r="AH279" i="7"/>
  <c r="AH124" i="7"/>
  <c r="AH136" i="7"/>
  <c r="AH118" i="7"/>
  <c r="AH252" i="7"/>
  <c r="AH272" i="7"/>
  <c r="AH264" i="7"/>
  <c r="AH256" i="7"/>
  <c r="AH224" i="7"/>
  <c r="AH182" i="7"/>
  <c r="AH166" i="7"/>
  <c r="AH187" i="7"/>
  <c r="AH190" i="7"/>
  <c r="AH220" i="7"/>
  <c r="AH121" i="7"/>
  <c r="AH196" i="7"/>
  <c r="AH129" i="7"/>
  <c r="AH232" i="7"/>
  <c r="AH208" i="7"/>
  <c r="AH236" i="7"/>
  <c r="AH130" i="7"/>
  <c r="AH142" i="7"/>
  <c r="AH171" i="7"/>
  <c r="AH174" i="7"/>
  <c r="AH268" i="7"/>
  <c r="AH212" i="7"/>
  <c r="AH248" i="7"/>
  <c r="AH240" i="7"/>
  <c r="AH150" i="7"/>
  <c r="AH131" i="7"/>
  <c r="AH155" i="7"/>
  <c r="AH158" i="7"/>
  <c r="AH140" i="7"/>
  <c r="AH137" i="7"/>
  <c r="AH278" i="7"/>
  <c r="AH270" i="7"/>
  <c r="AH262" i="7"/>
  <c r="AH246" i="7"/>
  <c r="AH238" i="7"/>
  <c r="AH198" i="7"/>
  <c r="AH226" i="7"/>
  <c r="AH250" i="7"/>
  <c r="AH274" i="7"/>
  <c r="AH266" i="7"/>
  <c r="AH254" i="7"/>
  <c r="AH242" i="7"/>
  <c r="AH230" i="7"/>
  <c r="AH210" i="7"/>
  <c r="AH206" i="7"/>
  <c r="AH117" i="7"/>
  <c r="AH106" i="7"/>
  <c r="AH147" i="7"/>
  <c r="AH154" i="7"/>
  <c r="AH160" i="7"/>
  <c r="AH102" i="7"/>
  <c r="AH172" i="7"/>
  <c r="AH165" i="7"/>
  <c r="AH197" i="7"/>
  <c r="AH178" i="7"/>
  <c r="AH135" i="7"/>
  <c r="AH123" i="7"/>
  <c r="AH169" i="7"/>
  <c r="AH189" i="7"/>
  <c r="AH186" i="7"/>
  <c r="AH164" i="7"/>
  <c r="AH132" i="7"/>
  <c r="AH114" i="7"/>
  <c r="AH52" i="7"/>
  <c r="AH193" i="7"/>
  <c r="AH141" i="7"/>
  <c r="AH157" i="7"/>
  <c r="AH98" i="7"/>
  <c r="AH148" i="7"/>
  <c r="AH188" i="7"/>
  <c r="AH156" i="7"/>
  <c r="AH201" i="7"/>
  <c r="AH128" i="7"/>
  <c r="AH176" i="7"/>
  <c r="AH125" i="7"/>
  <c r="AH133" i="7"/>
  <c r="AH120" i="7"/>
  <c r="AH104" i="7"/>
  <c r="AH170" i="7"/>
  <c r="AH116" i="7"/>
  <c r="AH161" i="7"/>
  <c r="AH184" i="7"/>
  <c r="AH185" i="7"/>
  <c r="AH192" i="7"/>
  <c r="AH153" i="7"/>
  <c r="AH51" i="7"/>
  <c r="AH54" i="7"/>
  <c r="AH48" i="7"/>
  <c r="AH127" i="7"/>
  <c r="AH162" i="7"/>
  <c r="AH149" i="7"/>
  <c r="AH177" i="7"/>
  <c r="AH195" i="7"/>
  <c r="AH180" i="7"/>
  <c r="AH167" i="7"/>
  <c r="AH173" i="7"/>
  <c r="AH143" i="7"/>
  <c r="AH122" i="7"/>
  <c r="AH202" i="7"/>
  <c r="AH168" i="7"/>
  <c r="AH205" i="7"/>
  <c r="AH69" i="7"/>
  <c r="AH65" i="7"/>
  <c r="AH60" i="7"/>
  <c r="AH46" i="7"/>
  <c r="AH203" i="7"/>
  <c r="AH115" i="7"/>
  <c r="AH97" i="7"/>
  <c r="AH95" i="7"/>
  <c r="AH93" i="7"/>
  <c r="AH91" i="7"/>
  <c r="AH89" i="7"/>
  <c r="AH87" i="7"/>
  <c r="AH85" i="7"/>
  <c r="AH83" i="7"/>
  <c r="AH81" i="7"/>
  <c r="AH79" i="7"/>
  <c r="AH77" i="7"/>
  <c r="AH75" i="7"/>
  <c r="AH71" i="7"/>
  <c r="AH61" i="7"/>
  <c r="AH110" i="7"/>
  <c r="AH99" i="7"/>
  <c r="AH57" i="7"/>
  <c r="AH207" i="7"/>
  <c r="AH73" i="7"/>
  <c r="AH183" i="7"/>
  <c r="AH159" i="7"/>
  <c r="AH181" i="7"/>
  <c r="AH152" i="7"/>
  <c r="AH108" i="7"/>
  <c r="AH146" i="7"/>
  <c r="AH179" i="7"/>
  <c r="AH103" i="7"/>
  <c r="AH35" i="7"/>
  <c r="AH39" i="7"/>
  <c r="AH105" i="7"/>
  <c r="AH66" i="7"/>
  <c r="AH29" i="7"/>
  <c r="AH107" i="7"/>
  <c r="AH67" i="7"/>
  <c r="AH62" i="7"/>
  <c r="AH204" i="7"/>
  <c r="AH113" i="7"/>
  <c r="AH111" i="7"/>
  <c r="AH194" i="7"/>
  <c r="AH139" i="7"/>
  <c r="AH163" i="7"/>
  <c r="AH74" i="7"/>
  <c r="AH70" i="7"/>
  <c r="AH59" i="7"/>
  <c r="AH96" i="7"/>
  <c r="AH94" i="7"/>
  <c r="AH92" i="7"/>
  <c r="AH90" i="7"/>
  <c r="AH88" i="7"/>
  <c r="AH86" i="7"/>
  <c r="AH84" i="7"/>
  <c r="AH82" i="7"/>
  <c r="AH80" i="7"/>
  <c r="AH78" i="7"/>
  <c r="AH76" i="7"/>
  <c r="AH109" i="7"/>
  <c r="AH34" i="7"/>
  <c r="AH56" i="7"/>
  <c r="AH101" i="7"/>
  <c r="AH68" i="7"/>
  <c r="AH191" i="7"/>
  <c r="AH175" i="7"/>
  <c r="AH151" i="7"/>
  <c r="AH119" i="7"/>
  <c r="AH134" i="7"/>
  <c r="AH145" i="7"/>
  <c r="AH100" i="7"/>
  <c r="AH144" i="7"/>
  <c r="AH33" i="7"/>
  <c r="AH199" i="7"/>
  <c r="AH112" i="7"/>
  <c r="AH72" i="7"/>
  <c r="AH63" i="7"/>
  <c r="AH200" i="7"/>
  <c r="AH64" i="7"/>
  <c r="AH58" i="7"/>
  <c r="AH45" i="7"/>
  <c r="AH43" i="7"/>
  <c r="AH53" i="7"/>
  <c r="AH50" i="7"/>
  <c r="AH38" i="7"/>
  <c r="AH49" i="7"/>
  <c r="AH44" i="7"/>
  <c r="AH41" i="7"/>
  <c r="AH25" i="7"/>
  <c r="AH47" i="7"/>
  <c r="AH42" i="7"/>
  <c r="AH32" i="7"/>
  <c r="AH30" i="7"/>
  <c r="AH26" i="7"/>
  <c r="AH31" i="7"/>
  <c r="AH37" i="7"/>
  <c r="AH36" i="7"/>
  <c r="AH27" i="7"/>
  <c r="AH24" i="7"/>
  <c r="AH40" i="7"/>
  <c r="AH28" i="7"/>
  <c r="AH23" i="7"/>
  <c r="AH55" i="7"/>
  <c r="AN543" i="7"/>
  <c r="AN549" i="7"/>
  <c r="AN536" i="7"/>
  <c r="AN552" i="7"/>
  <c r="AN527" i="7"/>
  <c r="AN539" i="7"/>
  <c r="AN546" i="7"/>
  <c r="AN547" i="7"/>
  <c r="AN548" i="7"/>
  <c r="AN530" i="7"/>
  <c r="AN551" i="7"/>
  <c r="AN544" i="7"/>
  <c r="AN535" i="7"/>
  <c r="AN542" i="7"/>
  <c r="AN538" i="7"/>
  <c r="AN545" i="7"/>
  <c r="AN540" i="7"/>
  <c r="AN529" i="7"/>
  <c r="AN525" i="7"/>
  <c r="AN509" i="7"/>
  <c r="AN528" i="7"/>
  <c r="AN532" i="7"/>
  <c r="AN533" i="7"/>
  <c r="AN522" i="7"/>
  <c r="AN531" i="7"/>
  <c r="AN523" i="7"/>
  <c r="AN524" i="7"/>
  <c r="AN466" i="7"/>
  <c r="AN519" i="7"/>
  <c r="AN475" i="7"/>
  <c r="AN467" i="7"/>
  <c r="AN480" i="7"/>
  <c r="AN511" i="7"/>
  <c r="AN506" i="7"/>
  <c r="AN507" i="7"/>
  <c r="AN514" i="7"/>
  <c r="AN508" i="7"/>
  <c r="AN476" i="7"/>
  <c r="AN462" i="7"/>
  <c r="AN515" i="7"/>
  <c r="AN510" i="7"/>
  <c r="AN520" i="7"/>
  <c r="AN516" i="7"/>
  <c r="AN479" i="7"/>
  <c r="AN468" i="7"/>
  <c r="AN463" i="7"/>
  <c r="AN464" i="7"/>
  <c r="AN456" i="7"/>
  <c r="AN457" i="7"/>
  <c r="AN485" i="7"/>
  <c r="AN454" i="7"/>
  <c r="AN461" i="7"/>
  <c r="AN453" i="7"/>
  <c r="AN469" i="7"/>
  <c r="AN473" i="7"/>
  <c r="AN503" i="7"/>
  <c r="AN488" i="7"/>
  <c r="AN499" i="7"/>
  <c r="AN502" i="7"/>
  <c r="AN460" i="7"/>
  <c r="AN481" i="7"/>
  <c r="AN451" i="7"/>
  <c r="AN496" i="7"/>
  <c r="AN484" i="7"/>
  <c r="AN455" i="7"/>
  <c r="AN482" i="7"/>
  <c r="AN497" i="7"/>
  <c r="AN491" i="7"/>
  <c r="AN471" i="7"/>
  <c r="AN492" i="7"/>
  <c r="AN452" i="7"/>
  <c r="AN500" i="7"/>
  <c r="AN493" i="7"/>
  <c r="AN494" i="7"/>
  <c r="AN458" i="7"/>
  <c r="AN487" i="7"/>
  <c r="AN478" i="7"/>
  <c r="AN459" i="7"/>
  <c r="AN490" i="7"/>
  <c r="AN495" i="7"/>
  <c r="AN483" i="7"/>
  <c r="AN472" i="7"/>
  <c r="AN501" i="7"/>
  <c r="AN477" i="7"/>
  <c r="AN474" i="7"/>
  <c r="AN504" i="7"/>
  <c r="AN97" i="7"/>
  <c r="AN98" i="7"/>
  <c r="AN102" i="7"/>
  <c r="AN106" i="7"/>
  <c r="AN133" i="7"/>
  <c r="AN113" i="7"/>
  <c r="AN143" i="7"/>
  <c r="AN159" i="7"/>
  <c r="AN175" i="7"/>
  <c r="AN62" i="7"/>
  <c r="AN93" i="7"/>
  <c r="AN76" i="7"/>
  <c r="AN84" i="7"/>
  <c r="AN92" i="7"/>
  <c r="AN85" i="7"/>
  <c r="AN75" i="7"/>
  <c r="AN83" i="7"/>
  <c r="AN91" i="7"/>
  <c r="AN78" i="7"/>
  <c r="AN86" i="7"/>
  <c r="AN94" i="7"/>
  <c r="AN89" i="7"/>
  <c r="AN123" i="7"/>
  <c r="AN139" i="7"/>
  <c r="AN191" i="7"/>
  <c r="AN100" i="7"/>
  <c r="AN104" i="7"/>
  <c r="AN108" i="7"/>
  <c r="AN69" i="7"/>
  <c r="AN114" i="7"/>
  <c r="AN119" i="7"/>
  <c r="AN135" i="7"/>
  <c r="AN151" i="7"/>
  <c r="AN167" i="7"/>
  <c r="AN77" i="7"/>
  <c r="AN56" i="7"/>
  <c r="AN80" i="7"/>
  <c r="AN88" i="7"/>
  <c r="AN96" i="7"/>
  <c r="AN59" i="7"/>
  <c r="AN79" i="7"/>
  <c r="AN87" i="7"/>
  <c r="AN95" i="7"/>
  <c r="AN82" i="7"/>
  <c r="AN90" i="7"/>
  <c r="AN81" i="7"/>
  <c r="AN163" i="7"/>
  <c r="AN183" i="7"/>
  <c r="AN149" i="7"/>
  <c r="AN181" i="7"/>
  <c r="AN161" i="7"/>
  <c r="AN193" i="7"/>
  <c r="AN168" i="7"/>
  <c r="AN157" i="7"/>
  <c r="AN173" i="7"/>
  <c r="AN189" i="7"/>
  <c r="AN23" i="7"/>
  <c r="AN140" i="7"/>
  <c r="AN127" i="7"/>
  <c r="AN144" i="7"/>
  <c r="AN136" i="7"/>
  <c r="AN134" i="7"/>
  <c r="AN145" i="7"/>
  <c r="AN131" i="7"/>
  <c r="AN138" i="7"/>
  <c r="AN186" i="7"/>
  <c r="AN121" i="7"/>
  <c r="AN188" i="7"/>
  <c r="AN141" i="7"/>
  <c r="AN150" i="7"/>
  <c r="AN137" i="7"/>
  <c r="AN182" i="7"/>
  <c r="AN165" i="7"/>
  <c r="AN147" i="7"/>
  <c r="AN166" i="7"/>
  <c r="AN107" i="7"/>
  <c r="AN99" i="7"/>
  <c r="AN184" i="7"/>
  <c r="AN179" i="7"/>
  <c r="AN169" i="7"/>
  <c r="AN129" i="7"/>
  <c r="AN178" i="7"/>
  <c r="AN172" i="7"/>
  <c r="AN156" i="7"/>
  <c r="AN160" i="7"/>
  <c r="AN142" i="7"/>
  <c r="AN195" i="7"/>
  <c r="AN125" i="7"/>
  <c r="AN170" i="7"/>
  <c r="AN27" i="7"/>
  <c r="AN132" i="7"/>
  <c r="AN148" i="7"/>
  <c r="AN120" i="7"/>
  <c r="AN185" i="7"/>
  <c r="AN187" i="7"/>
  <c r="AN155" i="7"/>
  <c r="AN105" i="7"/>
  <c r="AN122" i="7"/>
  <c r="AN162" i="7"/>
  <c r="AN196" i="7"/>
  <c r="AN174" i="7"/>
  <c r="AN158" i="7"/>
  <c r="AN171" i="7"/>
  <c r="AN128" i="7"/>
  <c r="AN126" i="7"/>
  <c r="AN118" i="7"/>
  <c r="AN146" i="7"/>
  <c r="AN177" i="7"/>
  <c r="AN164" i="7"/>
  <c r="AN124" i="7"/>
  <c r="AN153" i="7"/>
  <c r="AN180" i="7"/>
  <c r="AN50" i="7"/>
  <c r="AN130" i="7"/>
  <c r="AN176" i="7"/>
  <c r="AN110" i="7"/>
  <c r="AN53" i="7"/>
  <c r="AN71" i="7"/>
  <c r="AN66" i="7"/>
  <c r="AN63" i="7"/>
  <c r="AN103" i="7"/>
  <c r="AN68" i="7"/>
  <c r="AN64" i="7"/>
  <c r="AN117" i="7"/>
  <c r="AN74" i="7"/>
  <c r="AN49" i="7"/>
  <c r="AN67" i="7"/>
  <c r="AN57" i="7"/>
  <c r="AN115" i="7"/>
  <c r="AN190" i="7"/>
  <c r="AN101" i="7"/>
  <c r="AN192" i="7"/>
  <c r="AN116" i="7"/>
  <c r="AN109" i="7"/>
  <c r="AN70" i="7"/>
  <c r="AN65" i="7"/>
  <c r="AN55" i="7"/>
  <c r="AN61" i="7"/>
  <c r="AN72" i="7"/>
  <c r="AN154" i="7"/>
  <c r="AN194" i="7"/>
  <c r="AN152" i="7"/>
  <c r="AN73" i="7"/>
  <c r="AN58" i="7"/>
  <c r="AN60" i="7"/>
  <c r="AN25" i="7"/>
  <c r="AN47" i="7"/>
  <c r="AN111" i="7"/>
  <c r="AN112" i="7"/>
  <c r="AN29" i="7"/>
  <c r="AN34" i="7"/>
  <c r="AN31" i="7"/>
  <c r="AN33" i="7"/>
  <c r="AN52" i="7"/>
  <c r="AN45" i="7"/>
  <c r="AN28" i="7"/>
  <c r="AN30" i="7"/>
  <c r="AN41" i="7"/>
  <c r="AN51" i="7"/>
  <c r="AN44" i="7"/>
  <c r="AN17" i="7"/>
  <c r="AN35" i="7"/>
  <c r="AN39" i="7"/>
  <c r="AN48" i="7"/>
  <c r="AN36" i="7"/>
  <c r="AN42" i="7"/>
  <c r="AN54" i="7"/>
  <c r="AN46" i="7"/>
  <c r="AN37" i="7"/>
  <c r="AN40" i="7"/>
  <c r="AN32" i="7"/>
  <c r="AN38" i="7"/>
  <c r="AN26" i="7"/>
  <c r="AN43" i="7"/>
  <c r="AN24" i="7"/>
  <c r="AN7" i="7"/>
  <c r="M11" i="7"/>
  <c r="AC17" i="7"/>
  <c r="AL22" i="7"/>
  <c r="AN22" i="7"/>
  <c r="AE7" i="7"/>
  <c r="AC8" i="7"/>
  <c r="AG8" i="7"/>
  <c r="Y9" i="7"/>
  <c r="M10" i="7"/>
  <c r="AP11" i="7"/>
  <c r="AH12" i="7"/>
  <c r="AD12" i="7"/>
  <c r="X13" i="7"/>
  <c r="R14" i="7"/>
  <c r="F15" i="7"/>
  <c r="L15" i="7" s="1"/>
  <c r="AS15" i="7" s="1"/>
  <c r="AK15" i="7"/>
  <c r="AP15" i="7"/>
  <c r="AE16" i="7"/>
  <c r="X17" i="7"/>
  <c r="Y17" i="7"/>
  <c r="V18" i="7"/>
  <c r="M19" i="7"/>
  <c r="R19" i="7"/>
  <c r="AN20" i="7"/>
  <c r="AC21" i="7"/>
  <c r="AD21" i="7"/>
  <c r="V7" i="7"/>
  <c r="W7" i="7"/>
  <c r="U8" i="7"/>
  <c r="AK10" i="7"/>
  <c r="AO10" i="7"/>
  <c r="AD11" i="7"/>
  <c r="Z12" i="7"/>
  <c r="AL14" i="7"/>
  <c r="AP14" i="7"/>
  <c r="AH15" i="7"/>
  <c r="Z16" i="7"/>
  <c r="Y16" i="7"/>
  <c r="R17" i="7"/>
  <c r="AK19" i="7"/>
  <c r="AO19" i="7"/>
  <c r="AD20" i="7"/>
  <c r="Y21" i="7"/>
  <c r="Z21" i="7"/>
  <c r="AG9" i="7"/>
  <c r="W14" i="7"/>
  <c r="AD18" i="7"/>
  <c r="AE18" i="7"/>
  <c r="AO21" i="7"/>
  <c r="AL21" i="7"/>
  <c r="AL6" i="7"/>
  <c r="M8" i="7"/>
  <c r="T8" i="7" s="1"/>
  <c r="AK9" i="7"/>
  <c r="AH10" i="7"/>
  <c r="X11" i="7"/>
  <c r="R12" i="7"/>
  <c r="M12" i="7"/>
  <c r="AK13" i="7"/>
  <c r="AR13" i="7" s="1"/>
  <c r="AH14" i="7"/>
  <c r="X15" i="7"/>
  <c r="Z15" i="7"/>
  <c r="AB15" i="7" s="1"/>
  <c r="F18" i="7"/>
  <c r="L18" i="7" s="1"/>
  <c r="AS18" i="7" s="1"/>
  <c r="AM18" i="7"/>
  <c r="AC19" i="7"/>
  <c r="AG19" i="7"/>
  <c r="Z20" i="7"/>
  <c r="M21" i="7"/>
  <c r="T21" i="7" s="1"/>
  <c r="F22" i="7"/>
  <c r="L22" i="7" s="1"/>
  <c r="AS22" i="7" s="1"/>
  <c r="AH22" i="7"/>
  <c r="AJ22" i="7" s="1"/>
  <c r="AL8" i="7"/>
  <c r="W10" i="7"/>
  <c r="AN12" i="7"/>
  <c r="AL12" i="7"/>
  <c r="AD13" i="7"/>
  <c r="R15" i="7"/>
  <c r="AN16" i="7"/>
  <c r="V19" i="7"/>
  <c r="AG6" i="7"/>
  <c r="U534" i="7"/>
  <c r="U553" i="7"/>
  <c r="U537" i="7"/>
  <c r="U543" i="7"/>
  <c r="U552" i="7"/>
  <c r="U549" i="7"/>
  <c r="U547" i="7"/>
  <c r="U541" i="7"/>
  <c r="U538" i="7"/>
  <c r="U536" i="7"/>
  <c r="U535" i="7"/>
  <c r="U542" i="7"/>
  <c r="U550" i="7"/>
  <c r="U551" i="7"/>
  <c r="U526" i="7"/>
  <c r="U546" i="7"/>
  <c r="U539" i="7"/>
  <c r="U540" i="7"/>
  <c r="U548" i="7"/>
  <c r="U544" i="7"/>
  <c r="U545" i="7"/>
  <c r="U529" i="7"/>
  <c r="U527" i="7"/>
  <c r="U533" i="7"/>
  <c r="U524" i="7"/>
  <c r="U531" i="7"/>
  <c r="U530" i="7"/>
  <c r="U525" i="7"/>
  <c r="U528" i="7"/>
  <c r="U522" i="7"/>
  <c r="U523" i="7"/>
  <c r="U532" i="7"/>
  <c r="U508" i="7"/>
  <c r="U481" i="7"/>
  <c r="U507" i="7"/>
  <c r="U509" i="7"/>
  <c r="U521" i="7"/>
  <c r="U520" i="7"/>
  <c r="U513" i="7"/>
  <c r="U510" i="7"/>
  <c r="U519" i="7"/>
  <c r="U512" i="7"/>
  <c r="U518" i="7"/>
  <c r="U517" i="7"/>
  <c r="U514" i="7"/>
  <c r="U455" i="7"/>
  <c r="U511" i="7"/>
  <c r="U505" i="7"/>
  <c r="U502" i="7"/>
  <c r="U447" i="7"/>
  <c r="U506" i="7"/>
  <c r="U516" i="7"/>
  <c r="U515" i="7"/>
  <c r="U457" i="7"/>
  <c r="U485" i="7"/>
  <c r="U479" i="7"/>
  <c r="U464" i="7"/>
  <c r="U453" i="7"/>
  <c r="U480" i="7"/>
  <c r="U467" i="7"/>
  <c r="U500" i="7"/>
  <c r="U498" i="7"/>
  <c r="U483" i="7"/>
  <c r="U484" i="7"/>
  <c r="U474" i="7"/>
  <c r="U504" i="7"/>
  <c r="U448" i="7"/>
  <c r="U446" i="7"/>
  <c r="U476" i="7"/>
  <c r="U450" i="7"/>
  <c r="U460" i="7"/>
  <c r="U463" i="7"/>
  <c r="U461" i="7"/>
  <c r="U477" i="7"/>
  <c r="U478" i="7"/>
  <c r="U491" i="7"/>
  <c r="U468" i="7"/>
  <c r="U462" i="7"/>
  <c r="U456" i="7"/>
  <c r="U451" i="7"/>
  <c r="U465" i="7"/>
  <c r="U487" i="7"/>
  <c r="U475" i="7"/>
  <c r="U470" i="7"/>
  <c r="U495" i="7"/>
  <c r="U472" i="7"/>
  <c r="U458" i="7"/>
  <c r="U482" i="7"/>
  <c r="U469" i="7"/>
  <c r="U473" i="7"/>
  <c r="U471" i="7"/>
  <c r="U494" i="7"/>
  <c r="U449" i="7"/>
  <c r="U497" i="7"/>
  <c r="U490" i="7"/>
  <c r="U496" i="7"/>
  <c r="U501" i="7"/>
  <c r="U499" i="7"/>
  <c r="U486" i="7"/>
  <c r="U452" i="7"/>
  <c r="U454" i="7"/>
  <c r="U466" i="7"/>
  <c r="U492" i="7"/>
  <c r="U503" i="7"/>
  <c r="U493" i="7"/>
  <c r="U488" i="7"/>
  <c r="U489" i="7"/>
  <c r="U459" i="7"/>
  <c r="U445" i="7"/>
  <c r="U443" i="7"/>
  <c r="U442" i="7"/>
  <c r="U444" i="7"/>
  <c r="U419" i="7"/>
  <c r="U437" i="7"/>
  <c r="U427" i="7"/>
  <c r="U410" i="7"/>
  <c r="U441" i="7"/>
  <c r="U433" i="7"/>
  <c r="U406" i="7"/>
  <c r="U402" i="7"/>
  <c r="U436" i="7"/>
  <c r="U379" i="7"/>
  <c r="U430" i="7"/>
  <c r="U417" i="7"/>
  <c r="U434" i="7"/>
  <c r="U426" i="7"/>
  <c r="U412" i="7"/>
  <c r="U396" i="7"/>
  <c r="U404" i="7"/>
  <c r="U440" i="7"/>
  <c r="U408" i="7"/>
  <c r="U411" i="7"/>
  <c r="U424" i="7"/>
  <c r="U407" i="7"/>
  <c r="U428" i="7"/>
  <c r="U403" i="7"/>
  <c r="U420" i="7"/>
  <c r="U363" i="7"/>
  <c r="U438" i="7"/>
  <c r="U425" i="7"/>
  <c r="U421" i="7"/>
  <c r="U409" i="7"/>
  <c r="U405" i="7"/>
  <c r="U414" i="7"/>
  <c r="U359" i="7"/>
  <c r="U413" i="7"/>
  <c r="U431" i="7"/>
  <c r="U423" i="7"/>
  <c r="U416" i="7"/>
  <c r="U422" i="7"/>
  <c r="U418" i="7"/>
  <c r="U439" i="7"/>
  <c r="U392" i="7"/>
  <c r="U400" i="7"/>
  <c r="U435" i="7"/>
  <c r="U432" i="7"/>
  <c r="U371" i="7"/>
  <c r="U415" i="7"/>
  <c r="U375" i="7"/>
  <c r="U429" i="7"/>
  <c r="U389" i="7"/>
  <c r="U397" i="7"/>
  <c r="U384" i="7"/>
  <c r="U367" i="7"/>
  <c r="U393" i="7"/>
  <c r="U388" i="7"/>
  <c r="U378" i="7"/>
  <c r="U394" i="7"/>
  <c r="U328" i="7"/>
  <c r="U395" i="7"/>
  <c r="U366" i="7"/>
  <c r="U305" i="7"/>
  <c r="U312" i="7"/>
  <c r="U308" i="7"/>
  <c r="U380" i="7"/>
  <c r="U372" i="7"/>
  <c r="U364" i="7"/>
  <c r="U356" i="7"/>
  <c r="U373" i="7"/>
  <c r="U290" i="7"/>
  <c r="U385" i="7"/>
  <c r="U324" i="7"/>
  <c r="U381" i="7"/>
  <c r="U398" i="7"/>
  <c r="U281" i="7"/>
  <c r="U301" i="7"/>
  <c r="U399" i="7"/>
  <c r="U391" i="7"/>
  <c r="U386" i="7"/>
  <c r="U361" i="7"/>
  <c r="U387" i="7"/>
  <c r="U382" i="7"/>
  <c r="U401" i="7"/>
  <c r="U362" i="7"/>
  <c r="U316" i="7"/>
  <c r="U383" i="7"/>
  <c r="U390" i="7"/>
  <c r="U376" i="7"/>
  <c r="U368" i="7"/>
  <c r="U360" i="7"/>
  <c r="U377" i="7"/>
  <c r="U365" i="7"/>
  <c r="U370" i="7"/>
  <c r="U357" i="7"/>
  <c r="U349" i="7"/>
  <c r="U374" i="7"/>
  <c r="U358" i="7"/>
  <c r="U369" i="7"/>
  <c r="U313" i="7"/>
  <c r="U345" i="7"/>
  <c r="U285" i="7"/>
  <c r="U297" i="7"/>
  <c r="U350" i="7"/>
  <c r="U317" i="7"/>
  <c r="U288" i="7"/>
  <c r="U346" i="7"/>
  <c r="U284" i="7"/>
  <c r="U338" i="7"/>
  <c r="U331" i="7"/>
  <c r="U347" i="7"/>
  <c r="U343" i="7"/>
  <c r="U303" i="7"/>
  <c r="U314" i="7"/>
  <c r="U339" i="7"/>
  <c r="U298" i="7"/>
  <c r="U208" i="7"/>
  <c r="U212" i="7"/>
  <c r="U327" i="7"/>
  <c r="U293" i="7"/>
  <c r="U309" i="7"/>
  <c r="U336" i="7"/>
  <c r="U320" i="7"/>
  <c r="U337" i="7"/>
  <c r="U332" i="7"/>
  <c r="U348" i="7"/>
  <c r="U286" i="7"/>
  <c r="U282" i="7"/>
  <c r="U325" i="7"/>
  <c r="U326" i="7"/>
  <c r="U319" i="7"/>
  <c r="U351" i="7"/>
  <c r="U321" i="7"/>
  <c r="U340" i="7"/>
  <c r="U306" i="7"/>
  <c r="U216" i="7"/>
  <c r="U232" i="7"/>
  <c r="U236" i="7"/>
  <c r="U248" i="7"/>
  <c r="U289" i="7"/>
  <c r="U355" i="7"/>
  <c r="U342" i="7"/>
  <c r="U323" i="7"/>
  <c r="U344" i="7"/>
  <c r="U302" i="7"/>
  <c r="U307" i="7"/>
  <c r="U220" i="7"/>
  <c r="U252" i="7"/>
  <c r="U311" i="7"/>
  <c r="U354" i="7"/>
  <c r="U300" i="7"/>
  <c r="U296" i="7"/>
  <c r="U335" i="7"/>
  <c r="U341" i="7"/>
  <c r="U292" i="7"/>
  <c r="U329" i="7"/>
  <c r="U294" i="7"/>
  <c r="U322" i="7"/>
  <c r="U224" i="7"/>
  <c r="U272" i="7"/>
  <c r="U334" i="7"/>
  <c r="U353" i="7"/>
  <c r="U299" i="7"/>
  <c r="U283" i="7"/>
  <c r="U330" i="7"/>
  <c r="U240" i="7"/>
  <c r="U256" i="7"/>
  <c r="U264" i="7"/>
  <c r="U315" i="7"/>
  <c r="U291" i="7"/>
  <c r="U310" i="7"/>
  <c r="U244" i="7"/>
  <c r="U260" i="7"/>
  <c r="U268" i="7"/>
  <c r="U333" i="7"/>
  <c r="U304" i="7"/>
  <c r="U295" i="7"/>
  <c r="U287" i="7"/>
  <c r="U352" i="7"/>
  <c r="U318" i="7"/>
  <c r="U228" i="7"/>
  <c r="U231" i="7"/>
  <c r="U211" i="7"/>
  <c r="U271" i="7"/>
  <c r="U115" i="7"/>
  <c r="U103" i="7"/>
  <c r="U125" i="7"/>
  <c r="U279" i="7"/>
  <c r="U235" i="7"/>
  <c r="U280" i="7"/>
  <c r="U243" i="7"/>
  <c r="U219" i="7"/>
  <c r="U275" i="7"/>
  <c r="U259" i="7"/>
  <c r="U144" i="7"/>
  <c r="U128" i="7"/>
  <c r="U147" i="7"/>
  <c r="U241" i="7"/>
  <c r="U218" i="7"/>
  <c r="U267" i="7"/>
  <c r="U247" i="7"/>
  <c r="U276" i="7"/>
  <c r="U263" i="7"/>
  <c r="U255" i="7"/>
  <c r="U215" i="7"/>
  <c r="U239" i="7"/>
  <c r="U227" i="7"/>
  <c r="U223" i="7"/>
  <c r="U251" i="7"/>
  <c r="U132" i="7"/>
  <c r="U141" i="7"/>
  <c r="U184" i="7"/>
  <c r="U214" i="7"/>
  <c r="U269" i="7"/>
  <c r="U265" i="7"/>
  <c r="U222" i="7"/>
  <c r="U278" i="7"/>
  <c r="U270" i="7"/>
  <c r="U266" i="7"/>
  <c r="U262" i="7"/>
  <c r="U261" i="7"/>
  <c r="U245" i="7"/>
  <c r="U257" i="7"/>
  <c r="U153" i="7"/>
  <c r="U169" i="7"/>
  <c r="U185" i="7"/>
  <c r="U258" i="7"/>
  <c r="U242" i="7"/>
  <c r="U230" i="7"/>
  <c r="U273" i="7"/>
  <c r="U160" i="7"/>
  <c r="U176" i="7"/>
  <c r="U253" i="7"/>
  <c r="U249" i="7"/>
  <c r="U274" i="7"/>
  <c r="U201" i="7"/>
  <c r="U209" i="7"/>
  <c r="U172" i="7"/>
  <c r="U192" i="7"/>
  <c r="U250" i="7"/>
  <c r="U237" i="7"/>
  <c r="U233" i="7"/>
  <c r="U229" i="7"/>
  <c r="U177" i="7"/>
  <c r="U254" i="7"/>
  <c r="U246" i="7"/>
  <c r="U234" i="7"/>
  <c r="U152" i="7"/>
  <c r="U225" i="7"/>
  <c r="U210" i="7"/>
  <c r="U221" i="7"/>
  <c r="U238" i="7"/>
  <c r="U226" i="7"/>
  <c r="U217" i="7"/>
  <c r="U277" i="7"/>
  <c r="U213" i="7"/>
  <c r="U175" i="7"/>
  <c r="U181" i="7"/>
  <c r="U101" i="7"/>
  <c r="U134" i="7"/>
  <c r="U178" i="7"/>
  <c r="U195" i="7"/>
  <c r="U164" i="7"/>
  <c r="U205" i="7"/>
  <c r="U189" i="7"/>
  <c r="U187" i="7"/>
  <c r="U105" i="7"/>
  <c r="U146" i="7"/>
  <c r="U167" i="7"/>
  <c r="U163" i="7"/>
  <c r="U133" i="7"/>
  <c r="U143" i="7"/>
  <c r="U161" i="7"/>
  <c r="U166" i="7"/>
  <c r="U142" i="7"/>
  <c r="U165" i="7"/>
  <c r="U168" i="7"/>
  <c r="U138" i="7"/>
  <c r="U131" i="7"/>
  <c r="U122" i="7"/>
  <c r="U186" i="7"/>
  <c r="U126" i="7"/>
  <c r="U150" i="7"/>
  <c r="U121" i="7"/>
  <c r="U149" i="7"/>
  <c r="U191" i="7"/>
  <c r="U159" i="7"/>
  <c r="U179" i="7"/>
  <c r="U127" i="7"/>
  <c r="U118" i="7"/>
  <c r="U170" i="7"/>
  <c r="U162" i="7"/>
  <c r="U156" i="7"/>
  <c r="U107" i="7"/>
  <c r="U99" i="7"/>
  <c r="U206" i="7"/>
  <c r="U136" i="7"/>
  <c r="U174" i="7"/>
  <c r="U154" i="7"/>
  <c r="U202" i="7"/>
  <c r="U182" i="7"/>
  <c r="U183" i="7"/>
  <c r="U151" i="7"/>
  <c r="U130" i="7"/>
  <c r="U119" i="7"/>
  <c r="U173" i="7"/>
  <c r="U113" i="7"/>
  <c r="U155" i="7"/>
  <c r="U198" i="7"/>
  <c r="U157" i="7"/>
  <c r="U135" i="7"/>
  <c r="U120" i="7"/>
  <c r="U188" i="7"/>
  <c r="U158" i="7"/>
  <c r="U171" i="7"/>
  <c r="U197" i="7"/>
  <c r="U97" i="7"/>
  <c r="U180" i="7"/>
  <c r="U194" i="7"/>
  <c r="U190" i="7"/>
  <c r="U140" i="7"/>
  <c r="U148" i="7"/>
  <c r="U104" i="7"/>
  <c r="U61" i="7"/>
  <c r="U28" i="7"/>
  <c r="U30" i="7"/>
  <c r="U32" i="7"/>
  <c r="U36" i="7"/>
  <c r="U38" i="7"/>
  <c r="U114" i="7"/>
  <c r="U106" i="7"/>
  <c r="U67" i="7"/>
  <c r="U200" i="7"/>
  <c r="U108" i="7"/>
  <c r="U68" i="7"/>
  <c r="U116" i="7"/>
  <c r="U69" i="7"/>
  <c r="U65" i="7"/>
  <c r="U60" i="7"/>
  <c r="U124" i="7"/>
  <c r="U193" i="7"/>
  <c r="U137" i="7"/>
  <c r="U96" i="7"/>
  <c r="U94" i="7"/>
  <c r="U92" i="7"/>
  <c r="U90" i="7"/>
  <c r="U88" i="7"/>
  <c r="U86" i="7"/>
  <c r="U84" i="7"/>
  <c r="U82" i="7"/>
  <c r="U80" i="7"/>
  <c r="U78" i="7"/>
  <c r="U66" i="7"/>
  <c r="U111" i="7"/>
  <c r="U24" i="7"/>
  <c r="U44" i="7"/>
  <c r="U63" i="7"/>
  <c r="U62" i="7"/>
  <c r="U57" i="7"/>
  <c r="U73" i="7"/>
  <c r="U110" i="7"/>
  <c r="U102" i="7"/>
  <c r="U70" i="7"/>
  <c r="U59" i="7"/>
  <c r="U139" i="7"/>
  <c r="U129" i="7"/>
  <c r="U196" i="7"/>
  <c r="U117" i="7"/>
  <c r="U31" i="7"/>
  <c r="U37" i="7"/>
  <c r="U72" i="7"/>
  <c r="U56" i="7"/>
  <c r="U204" i="7"/>
  <c r="U58" i="7"/>
  <c r="U74" i="7"/>
  <c r="U145" i="7"/>
  <c r="U123" i="7"/>
  <c r="U207" i="7"/>
  <c r="U95" i="7"/>
  <c r="U93" i="7"/>
  <c r="U91" i="7"/>
  <c r="U89" i="7"/>
  <c r="U87" i="7"/>
  <c r="U85" i="7"/>
  <c r="U83" i="7"/>
  <c r="U81" i="7"/>
  <c r="U79" i="7"/>
  <c r="U77" i="7"/>
  <c r="U76" i="7"/>
  <c r="U75" i="7"/>
  <c r="U71" i="7"/>
  <c r="U112" i="7"/>
  <c r="U45" i="7"/>
  <c r="U98" i="7"/>
  <c r="U203" i="7"/>
  <c r="U100" i="7"/>
  <c r="U64" i="7"/>
  <c r="U109" i="7"/>
  <c r="U199" i="7"/>
  <c r="U27" i="7"/>
  <c r="U29" i="7"/>
  <c r="U50" i="7"/>
  <c r="U47" i="7"/>
  <c r="U23" i="7"/>
  <c r="U41" i="7"/>
  <c r="U49" i="7"/>
  <c r="U48" i="7"/>
  <c r="U42" i="7"/>
  <c r="U25" i="7"/>
  <c r="U43" i="7"/>
  <c r="U34" i="7"/>
  <c r="U46" i="7"/>
  <c r="U52" i="7"/>
  <c r="U39" i="7"/>
  <c r="U33" i="7"/>
  <c r="U35" i="7"/>
  <c r="U55" i="7"/>
  <c r="U40" i="7"/>
  <c r="U53" i="7"/>
  <c r="U26" i="7"/>
  <c r="U54" i="7"/>
  <c r="U51" i="7"/>
  <c r="Y534" i="7"/>
  <c r="Y553" i="7"/>
  <c r="Y550" i="7"/>
  <c r="Y541" i="7"/>
  <c r="Y526" i="7"/>
  <c r="Y536" i="7"/>
  <c r="Y551" i="7"/>
  <c r="Y539" i="7"/>
  <c r="Y548" i="7"/>
  <c r="Y537" i="7"/>
  <c r="Y538" i="7"/>
  <c r="Y552" i="7"/>
  <c r="Y549" i="7"/>
  <c r="Y535" i="7"/>
  <c r="Y547" i="7"/>
  <c r="Y544" i="7"/>
  <c r="Y545" i="7"/>
  <c r="Y542" i="7"/>
  <c r="Y546" i="7"/>
  <c r="Y540" i="7"/>
  <c r="Y543" i="7"/>
  <c r="Y525" i="7"/>
  <c r="Y530" i="7"/>
  <c r="Y522" i="7"/>
  <c r="Y524" i="7"/>
  <c r="Y527" i="7"/>
  <c r="Y523" i="7"/>
  <c r="Y533" i="7"/>
  <c r="Y531" i="7"/>
  <c r="Y529" i="7"/>
  <c r="Y528" i="7"/>
  <c r="Y532" i="7"/>
  <c r="Y521" i="7"/>
  <c r="Y455" i="7"/>
  <c r="Y517" i="7"/>
  <c r="Y502" i="7"/>
  <c r="Y515" i="7"/>
  <c r="Y510" i="7"/>
  <c r="Y519" i="7"/>
  <c r="Y508" i="7"/>
  <c r="Y518" i="7"/>
  <c r="Y514" i="7"/>
  <c r="Y507" i="7"/>
  <c r="Y512" i="7"/>
  <c r="Y520" i="7"/>
  <c r="Y447" i="7"/>
  <c r="Y511" i="7"/>
  <c r="Y481" i="7"/>
  <c r="Y509" i="7"/>
  <c r="Y513" i="7"/>
  <c r="Y516" i="7"/>
  <c r="Y505" i="7"/>
  <c r="Y506" i="7"/>
  <c r="Y480" i="7"/>
  <c r="Y497" i="7"/>
  <c r="Y468" i="7"/>
  <c r="Y457" i="7"/>
  <c r="Y479" i="7"/>
  <c r="Y462" i="7"/>
  <c r="Y499" i="7"/>
  <c r="Y456" i="7"/>
  <c r="Y467" i="7"/>
  <c r="Y461" i="7"/>
  <c r="Y460" i="7"/>
  <c r="Y504" i="7"/>
  <c r="Y464" i="7"/>
  <c r="Y451" i="7"/>
  <c r="Y477" i="7"/>
  <c r="Y478" i="7"/>
  <c r="Y486" i="7"/>
  <c r="Y453" i="7"/>
  <c r="Y485" i="7"/>
  <c r="Y490" i="7"/>
  <c r="Y498" i="7"/>
  <c r="Y465" i="7"/>
  <c r="Y483" i="7"/>
  <c r="Y471" i="7"/>
  <c r="Y496" i="7"/>
  <c r="Y492" i="7"/>
  <c r="Y503" i="7"/>
  <c r="Y494" i="7"/>
  <c r="Y495" i="7"/>
  <c r="Y484" i="7"/>
  <c r="Y500" i="7"/>
  <c r="Y474" i="7"/>
  <c r="Y487" i="7"/>
  <c r="Y448" i="7"/>
  <c r="Y446" i="7"/>
  <c r="Y475" i="7"/>
  <c r="Y452" i="7"/>
  <c r="Y454" i="7"/>
  <c r="Y463" i="7"/>
  <c r="Y491" i="7"/>
  <c r="Y501" i="7"/>
  <c r="Y450" i="7"/>
  <c r="Y476" i="7"/>
  <c r="Y472" i="7"/>
  <c r="Y473" i="7"/>
  <c r="Y449" i="7"/>
  <c r="Y466" i="7"/>
  <c r="Y493" i="7"/>
  <c r="Y470" i="7"/>
  <c r="Y488" i="7"/>
  <c r="Y489" i="7"/>
  <c r="Y458" i="7"/>
  <c r="Y482" i="7"/>
  <c r="Y469" i="7"/>
  <c r="Y459" i="7"/>
  <c r="Y443" i="7"/>
  <c r="Y445" i="7"/>
  <c r="Y444" i="7"/>
  <c r="Y442" i="7"/>
  <c r="Y419" i="7"/>
  <c r="Y441" i="7"/>
  <c r="Y437" i="7"/>
  <c r="Y410" i="7"/>
  <c r="Y427" i="7"/>
  <c r="Y440" i="7"/>
  <c r="Y432" i="7"/>
  <c r="Y428" i="7"/>
  <c r="Y375" i="7"/>
  <c r="Y438" i="7"/>
  <c r="Y422" i="7"/>
  <c r="Y409" i="7"/>
  <c r="Y405" i="7"/>
  <c r="Y434" i="7"/>
  <c r="Y407" i="7"/>
  <c r="Y433" i="7"/>
  <c r="Y406" i="7"/>
  <c r="Y411" i="7"/>
  <c r="Y413" i="7"/>
  <c r="Y430" i="7"/>
  <c r="Y417" i="7"/>
  <c r="Y431" i="7"/>
  <c r="Y423" i="7"/>
  <c r="Y416" i="7"/>
  <c r="Y418" i="7"/>
  <c r="Y396" i="7"/>
  <c r="Y429" i="7"/>
  <c r="Y435" i="7"/>
  <c r="Y439" i="7"/>
  <c r="Y392" i="7"/>
  <c r="Y403" i="7"/>
  <c r="Y424" i="7"/>
  <c r="Y415" i="7"/>
  <c r="Y402" i="7"/>
  <c r="Y420" i="7"/>
  <c r="Y414" i="7"/>
  <c r="Y436" i="7"/>
  <c r="Y363" i="7"/>
  <c r="Y371" i="7"/>
  <c r="Y425" i="7"/>
  <c r="Y412" i="7"/>
  <c r="Y408" i="7"/>
  <c r="Y404" i="7"/>
  <c r="Y421" i="7"/>
  <c r="Y400" i="7"/>
  <c r="Y359" i="7"/>
  <c r="Y379" i="7"/>
  <c r="Y426" i="7"/>
  <c r="Y301" i="7"/>
  <c r="Y367" i="7"/>
  <c r="Y397" i="7"/>
  <c r="Y281" i="7"/>
  <c r="Y388" i="7"/>
  <c r="Y393" i="7"/>
  <c r="Y384" i="7"/>
  <c r="Y313" i="7"/>
  <c r="Y389" i="7"/>
  <c r="Y290" i="7"/>
  <c r="Y312" i="7"/>
  <c r="Y308" i="7"/>
  <c r="Y390" i="7"/>
  <c r="Y380" i="7"/>
  <c r="Y372" i="7"/>
  <c r="Y364" i="7"/>
  <c r="Y356" i="7"/>
  <c r="Y377" i="7"/>
  <c r="Y373" i="7"/>
  <c r="Y305" i="7"/>
  <c r="Y385" i="7"/>
  <c r="Y324" i="7"/>
  <c r="Y381" i="7"/>
  <c r="Y399" i="7"/>
  <c r="Y391" i="7"/>
  <c r="Y386" i="7"/>
  <c r="Y401" i="7"/>
  <c r="Y362" i="7"/>
  <c r="Y394" i="7"/>
  <c r="Y316" i="7"/>
  <c r="Y383" i="7"/>
  <c r="Y376" i="7"/>
  <c r="Y368" i="7"/>
  <c r="Y360" i="7"/>
  <c r="Y365" i="7"/>
  <c r="Y370" i="7"/>
  <c r="Y357" i="7"/>
  <c r="Y369" i="7"/>
  <c r="Y378" i="7"/>
  <c r="Y328" i="7"/>
  <c r="Y398" i="7"/>
  <c r="Y395" i="7"/>
  <c r="Y366" i="7"/>
  <c r="Y361" i="7"/>
  <c r="Y358" i="7"/>
  <c r="Y382" i="7"/>
  <c r="Y349" i="7"/>
  <c r="Y387" i="7"/>
  <c r="Y374" i="7"/>
  <c r="Y350" i="7"/>
  <c r="Y327" i="7"/>
  <c r="Y284" i="7"/>
  <c r="Y323" i="7"/>
  <c r="Y332" i="7"/>
  <c r="Y289" i="7"/>
  <c r="Y331" i="7"/>
  <c r="Y325" i="7"/>
  <c r="Y319" i="7"/>
  <c r="Y351" i="7"/>
  <c r="Y321" i="7"/>
  <c r="Y302" i="7"/>
  <c r="Y306" i="7"/>
  <c r="Y228" i="7"/>
  <c r="Y293" i="7"/>
  <c r="Y346" i="7"/>
  <c r="Y345" i="7"/>
  <c r="Y292" i="7"/>
  <c r="Y335" i="7"/>
  <c r="Y296" i="7"/>
  <c r="Y309" i="7"/>
  <c r="Y344" i="7"/>
  <c r="Y294" i="7"/>
  <c r="Y303" i="7"/>
  <c r="Y314" i="7"/>
  <c r="Y337" i="7"/>
  <c r="Y300" i="7"/>
  <c r="Y342" i="7"/>
  <c r="Y320" i="7"/>
  <c r="Y285" i="7"/>
  <c r="Y288" i="7"/>
  <c r="Y329" i="7"/>
  <c r="Y348" i="7"/>
  <c r="Y282" i="7"/>
  <c r="Y326" i="7"/>
  <c r="Y340" i="7"/>
  <c r="Y322" i="7"/>
  <c r="Y268" i="7"/>
  <c r="Y297" i="7"/>
  <c r="Y355" i="7"/>
  <c r="Y336" i="7"/>
  <c r="Y338" i="7"/>
  <c r="Y317" i="7"/>
  <c r="Y354" i="7"/>
  <c r="Y341" i="7"/>
  <c r="Y347" i="7"/>
  <c r="Y286" i="7"/>
  <c r="Y343" i="7"/>
  <c r="Y339" i="7"/>
  <c r="Y298" i="7"/>
  <c r="Y307" i="7"/>
  <c r="Y240" i="7"/>
  <c r="Y256" i="7"/>
  <c r="Y260" i="7"/>
  <c r="Y315" i="7"/>
  <c r="Y272" i="7"/>
  <c r="Y299" i="7"/>
  <c r="Y283" i="7"/>
  <c r="Y352" i="7"/>
  <c r="Y318" i="7"/>
  <c r="Y330" i="7"/>
  <c r="Y208" i="7"/>
  <c r="Y232" i="7"/>
  <c r="Y252" i="7"/>
  <c r="Y311" i="7"/>
  <c r="Y291" i="7"/>
  <c r="Y334" i="7"/>
  <c r="Y353" i="7"/>
  <c r="Y310" i="7"/>
  <c r="Y236" i="7"/>
  <c r="Y244" i="7"/>
  <c r="Y333" i="7"/>
  <c r="Y304" i="7"/>
  <c r="Y295" i="7"/>
  <c r="Y287" i="7"/>
  <c r="Y212" i="7"/>
  <c r="Y216" i="7"/>
  <c r="Y220" i="7"/>
  <c r="Y224" i="7"/>
  <c r="Y248" i="7"/>
  <c r="Y264" i="7"/>
  <c r="Y255" i="7"/>
  <c r="Y259" i="7"/>
  <c r="Y215" i="7"/>
  <c r="Y235" i="7"/>
  <c r="Y267" i="7"/>
  <c r="Y231" i="7"/>
  <c r="Y103" i="7"/>
  <c r="Y144" i="7"/>
  <c r="Y128" i="7"/>
  <c r="Y147" i="7"/>
  <c r="Y241" i="7"/>
  <c r="Y243" i="7"/>
  <c r="Y219" i="7"/>
  <c r="Y227" i="7"/>
  <c r="Y279" i="7"/>
  <c r="Y201" i="7"/>
  <c r="Y257" i="7"/>
  <c r="Y247" i="7"/>
  <c r="Y239" i="7"/>
  <c r="Y263" i="7"/>
  <c r="Y271" i="7"/>
  <c r="Y115" i="7"/>
  <c r="Y132" i="7"/>
  <c r="Y141" i="7"/>
  <c r="Y251" i="7"/>
  <c r="Y275" i="7"/>
  <c r="Y211" i="7"/>
  <c r="Y276" i="7"/>
  <c r="Y280" i="7"/>
  <c r="Y223" i="7"/>
  <c r="Y125" i="7"/>
  <c r="Y153" i="7"/>
  <c r="Y169" i="7"/>
  <c r="Y185" i="7"/>
  <c r="Y273" i="7"/>
  <c r="Y160" i="7"/>
  <c r="Y176" i="7"/>
  <c r="Y250" i="7"/>
  <c r="Y253" i="7"/>
  <c r="Y249" i="7"/>
  <c r="Y245" i="7"/>
  <c r="Y254" i="7"/>
  <c r="Y234" i="7"/>
  <c r="Y209" i="7"/>
  <c r="Y172" i="7"/>
  <c r="Y192" i="7"/>
  <c r="Y210" i="7"/>
  <c r="Y237" i="7"/>
  <c r="Y238" i="7"/>
  <c r="Y226" i="7"/>
  <c r="Y233" i="7"/>
  <c r="Y218" i="7"/>
  <c r="Y177" i="7"/>
  <c r="Y246" i="7"/>
  <c r="Y152" i="7"/>
  <c r="Y225" i="7"/>
  <c r="Y214" i="7"/>
  <c r="Y221" i="7"/>
  <c r="Y217" i="7"/>
  <c r="Y274" i="7"/>
  <c r="Y270" i="7"/>
  <c r="Y266" i="7"/>
  <c r="Y277" i="7"/>
  <c r="Y213" i="7"/>
  <c r="Y258" i="7"/>
  <c r="Y242" i="7"/>
  <c r="Y230" i="7"/>
  <c r="Y184" i="7"/>
  <c r="Y269" i="7"/>
  <c r="Y265" i="7"/>
  <c r="Y222" i="7"/>
  <c r="Y278" i="7"/>
  <c r="Y262" i="7"/>
  <c r="Y261" i="7"/>
  <c r="Y229" i="7"/>
  <c r="Y195" i="7"/>
  <c r="Y143" i="7"/>
  <c r="Y162" i="7"/>
  <c r="Y135" i="7"/>
  <c r="Y164" i="7"/>
  <c r="Y101" i="7"/>
  <c r="Y170" i="7"/>
  <c r="Y127" i="7"/>
  <c r="Y138" i="7"/>
  <c r="Y197" i="7"/>
  <c r="Y182" i="7"/>
  <c r="Y174" i="7"/>
  <c r="Y150" i="7"/>
  <c r="Y118" i="7"/>
  <c r="Y130" i="7"/>
  <c r="Y145" i="7"/>
  <c r="Y190" i="7"/>
  <c r="Y139" i="7"/>
  <c r="Y129" i="7"/>
  <c r="Y198" i="7"/>
  <c r="Y97" i="7"/>
  <c r="Y136" i="7"/>
  <c r="Y133" i="7"/>
  <c r="Y157" i="7"/>
  <c r="Y186" i="7"/>
  <c r="Y140" i="7"/>
  <c r="Y188" i="7"/>
  <c r="Y148" i="7"/>
  <c r="Y121" i="7"/>
  <c r="Y178" i="7"/>
  <c r="Y146" i="7"/>
  <c r="Y161" i="7"/>
  <c r="Y142" i="7"/>
  <c r="Y122" i="7"/>
  <c r="Y166" i="7"/>
  <c r="Y120" i="7"/>
  <c r="Y107" i="7"/>
  <c r="Y126" i="7"/>
  <c r="Y171" i="7"/>
  <c r="Y205" i="7"/>
  <c r="Y134" i="7"/>
  <c r="Y124" i="7"/>
  <c r="Y154" i="7"/>
  <c r="Y168" i="7"/>
  <c r="Y113" i="7"/>
  <c r="Y187" i="7"/>
  <c r="Y156" i="7"/>
  <c r="Y155" i="7"/>
  <c r="Y99" i="7"/>
  <c r="Y165" i="7"/>
  <c r="Y173" i="7"/>
  <c r="Y131" i="7"/>
  <c r="Y194" i="7"/>
  <c r="Y163" i="7"/>
  <c r="Y206" i="7"/>
  <c r="Y180" i="7"/>
  <c r="Y189" i="7"/>
  <c r="Y158" i="7"/>
  <c r="Y105" i="7"/>
  <c r="Y149" i="7"/>
  <c r="Y179" i="7"/>
  <c r="Y123" i="7"/>
  <c r="Y196" i="7"/>
  <c r="Y191" i="7"/>
  <c r="Y167" i="7"/>
  <c r="Y119" i="7"/>
  <c r="Y96" i="7"/>
  <c r="Y94" i="7"/>
  <c r="Y92" i="7"/>
  <c r="Y90" i="7"/>
  <c r="Y88" i="7"/>
  <c r="Y86" i="7"/>
  <c r="Y84" i="7"/>
  <c r="Y82" i="7"/>
  <c r="Y80" i="7"/>
  <c r="Y78" i="7"/>
  <c r="Y45" i="7"/>
  <c r="Y63" i="7"/>
  <c r="Y203" i="7"/>
  <c r="Y73" i="7"/>
  <c r="Y58" i="7"/>
  <c r="Y69" i="7"/>
  <c r="Y59" i="7"/>
  <c r="Y137" i="7"/>
  <c r="Y183" i="7"/>
  <c r="Y159" i="7"/>
  <c r="Y117" i="7"/>
  <c r="Y76" i="7"/>
  <c r="Y112" i="7"/>
  <c r="Y28" i="7"/>
  <c r="Y30" i="7"/>
  <c r="Y32" i="7"/>
  <c r="Y36" i="7"/>
  <c r="Y38" i="7"/>
  <c r="Y98" i="7"/>
  <c r="Y72" i="7"/>
  <c r="Y56" i="7"/>
  <c r="Y24" i="7"/>
  <c r="Y204" i="7"/>
  <c r="Y100" i="7"/>
  <c r="Y64" i="7"/>
  <c r="Y109" i="7"/>
  <c r="Y74" i="7"/>
  <c r="Y65" i="7"/>
  <c r="Y193" i="7"/>
  <c r="Y151" i="7"/>
  <c r="Y207" i="7"/>
  <c r="Y104" i="7"/>
  <c r="Y95" i="7"/>
  <c r="Y93" i="7"/>
  <c r="Y91" i="7"/>
  <c r="Y89" i="7"/>
  <c r="Y87" i="7"/>
  <c r="Y85" i="7"/>
  <c r="Y83" i="7"/>
  <c r="Y81" i="7"/>
  <c r="Y79" i="7"/>
  <c r="Y77" i="7"/>
  <c r="Y75" i="7"/>
  <c r="Y61" i="7"/>
  <c r="Y44" i="7"/>
  <c r="Y106" i="7"/>
  <c r="Y67" i="7"/>
  <c r="Y108" i="7"/>
  <c r="Y68" i="7"/>
  <c r="Y116" i="7"/>
  <c r="Y199" i="7"/>
  <c r="Y60" i="7"/>
  <c r="Y202" i="7"/>
  <c r="Y181" i="7"/>
  <c r="Y175" i="7"/>
  <c r="Y71" i="7"/>
  <c r="Y66" i="7"/>
  <c r="Y111" i="7"/>
  <c r="Y31" i="7"/>
  <c r="Y37" i="7"/>
  <c r="Y114" i="7"/>
  <c r="Y62" i="7"/>
  <c r="Y57" i="7"/>
  <c r="Y200" i="7"/>
  <c r="Y110" i="7"/>
  <c r="Y102" i="7"/>
  <c r="Y70" i="7"/>
  <c r="Y54" i="7"/>
  <c r="Y47" i="7"/>
  <c r="Y43" i="7"/>
  <c r="Y23" i="7"/>
  <c r="Y49" i="7"/>
  <c r="Y51" i="7"/>
  <c r="Y46" i="7"/>
  <c r="Y52" i="7"/>
  <c r="Y39" i="7"/>
  <c r="Y27" i="7"/>
  <c r="Y35" i="7"/>
  <c r="Y26" i="7"/>
  <c r="Y55" i="7"/>
  <c r="Y48" i="7"/>
  <c r="Y34" i="7"/>
  <c r="Y53" i="7"/>
  <c r="Y33" i="7"/>
  <c r="Y29" i="7"/>
  <c r="Y50" i="7"/>
  <c r="Y40" i="7"/>
  <c r="Y25" i="7"/>
  <c r="Y42" i="7"/>
  <c r="Y41" i="7"/>
  <c r="AE553" i="7"/>
  <c r="AE546" i="7"/>
  <c r="AE536" i="7"/>
  <c r="AE537" i="7"/>
  <c r="AE538" i="7"/>
  <c r="AE543" i="7"/>
  <c r="AE544" i="7"/>
  <c r="AE547" i="7"/>
  <c r="AE529" i="7"/>
  <c r="AE548" i="7"/>
  <c r="AE534" i="7"/>
  <c r="AE541" i="7"/>
  <c r="AE550" i="7"/>
  <c r="AE551" i="7"/>
  <c r="AE535" i="7"/>
  <c r="AE540" i="7"/>
  <c r="AE552" i="7"/>
  <c r="AE542" i="7"/>
  <c r="AE545" i="7"/>
  <c r="AE525" i="7"/>
  <c r="AE539" i="7"/>
  <c r="AE549" i="7"/>
  <c r="AE508" i="7"/>
  <c r="AE527" i="7"/>
  <c r="AE532" i="7"/>
  <c r="AE528" i="7"/>
  <c r="AE523" i="7"/>
  <c r="AE512" i="7"/>
  <c r="AE526" i="7"/>
  <c r="AE530" i="7"/>
  <c r="AE519" i="7"/>
  <c r="AE518" i="7"/>
  <c r="AE531" i="7"/>
  <c r="AE524" i="7"/>
  <c r="AE522" i="7"/>
  <c r="AE533" i="7"/>
  <c r="AE468" i="7"/>
  <c r="AE473" i="7"/>
  <c r="AE515" i="7"/>
  <c r="AE505" i="7"/>
  <c r="AE464" i="7"/>
  <c r="AE457" i="7"/>
  <c r="AE507" i="7"/>
  <c r="AE470" i="7"/>
  <c r="AE479" i="7"/>
  <c r="AE450" i="7"/>
  <c r="AE506" i="7"/>
  <c r="AE497" i="7"/>
  <c r="AE463" i="7"/>
  <c r="AE456" i="7"/>
  <c r="AE516" i="7"/>
  <c r="AE521" i="7"/>
  <c r="AE513" i="7"/>
  <c r="AE514" i="7"/>
  <c r="AE520" i="7"/>
  <c r="AE499" i="7"/>
  <c r="AE485" i="7"/>
  <c r="AE510" i="7"/>
  <c r="AE511" i="7"/>
  <c r="AE517" i="7"/>
  <c r="AE509" i="7"/>
  <c r="AE453" i="7"/>
  <c r="AE455" i="7"/>
  <c r="AE460" i="7"/>
  <c r="AE476" i="7"/>
  <c r="AE480" i="7"/>
  <c r="AE502" i="7"/>
  <c r="AE477" i="7"/>
  <c r="AE442" i="7"/>
  <c r="AE486" i="7"/>
  <c r="AE451" i="7"/>
  <c r="AE459" i="7"/>
  <c r="AE466" i="7"/>
  <c r="AE462" i="7"/>
  <c r="AE447" i="7"/>
  <c r="AE490" i="7"/>
  <c r="AE489" i="7"/>
  <c r="AE472" i="7"/>
  <c r="AE461" i="7"/>
  <c r="AE495" i="7"/>
  <c r="AE488" i="7"/>
  <c r="AE474" i="7"/>
  <c r="AE465" i="7"/>
  <c r="AE484" i="7"/>
  <c r="AE471" i="7"/>
  <c r="AE458" i="7"/>
  <c r="AE487" i="7"/>
  <c r="AE482" i="7"/>
  <c r="AE454" i="7"/>
  <c r="AE494" i="7"/>
  <c r="AE496" i="7"/>
  <c r="AE469" i="7"/>
  <c r="AE504" i="7"/>
  <c r="AE501" i="7"/>
  <c r="AE500" i="7"/>
  <c r="AE483" i="7"/>
  <c r="AE478" i="7"/>
  <c r="AE503" i="7"/>
  <c r="AE492" i="7"/>
  <c r="AE452" i="7"/>
  <c r="AE448" i="7"/>
  <c r="AE481" i="7"/>
  <c r="AE475" i="7"/>
  <c r="AE446" i="7"/>
  <c r="AE498" i="7"/>
  <c r="AE449" i="7"/>
  <c r="AE493" i="7"/>
  <c r="AE467" i="7"/>
  <c r="AE491" i="7"/>
  <c r="AE441" i="7"/>
  <c r="AE444" i="7"/>
  <c r="AE443" i="7"/>
  <c r="AE445" i="7"/>
  <c r="AE436" i="7"/>
  <c r="AE403" i="7"/>
  <c r="AE433" i="7"/>
  <c r="AE434" i="7"/>
  <c r="AE428" i="7"/>
  <c r="AE407" i="7"/>
  <c r="AE414" i="7"/>
  <c r="AE431" i="7"/>
  <c r="AE420" i="7"/>
  <c r="AE424" i="7"/>
  <c r="AE423" i="7"/>
  <c r="AE438" i="7"/>
  <c r="AE416" i="7"/>
  <c r="AE440" i="7"/>
  <c r="AE402" i="7"/>
  <c r="AE406" i="7"/>
  <c r="AE411" i="7"/>
  <c r="AE385" i="7"/>
  <c r="AE364" i="7"/>
  <c r="AE426" i="7"/>
  <c r="AE404" i="7"/>
  <c r="AE418" i="7"/>
  <c r="AE425" i="7"/>
  <c r="AE439" i="7"/>
  <c r="AE427" i="7"/>
  <c r="AE430" i="7"/>
  <c r="AE410" i="7"/>
  <c r="AE421" i="7"/>
  <c r="AE368" i="7"/>
  <c r="AE389" i="7"/>
  <c r="AE390" i="7"/>
  <c r="AE360" i="7"/>
  <c r="AE372" i="7"/>
  <c r="AE422" i="7"/>
  <c r="AE409" i="7"/>
  <c r="AE412" i="7"/>
  <c r="AE429" i="7"/>
  <c r="AE381" i="7"/>
  <c r="AE417" i="7"/>
  <c r="AE432" i="7"/>
  <c r="AE376" i="7"/>
  <c r="AE380" i="7"/>
  <c r="AE408" i="7"/>
  <c r="AE415" i="7"/>
  <c r="AE435" i="7"/>
  <c r="AE437" i="7"/>
  <c r="AE356" i="7"/>
  <c r="AE413" i="7"/>
  <c r="AE405" i="7"/>
  <c r="AE419" i="7"/>
  <c r="AE375" i="7"/>
  <c r="AE342" i="7"/>
  <c r="AE384" i="7"/>
  <c r="AE327" i="7"/>
  <c r="AE331" i="7"/>
  <c r="AE363" i="7"/>
  <c r="AE379" i="7"/>
  <c r="AE346" i="7"/>
  <c r="AE388" i="7"/>
  <c r="AE341" i="7"/>
  <c r="AE371" i="7"/>
  <c r="AE359" i="7"/>
  <c r="AE293" i="7"/>
  <c r="AE392" i="7"/>
  <c r="AE355" i="7"/>
  <c r="AE336" i="7"/>
  <c r="AE338" i="7"/>
  <c r="AE367" i="7"/>
  <c r="AE400" i="7"/>
  <c r="AE396" i="7"/>
  <c r="AE297" i="7"/>
  <c r="AE345" i="7"/>
  <c r="AE397" i="7"/>
  <c r="AE374" i="7"/>
  <c r="AE337" i="7"/>
  <c r="AE378" i="7"/>
  <c r="AE303" i="7"/>
  <c r="AE302" i="7"/>
  <c r="AE365" i="7"/>
  <c r="AE317" i="7"/>
  <c r="AE343" i="7"/>
  <c r="AE325" i="7"/>
  <c r="AE398" i="7"/>
  <c r="AE333" i="7"/>
  <c r="AE321" i="7"/>
  <c r="AE377" i="7"/>
  <c r="AE339" i="7"/>
  <c r="AE366" i="7"/>
  <c r="AE393" i="7"/>
  <c r="AE347" i="7"/>
  <c r="AE361" i="7"/>
  <c r="AE351" i="7"/>
  <c r="AE373" i="7"/>
  <c r="AE329" i="7"/>
  <c r="AE358" i="7"/>
  <c r="AE300" i="7"/>
  <c r="AE362" i="7"/>
  <c r="AE394" i="7"/>
  <c r="AE399" i="7"/>
  <c r="AE391" i="7"/>
  <c r="AE383" i="7"/>
  <c r="AE357" i="7"/>
  <c r="AE369" i="7"/>
  <c r="AE382" i="7"/>
  <c r="AE401" i="7"/>
  <c r="AE395" i="7"/>
  <c r="AE386" i="7"/>
  <c r="AE370" i="7"/>
  <c r="AE387" i="7"/>
  <c r="AE320" i="7"/>
  <c r="AE316" i="7"/>
  <c r="AE284" i="7"/>
  <c r="AE211" i="7"/>
  <c r="AE243" i="7"/>
  <c r="AE263" i="7"/>
  <c r="AE271" i="7"/>
  <c r="AE267" i="7"/>
  <c r="AE354" i="7"/>
  <c r="AE313" i="7"/>
  <c r="AE308" i="7"/>
  <c r="AE323" i="7"/>
  <c r="AE213" i="7"/>
  <c r="AE229" i="7"/>
  <c r="AE237" i="7"/>
  <c r="AE245" i="7"/>
  <c r="AE261" i="7"/>
  <c r="AE291" i="7"/>
  <c r="AE315" i="7"/>
  <c r="AE299" i="7"/>
  <c r="AE287" i="7"/>
  <c r="AE305" i="7"/>
  <c r="AE286" i="7"/>
  <c r="AE340" i="7"/>
  <c r="AE306" i="7"/>
  <c r="AE328" i="7"/>
  <c r="AE324" i="7"/>
  <c r="AE309" i="7"/>
  <c r="AE292" i="7"/>
  <c r="AE288" i="7"/>
  <c r="AE215" i="7"/>
  <c r="AE259" i="7"/>
  <c r="AE275" i="7"/>
  <c r="AE235" i="7"/>
  <c r="AE277" i="7"/>
  <c r="AE214" i="7"/>
  <c r="AE222" i="7"/>
  <c r="AE258" i="7"/>
  <c r="AE209" i="7"/>
  <c r="AE225" i="7"/>
  <c r="AE233" i="7"/>
  <c r="AE257" i="7"/>
  <c r="AE265" i="7"/>
  <c r="AE273" i="7"/>
  <c r="AE322" i="7"/>
  <c r="AE352" i="7"/>
  <c r="AE334" i="7"/>
  <c r="AE318" i="7"/>
  <c r="AE310" i="7"/>
  <c r="AE332" i="7"/>
  <c r="AE350" i="7"/>
  <c r="AE312" i="7"/>
  <c r="AE296" i="7"/>
  <c r="AE349" i="7"/>
  <c r="AE219" i="7"/>
  <c r="AE231" i="7"/>
  <c r="AE239" i="7"/>
  <c r="AE251" i="7"/>
  <c r="AE301" i="7"/>
  <c r="AE335" i="7"/>
  <c r="AE217" i="7"/>
  <c r="AE241" i="7"/>
  <c r="AE249" i="7"/>
  <c r="AE304" i="7"/>
  <c r="AE283" i="7"/>
  <c r="AE326" i="7"/>
  <c r="AE276" i="7"/>
  <c r="AE311" i="7"/>
  <c r="AE295" i="7"/>
  <c r="AE282" i="7"/>
  <c r="AE307" i="7"/>
  <c r="AE290" i="7"/>
  <c r="AE330" i="7"/>
  <c r="AE227" i="7"/>
  <c r="AE223" i="7"/>
  <c r="AE247" i="7"/>
  <c r="AE255" i="7"/>
  <c r="AE285" i="7"/>
  <c r="AE289" i="7"/>
  <c r="AE281" i="7"/>
  <c r="AE218" i="7"/>
  <c r="AE234" i="7"/>
  <c r="AE221" i="7"/>
  <c r="AE253" i="7"/>
  <c r="AE269" i="7"/>
  <c r="AE280" i="7"/>
  <c r="AE314" i="7"/>
  <c r="AE353" i="7"/>
  <c r="AE319" i="7"/>
  <c r="AE344" i="7"/>
  <c r="AE298" i="7"/>
  <c r="AE348" i="7"/>
  <c r="AE294" i="7"/>
  <c r="AE208" i="7"/>
  <c r="AE232" i="7"/>
  <c r="AE236" i="7"/>
  <c r="AE131" i="7"/>
  <c r="AE138" i="7"/>
  <c r="AE171" i="7"/>
  <c r="AE130" i="7"/>
  <c r="AE166" i="7"/>
  <c r="AE174" i="7"/>
  <c r="AE248" i="7"/>
  <c r="AE272" i="7"/>
  <c r="AE244" i="7"/>
  <c r="AE126" i="7"/>
  <c r="AE155" i="7"/>
  <c r="AE118" i="7"/>
  <c r="AE142" i="7"/>
  <c r="AE158" i="7"/>
  <c r="AE206" i="7"/>
  <c r="AE182" i="7"/>
  <c r="AE279" i="7"/>
  <c r="AE196" i="7"/>
  <c r="AE216" i="7"/>
  <c r="AE264" i="7"/>
  <c r="AE252" i="7"/>
  <c r="AE260" i="7"/>
  <c r="AE240" i="7"/>
  <c r="AE212" i="7"/>
  <c r="AE220" i="7"/>
  <c r="AE228" i="7"/>
  <c r="AE137" i="7"/>
  <c r="AE140" i="7"/>
  <c r="AE129" i="7"/>
  <c r="AE224" i="7"/>
  <c r="AE187" i="7"/>
  <c r="AE190" i="7"/>
  <c r="AE198" i="7"/>
  <c r="AE268" i="7"/>
  <c r="AE150" i="7"/>
  <c r="AE256" i="7"/>
  <c r="AE121" i="7"/>
  <c r="AE124" i="7"/>
  <c r="AE136" i="7"/>
  <c r="AE274" i="7"/>
  <c r="AE266" i="7"/>
  <c r="AE254" i="7"/>
  <c r="AE242" i="7"/>
  <c r="AE230" i="7"/>
  <c r="AE210" i="7"/>
  <c r="AE278" i="7"/>
  <c r="AE270" i="7"/>
  <c r="AE262" i="7"/>
  <c r="AE246" i="7"/>
  <c r="AE238" i="7"/>
  <c r="AE250" i="7"/>
  <c r="AE226" i="7"/>
  <c r="AE34" i="7"/>
  <c r="AE35" i="7"/>
  <c r="AE181" i="7"/>
  <c r="AE106" i="7"/>
  <c r="AE177" i="7"/>
  <c r="AE132" i="7"/>
  <c r="AE192" i="7"/>
  <c r="AE51" i="7"/>
  <c r="AE54" i="7"/>
  <c r="AE48" i="7"/>
  <c r="AE194" i="7"/>
  <c r="AE127" i="7"/>
  <c r="AE191" i="7"/>
  <c r="AE167" i="7"/>
  <c r="AE159" i="7"/>
  <c r="AE139" i="7"/>
  <c r="AE143" i="7"/>
  <c r="AE145" i="7"/>
  <c r="AE185" i="7"/>
  <c r="AE153" i="7"/>
  <c r="AE154" i="7"/>
  <c r="AE128" i="7"/>
  <c r="AE98" i="7"/>
  <c r="AE173" i="7"/>
  <c r="AE186" i="7"/>
  <c r="AE117" i="7"/>
  <c r="AE116" i="7"/>
  <c r="AE161" i="7"/>
  <c r="AE104" i="7"/>
  <c r="AE147" i="7"/>
  <c r="AE176" i="7"/>
  <c r="AE180" i="7"/>
  <c r="AE46" i="7"/>
  <c r="AE197" i="7"/>
  <c r="AE108" i="7"/>
  <c r="AE201" i="7"/>
  <c r="AE165" i="7"/>
  <c r="AE169" i="7"/>
  <c r="AE120" i="7"/>
  <c r="AE172" i="7"/>
  <c r="AE188" i="7"/>
  <c r="AE157" i="7"/>
  <c r="AE189" i="7"/>
  <c r="AE205" i="7"/>
  <c r="AE160" i="7"/>
  <c r="AE141" i="7"/>
  <c r="AE184" i="7"/>
  <c r="AE156" i="7"/>
  <c r="AE102" i="7"/>
  <c r="AE193" i="7"/>
  <c r="AE148" i="7"/>
  <c r="AE170" i="7"/>
  <c r="AE164" i="7"/>
  <c r="AE149" i="7"/>
  <c r="AE125" i="7"/>
  <c r="AE114" i="7"/>
  <c r="AE178" i="7"/>
  <c r="AE202" i="7"/>
  <c r="AE119" i="7"/>
  <c r="AE52" i="7"/>
  <c r="AE183" i="7"/>
  <c r="AE134" i="7"/>
  <c r="AE146" i="7"/>
  <c r="AE100" i="7"/>
  <c r="AE103" i="7"/>
  <c r="AE74" i="7"/>
  <c r="AE70" i="7"/>
  <c r="AE59" i="7"/>
  <c r="AE29" i="7"/>
  <c r="AE105" i="7"/>
  <c r="AE96" i="7"/>
  <c r="AE94" i="7"/>
  <c r="AE92" i="7"/>
  <c r="AE90" i="7"/>
  <c r="AE88" i="7"/>
  <c r="AE86" i="7"/>
  <c r="AE84" i="7"/>
  <c r="AE82" i="7"/>
  <c r="AE80" i="7"/>
  <c r="AE78" i="7"/>
  <c r="AE76" i="7"/>
  <c r="AE110" i="7"/>
  <c r="AE112" i="7"/>
  <c r="AE107" i="7"/>
  <c r="AE56" i="7"/>
  <c r="AE204" i="7"/>
  <c r="AE68" i="7"/>
  <c r="AE135" i="7"/>
  <c r="AE122" i="7"/>
  <c r="AE163" i="7"/>
  <c r="AE33" i="7"/>
  <c r="AE199" i="7"/>
  <c r="AE72" i="7"/>
  <c r="AE63" i="7"/>
  <c r="AE113" i="7"/>
  <c r="AE101" i="7"/>
  <c r="AE64" i="7"/>
  <c r="AE58" i="7"/>
  <c r="AE111" i="7"/>
  <c r="AE123" i="7"/>
  <c r="AE175" i="7"/>
  <c r="AE151" i="7"/>
  <c r="AE162" i="7"/>
  <c r="AE168" i="7"/>
  <c r="AE144" i="7"/>
  <c r="AE133" i="7"/>
  <c r="AE69" i="7"/>
  <c r="AE65" i="7"/>
  <c r="AE60" i="7"/>
  <c r="AE39" i="7"/>
  <c r="AE203" i="7"/>
  <c r="AE95" i="7"/>
  <c r="AE93" i="7"/>
  <c r="AE91" i="7"/>
  <c r="AE89" i="7"/>
  <c r="AE87" i="7"/>
  <c r="AE85" i="7"/>
  <c r="AE83" i="7"/>
  <c r="AE81" i="7"/>
  <c r="AE79" i="7"/>
  <c r="AE77" i="7"/>
  <c r="AE75" i="7"/>
  <c r="AE71" i="7"/>
  <c r="AE61" i="7"/>
  <c r="AE109" i="7"/>
  <c r="AE57" i="7"/>
  <c r="AE200" i="7"/>
  <c r="AE207" i="7"/>
  <c r="AE73" i="7"/>
  <c r="AE195" i="7"/>
  <c r="AE152" i="7"/>
  <c r="AE179" i="7"/>
  <c r="AE115" i="7"/>
  <c r="AE97" i="7"/>
  <c r="AE66" i="7"/>
  <c r="AE99" i="7"/>
  <c r="AE67" i="7"/>
  <c r="AE62" i="7"/>
  <c r="AE28" i="7"/>
  <c r="AE45" i="7"/>
  <c r="AE40" i="7"/>
  <c r="AE32" i="7"/>
  <c r="AE47" i="7"/>
  <c r="AE55" i="7"/>
  <c r="AE37" i="7"/>
  <c r="AE31" i="7"/>
  <c r="AE30" i="7"/>
  <c r="AE42" i="7"/>
  <c r="AE53" i="7"/>
  <c r="AE50" i="7"/>
  <c r="AE41" i="7"/>
  <c r="AE24" i="7"/>
  <c r="AE36" i="7"/>
  <c r="AE23" i="7"/>
  <c r="AE44" i="7"/>
  <c r="AE38" i="7"/>
  <c r="AE43" i="7"/>
  <c r="AE25" i="7"/>
  <c r="AE27" i="7"/>
  <c r="AE49" i="7"/>
  <c r="AE26" i="7"/>
  <c r="AK543" i="7"/>
  <c r="AK545" i="7"/>
  <c r="AK530" i="7"/>
  <c r="AK539" i="7"/>
  <c r="AK535" i="7"/>
  <c r="AK542" i="7"/>
  <c r="AK544" i="7"/>
  <c r="AK547" i="7"/>
  <c r="AK552" i="7"/>
  <c r="AK538" i="7"/>
  <c r="AK546" i="7"/>
  <c r="AK549" i="7"/>
  <c r="AK548" i="7"/>
  <c r="AK527" i="7"/>
  <c r="AK540" i="7"/>
  <c r="AK551" i="7"/>
  <c r="AK536" i="7"/>
  <c r="AK533" i="7"/>
  <c r="AK532" i="7"/>
  <c r="AK522" i="7"/>
  <c r="AK509" i="7"/>
  <c r="AK524" i="7"/>
  <c r="AK523" i="7"/>
  <c r="AK529" i="7"/>
  <c r="AK528" i="7"/>
  <c r="AK525" i="7"/>
  <c r="AK531" i="7"/>
  <c r="AK508" i="7"/>
  <c r="AK462" i="7"/>
  <c r="AK515" i="7"/>
  <c r="AK510" i="7"/>
  <c r="AK475" i="7"/>
  <c r="AK476" i="7"/>
  <c r="AK514" i="7"/>
  <c r="AK516" i="7"/>
  <c r="AK519" i="7"/>
  <c r="AK466" i="7"/>
  <c r="AK467" i="7"/>
  <c r="AK480" i="7"/>
  <c r="AK506" i="7"/>
  <c r="AK520" i="7"/>
  <c r="AK507" i="7"/>
  <c r="AK511" i="7"/>
  <c r="AK457" i="7"/>
  <c r="AK453" i="7"/>
  <c r="AK499" i="7"/>
  <c r="AK464" i="7"/>
  <c r="AK461" i="7"/>
  <c r="AK484" i="7"/>
  <c r="AK460" i="7"/>
  <c r="AK485" i="7"/>
  <c r="AK468" i="7"/>
  <c r="AK455" i="7"/>
  <c r="AK481" i="7"/>
  <c r="AK469" i="7"/>
  <c r="AK502" i="7"/>
  <c r="AK459" i="7"/>
  <c r="AK482" i="7"/>
  <c r="AK454" i="7"/>
  <c r="AK491" i="7"/>
  <c r="AK501" i="7"/>
  <c r="AK479" i="7"/>
  <c r="AK456" i="7"/>
  <c r="AK473" i="7"/>
  <c r="AK494" i="7"/>
  <c r="AK458" i="7"/>
  <c r="AK477" i="7"/>
  <c r="AK487" i="7"/>
  <c r="AK478" i="7"/>
  <c r="AK463" i="7"/>
  <c r="AK488" i="7"/>
  <c r="AK490" i="7"/>
  <c r="AK451" i="7"/>
  <c r="AK452" i="7"/>
  <c r="AK493" i="7"/>
  <c r="AK495" i="7"/>
  <c r="AK500" i="7"/>
  <c r="AK474" i="7"/>
  <c r="AK483" i="7"/>
  <c r="AK472" i="7"/>
  <c r="AK496" i="7"/>
  <c r="AK503" i="7"/>
  <c r="AK471" i="7"/>
  <c r="AK492" i="7"/>
  <c r="AK497" i="7"/>
  <c r="AK504" i="7"/>
  <c r="AK62" i="7"/>
  <c r="AK97" i="7"/>
  <c r="AK114" i="7"/>
  <c r="AK119" i="7"/>
  <c r="AK135" i="7"/>
  <c r="AK151" i="7"/>
  <c r="AK167" i="7"/>
  <c r="AK93" i="7"/>
  <c r="AK76" i="7"/>
  <c r="AK84" i="7"/>
  <c r="AK92" i="7"/>
  <c r="AK100" i="7"/>
  <c r="AK104" i="7"/>
  <c r="AK108" i="7"/>
  <c r="AK85" i="7"/>
  <c r="AK75" i="7"/>
  <c r="AK83" i="7"/>
  <c r="AK91" i="7"/>
  <c r="AK78" i="7"/>
  <c r="AK86" i="7"/>
  <c r="AK94" i="7"/>
  <c r="AK89" i="7"/>
  <c r="AK163" i="7"/>
  <c r="AK183" i="7"/>
  <c r="AK56" i="7"/>
  <c r="AK59" i="7"/>
  <c r="AK133" i="7"/>
  <c r="AK143" i="7"/>
  <c r="AK159" i="7"/>
  <c r="AK175" i="7"/>
  <c r="AK113" i="7"/>
  <c r="AK77" i="7"/>
  <c r="AK80" i="7"/>
  <c r="AK88" i="7"/>
  <c r="AK96" i="7"/>
  <c r="AK98" i="7"/>
  <c r="AK102" i="7"/>
  <c r="AK106" i="7"/>
  <c r="AK69" i="7"/>
  <c r="AK79" i="7"/>
  <c r="AK87" i="7"/>
  <c r="AK95" i="7"/>
  <c r="AK82" i="7"/>
  <c r="AK90" i="7"/>
  <c r="AK81" i="7"/>
  <c r="AK123" i="7"/>
  <c r="AK139" i="7"/>
  <c r="AK191" i="7"/>
  <c r="AK157" i="7"/>
  <c r="AK173" i="7"/>
  <c r="AK189" i="7"/>
  <c r="AK149" i="7"/>
  <c r="AK181" i="7"/>
  <c r="AK161" i="7"/>
  <c r="AK193" i="7"/>
  <c r="AK168" i="7"/>
  <c r="AK103" i="7"/>
  <c r="AK155" i="7"/>
  <c r="AK174" i="7"/>
  <c r="AK177" i="7"/>
  <c r="AK187" i="7"/>
  <c r="AK129" i="7"/>
  <c r="AK164" i="7"/>
  <c r="AK158" i="7"/>
  <c r="AK128" i="7"/>
  <c r="AK140" i="7"/>
  <c r="AK144" i="7"/>
  <c r="AK190" i="7"/>
  <c r="AK132" i="7"/>
  <c r="AK169" i="7"/>
  <c r="AK176" i="7"/>
  <c r="AK196" i="7"/>
  <c r="AK126" i="7"/>
  <c r="AK101" i="7"/>
  <c r="AK142" i="7"/>
  <c r="AK134" i="7"/>
  <c r="AK172" i="7"/>
  <c r="AK146" i="7"/>
  <c r="AK153" i="7"/>
  <c r="AK118" i="7"/>
  <c r="AK171" i="7"/>
  <c r="AK147" i="7"/>
  <c r="AK124" i="7"/>
  <c r="AK105" i="7"/>
  <c r="AK185" i="7"/>
  <c r="AK131" i="7"/>
  <c r="AK125" i="7"/>
  <c r="AK156" i="7"/>
  <c r="AK138" i="7"/>
  <c r="AK184" i="7"/>
  <c r="AK170" i="7"/>
  <c r="AK137" i="7"/>
  <c r="AK178" i="7"/>
  <c r="AK122" i="7"/>
  <c r="AK165" i="7"/>
  <c r="AK152" i="7"/>
  <c r="AK195" i="7"/>
  <c r="AK120" i="7"/>
  <c r="AK160" i="7"/>
  <c r="AK186" i="7"/>
  <c r="AK121" i="7"/>
  <c r="AK182" i="7"/>
  <c r="AK154" i="7"/>
  <c r="AK127" i="7"/>
  <c r="AK145" i="7"/>
  <c r="AK179" i="7"/>
  <c r="AK148" i="7"/>
  <c r="AK107" i="7"/>
  <c r="AK162" i="7"/>
  <c r="AK192" i="7"/>
  <c r="AK99" i="7"/>
  <c r="AK136" i="7"/>
  <c r="AK166" i="7"/>
  <c r="AK188" i="7"/>
  <c r="AK141" i="7"/>
  <c r="AK150" i="7"/>
  <c r="AK68" i="7"/>
  <c r="AK58" i="7"/>
  <c r="AK110" i="7"/>
  <c r="AK65" i="7"/>
  <c r="AK67" i="7"/>
  <c r="AK115" i="7"/>
  <c r="AK50" i="7"/>
  <c r="AK74" i="7"/>
  <c r="AK70" i="7"/>
  <c r="AK71" i="7"/>
  <c r="AK61" i="7"/>
  <c r="AK72" i="7"/>
  <c r="AK57" i="7"/>
  <c r="AK112" i="7"/>
  <c r="AK63" i="7"/>
  <c r="AK180" i="7"/>
  <c r="AK116" i="7"/>
  <c r="AK194" i="7"/>
  <c r="AK73" i="7"/>
  <c r="AK109" i="7"/>
  <c r="AK25" i="7"/>
  <c r="AK27" i="7"/>
  <c r="AK60" i="7"/>
  <c r="AK130" i="7"/>
  <c r="AK64" i="7"/>
  <c r="AK47" i="7"/>
  <c r="AK49" i="7"/>
  <c r="AK53" i="7"/>
  <c r="AK55" i="7"/>
  <c r="AK117" i="7"/>
  <c r="AK23" i="7"/>
  <c r="AK66" i="7"/>
  <c r="AK111" i="7"/>
  <c r="AK51" i="7"/>
  <c r="AK45" i="7"/>
  <c r="AK26" i="7"/>
  <c r="AK36" i="7"/>
  <c r="AK31" i="7"/>
  <c r="AK32" i="7"/>
  <c r="AK38" i="7"/>
  <c r="AK29" i="7"/>
  <c r="AK33" i="7"/>
  <c r="AK48" i="7"/>
  <c r="AK42" i="7"/>
  <c r="AK34" i="7"/>
  <c r="AK54" i="7"/>
  <c r="AK46" i="7"/>
  <c r="AK17" i="7"/>
  <c r="AK37" i="7"/>
  <c r="AK35" i="7"/>
  <c r="AK28" i="7"/>
  <c r="AK41" i="7"/>
  <c r="AK43" i="7"/>
  <c r="AK44" i="7"/>
  <c r="AK40" i="7"/>
  <c r="AK52" i="7"/>
  <c r="AK24" i="7"/>
  <c r="AK30" i="7"/>
  <c r="AK39" i="7"/>
  <c r="AK7" i="7"/>
  <c r="AO543" i="7"/>
  <c r="AO527" i="7"/>
  <c r="AO536" i="7"/>
  <c r="AO546" i="7"/>
  <c r="AO551" i="7"/>
  <c r="AO542" i="7"/>
  <c r="AO549" i="7"/>
  <c r="AO544" i="7"/>
  <c r="AO540" i="7"/>
  <c r="AO545" i="7"/>
  <c r="AO530" i="7"/>
  <c r="AO547" i="7"/>
  <c r="AO548" i="7"/>
  <c r="AO539" i="7"/>
  <c r="AO552" i="7"/>
  <c r="AO535" i="7"/>
  <c r="AO538" i="7"/>
  <c r="AO523" i="7"/>
  <c r="AO531" i="7"/>
  <c r="AO525" i="7"/>
  <c r="AO509" i="7"/>
  <c r="AO528" i="7"/>
  <c r="AO524" i="7"/>
  <c r="AO529" i="7"/>
  <c r="AO533" i="7"/>
  <c r="AO522" i="7"/>
  <c r="AO532" i="7"/>
  <c r="AO466" i="7"/>
  <c r="AO467" i="7"/>
  <c r="AO516" i="7"/>
  <c r="AO508" i="7"/>
  <c r="AO475" i="7"/>
  <c r="AO507" i="7"/>
  <c r="AO519" i="7"/>
  <c r="AO462" i="7"/>
  <c r="AO515" i="7"/>
  <c r="AO476" i="7"/>
  <c r="AO480" i="7"/>
  <c r="AO511" i="7"/>
  <c r="AO506" i="7"/>
  <c r="AO520" i="7"/>
  <c r="AO510" i="7"/>
  <c r="AO514" i="7"/>
  <c r="AO464" i="7"/>
  <c r="AO499" i="7"/>
  <c r="AO463" i="7"/>
  <c r="AO457" i="7"/>
  <c r="AO485" i="7"/>
  <c r="AO479" i="7"/>
  <c r="AO497" i="7"/>
  <c r="AO484" i="7"/>
  <c r="AO481" i="7"/>
  <c r="AO502" i="7"/>
  <c r="AO460" i="7"/>
  <c r="AO473" i="7"/>
  <c r="AO453" i="7"/>
  <c r="AO503" i="7"/>
  <c r="AO468" i="7"/>
  <c r="AO456" i="7"/>
  <c r="AO461" i="7"/>
  <c r="AO455" i="7"/>
  <c r="AO469" i="7"/>
  <c r="AO494" i="7"/>
  <c r="AO472" i="7"/>
  <c r="AO458" i="7"/>
  <c r="AO451" i="7"/>
  <c r="AO477" i="7"/>
  <c r="AO496" i="7"/>
  <c r="AO492" i="7"/>
  <c r="AO454" i="7"/>
  <c r="AO482" i="7"/>
  <c r="AO488" i="7"/>
  <c r="AO490" i="7"/>
  <c r="AO501" i="7"/>
  <c r="AO493" i="7"/>
  <c r="AO483" i="7"/>
  <c r="AO495" i="7"/>
  <c r="AO491" i="7"/>
  <c r="AO471" i="7"/>
  <c r="AO487" i="7"/>
  <c r="AO478" i="7"/>
  <c r="AO459" i="7"/>
  <c r="AO474" i="7"/>
  <c r="AO504" i="7"/>
  <c r="AO452" i="7"/>
  <c r="AO500" i="7"/>
  <c r="AO62" i="7"/>
  <c r="AO93" i="7"/>
  <c r="AO76" i="7"/>
  <c r="AO84" i="7"/>
  <c r="AO92" i="7"/>
  <c r="AO85" i="7"/>
  <c r="AO75" i="7"/>
  <c r="AO83" i="7"/>
  <c r="AO91" i="7"/>
  <c r="AO78" i="7"/>
  <c r="AO86" i="7"/>
  <c r="AO94" i="7"/>
  <c r="AO89" i="7"/>
  <c r="AO163" i="7"/>
  <c r="AO183" i="7"/>
  <c r="AO98" i="7"/>
  <c r="AO102" i="7"/>
  <c r="AO106" i="7"/>
  <c r="AO133" i="7"/>
  <c r="AO143" i="7"/>
  <c r="AO159" i="7"/>
  <c r="AO175" i="7"/>
  <c r="AO77" i="7"/>
  <c r="AO56" i="7"/>
  <c r="AO80" i="7"/>
  <c r="AO88" i="7"/>
  <c r="AO96" i="7"/>
  <c r="AO69" i="7"/>
  <c r="AO59" i="7"/>
  <c r="AO79" i="7"/>
  <c r="AO87" i="7"/>
  <c r="AO95" i="7"/>
  <c r="AO82" i="7"/>
  <c r="AO90" i="7"/>
  <c r="AO81" i="7"/>
  <c r="AO114" i="7"/>
  <c r="AO97" i="7"/>
  <c r="AO113" i="7"/>
  <c r="AO123" i="7"/>
  <c r="AO139" i="7"/>
  <c r="AO191" i="7"/>
  <c r="AO100" i="7"/>
  <c r="AO104" i="7"/>
  <c r="AO108" i="7"/>
  <c r="AO119" i="7"/>
  <c r="AO135" i="7"/>
  <c r="AO151" i="7"/>
  <c r="AO167" i="7"/>
  <c r="AO149" i="7"/>
  <c r="AO181" i="7"/>
  <c r="AO161" i="7"/>
  <c r="AO193" i="7"/>
  <c r="AO168" i="7"/>
  <c r="AO157" i="7"/>
  <c r="AO173" i="7"/>
  <c r="AO189" i="7"/>
  <c r="AO179" i="7"/>
  <c r="AO129" i="7"/>
  <c r="AO126" i="7"/>
  <c r="AO185" i="7"/>
  <c r="AO138" i="7"/>
  <c r="AO172" i="7"/>
  <c r="AO101" i="7"/>
  <c r="AO184" i="7"/>
  <c r="AO121" i="7"/>
  <c r="AO150" i="7"/>
  <c r="AO137" i="7"/>
  <c r="AO103" i="7"/>
  <c r="AO125" i="7"/>
  <c r="AO158" i="7"/>
  <c r="AO131" i="7"/>
  <c r="AO165" i="7"/>
  <c r="AO187" i="7"/>
  <c r="AO136" i="7"/>
  <c r="AO190" i="7"/>
  <c r="AO122" i="7"/>
  <c r="AO141" i="7"/>
  <c r="AO127" i="7"/>
  <c r="AO144" i="7"/>
  <c r="AO160" i="7"/>
  <c r="AO186" i="7"/>
  <c r="AO188" i="7"/>
  <c r="AO169" i="7"/>
  <c r="AO196" i="7"/>
  <c r="AO177" i="7"/>
  <c r="AO182" i="7"/>
  <c r="AO162" i="7"/>
  <c r="AO166" i="7"/>
  <c r="AO174" i="7"/>
  <c r="AO124" i="7"/>
  <c r="AO147" i="7"/>
  <c r="AO107" i="7"/>
  <c r="AO148" i="7"/>
  <c r="AO171" i="7"/>
  <c r="AO99" i="7"/>
  <c r="AO156" i="7"/>
  <c r="AO105" i="7"/>
  <c r="AO154" i="7"/>
  <c r="AO145" i="7"/>
  <c r="AO178" i="7"/>
  <c r="AO120" i="7"/>
  <c r="AO142" i="7"/>
  <c r="AO153" i="7"/>
  <c r="AO180" i="7"/>
  <c r="AO134" i="7"/>
  <c r="AO132" i="7"/>
  <c r="AO164" i="7"/>
  <c r="AO118" i="7"/>
  <c r="AO146" i="7"/>
  <c r="AO128" i="7"/>
  <c r="AO170" i="7"/>
  <c r="AO155" i="7"/>
  <c r="AO195" i="7"/>
  <c r="AO140" i="7"/>
  <c r="AO176" i="7"/>
  <c r="AO109" i="7"/>
  <c r="AO47" i="7"/>
  <c r="AO49" i="7"/>
  <c r="AO53" i="7"/>
  <c r="AO55" i="7"/>
  <c r="AO74" i="7"/>
  <c r="AO23" i="7"/>
  <c r="AO71" i="7"/>
  <c r="AO194" i="7"/>
  <c r="AO70" i="7"/>
  <c r="AO60" i="7"/>
  <c r="AO111" i="7"/>
  <c r="AO72" i="7"/>
  <c r="AO63" i="7"/>
  <c r="AO57" i="7"/>
  <c r="AO116" i="7"/>
  <c r="AO73" i="7"/>
  <c r="AO68" i="7"/>
  <c r="AO64" i="7"/>
  <c r="AO58" i="7"/>
  <c r="AO110" i="7"/>
  <c r="AO50" i="7"/>
  <c r="AO117" i="7"/>
  <c r="AO66" i="7"/>
  <c r="AO130" i="7"/>
  <c r="AO192" i="7"/>
  <c r="AO152" i="7"/>
  <c r="AO25" i="7"/>
  <c r="AO27" i="7"/>
  <c r="AO65" i="7"/>
  <c r="AO61" i="7"/>
  <c r="AO67" i="7"/>
  <c r="AO115" i="7"/>
  <c r="AO112" i="7"/>
  <c r="AO52" i="7"/>
  <c r="AO54" i="7"/>
  <c r="AO41" i="7"/>
  <c r="AO51" i="7"/>
  <c r="AO44" i="7"/>
  <c r="AO31" i="7"/>
  <c r="AO17" i="7"/>
  <c r="AO29" i="7"/>
  <c r="AO37" i="7"/>
  <c r="AO45" i="7"/>
  <c r="AO42" i="7"/>
  <c r="AO34" i="7"/>
  <c r="AO30" i="7"/>
  <c r="AO32" i="7"/>
  <c r="AO38" i="7"/>
  <c r="AO33" i="7"/>
  <c r="AO48" i="7"/>
  <c r="AO40" i="7"/>
  <c r="AO7" i="7"/>
  <c r="AO35" i="7"/>
  <c r="AO26" i="7"/>
  <c r="AO36" i="7"/>
  <c r="AO28" i="7"/>
  <c r="AO43" i="7"/>
  <c r="AO39" i="7"/>
  <c r="AO24" i="7"/>
  <c r="AO46" i="7"/>
  <c r="AG17" i="7"/>
  <c r="AK22" i="7"/>
  <c r="AF7" i="7"/>
  <c r="AF8" i="7"/>
  <c r="V9" i="7"/>
  <c r="W9" i="7"/>
  <c r="AO11" i="7"/>
  <c r="AF12" i="7"/>
  <c r="AC12" i="7"/>
  <c r="Y13" i="7"/>
  <c r="M14" i="7"/>
  <c r="T14" i="7" s="1"/>
  <c r="AO15" i="7"/>
  <c r="AC16" i="7"/>
  <c r="AD16" i="7"/>
  <c r="W17" i="7"/>
  <c r="X18" i="7"/>
  <c r="Z18" i="7"/>
  <c r="AM20" i="7"/>
  <c r="AG21" i="7"/>
  <c r="AH21" i="7"/>
  <c r="Y7" i="7"/>
  <c r="Z7" i="7"/>
  <c r="W8" i="7"/>
  <c r="R9" i="7"/>
  <c r="M9" i="7"/>
  <c r="AM10" i="7"/>
  <c r="AF11" i="7"/>
  <c r="AH11" i="7"/>
  <c r="AJ11" i="7" s="1"/>
  <c r="Y12" i="7"/>
  <c r="M13" i="7"/>
  <c r="R13" i="7"/>
  <c r="F14" i="7"/>
  <c r="L14" i="7" s="1"/>
  <c r="AS14" i="7" s="1"/>
  <c r="AO14" i="7"/>
  <c r="AK14" i="7"/>
  <c r="AC15" i="7"/>
  <c r="U16" i="7"/>
  <c r="W16" i="7"/>
  <c r="M17" i="7"/>
  <c r="M18" i="7"/>
  <c r="AN19" i="7"/>
  <c r="AC20" i="7"/>
  <c r="AH20" i="7"/>
  <c r="X21" i="7"/>
  <c r="F8" i="7"/>
  <c r="L8" i="7" s="1"/>
  <c r="AS8" i="7" s="1"/>
  <c r="AE9" i="7"/>
  <c r="X14" i="7"/>
  <c r="Z14" i="7"/>
  <c r="AF18" i="7"/>
  <c r="AG18" i="7"/>
  <c r="AN21" i="7"/>
  <c r="AK21" i="7"/>
  <c r="M7" i="7"/>
  <c r="F9" i="7"/>
  <c r="L9" i="7" s="1"/>
  <c r="AS9" i="7" s="1"/>
  <c r="AM9" i="7"/>
  <c r="AR9" i="7" s="1"/>
  <c r="AF10" i="7"/>
  <c r="AG10" i="7"/>
  <c r="Z11" i="7"/>
  <c r="AN13" i="7"/>
  <c r="AC14" i="7"/>
  <c r="AE14" i="7"/>
  <c r="V15" i="7"/>
  <c r="M16" i="7"/>
  <c r="T16" i="7" s="1"/>
  <c r="AN18" i="7"/>
  <c r="AL18" i="7"/>
  <c r="AF19" i="7"/>
  <c r="V20" i="7"/>
  <c r="W20" i="7"/>
  <c r="AF22" i="7"/>
  <c r="AN8" i="7"/>
  <c r="AO8" i="7"/>
  <c r="V10" i="7"/>
  <c r="AP12" i="7"/>
  <c r="AO12" i="7"/>
  <c r="AE13" i="7"/>
  <c r="M15" i="7"/>
  <c r="AP16" i="7"/>
  <c r="X19" i="7"/>
  <c r="U19" i="7"/>
  <c r="AB19" i="7" s="1"/>
  <c r="F21" i="7"/>
  <c r="L21" i="7" s="1"/>
  <c r="AS21" i="7" s="1"/>
  <c r="AN6" i="7"/>
  <c r="V22" i="7"/>
  <c r="X22" i="7"/>
  <c r="F6" i="7"/>
  <c r="AB22" i="7"/>
  <c r="AE6" i="7"/>
  <c r="U6" i="7"/>
  <c r="V6" i="7"/>
  <c r="AC6" i="7"/>
  <c r="O6" i="7"/>
  <c r="N6" i="7"/>
  <c r="M6" i="7"/>
  <c r="AD6" i="7"/>
  <c r="R6" i="7"/>
  <c r="P6" i="7"/>
  <c r="AH6" i="7"/>
  <c r="AF6" i="7"/>
  <c r="Z6" i="7"/>
  <c r="L11" i="7"/>
  <c r="AS11" i="7" s="1"/>
  <c r="L20" i="7"/>
  <c r="AS20" i="7" s="1"/>
  <c r="L19" i="7"/>
  <c r="AS19" i="7" s="1"/>
  <c r="I6" i="7"/>
  <c r="G6" i="7"/>
  <c r="H6" i="7"/>
  <c r="Y6" i="7"/>
  <c r="X6" i="7"/>
  <c r="AJ7" i="7"/>
  <c r="L13" i="7"/>
  <c r="AS13" i="7" s="1"/>
  <c r="L10" i="7"/>
  <c r="AS10" i="7" s="1"/>
  <c r="L16" i="7"/>
  <c r="AS16" i="7" s="1"/>
  <c r="T10" i="7"/>
  <c r="F17" i="5"/>
  <c r="F16" i="5"/>
  <c r="L207" i="7" l="1"/>
  <c r="AS207" i="7" s="1"/>
  <c r="L206" i="7"/>
  <c r="AS206" i="7" s="1"/>
  <c r="L221" i="7"/>
  <c r="AS221" i="7" s="1"/>
  <c r="L274" i="7"/>
  <c r="AS274" i="7" s="1"/>
  <c r="L237" i="7"/>
  <c r="AS237" i="7" s="1"/>
  <c r="L229" i="7"/>
  <c r="AS229" i="7" s="1"/>
  <c r="L246" i="7"/>
  <c r="AS246" i="7" s="1"/>
  <c r="L250" i="7"/>
  <c r="AS250" i="7" s="1"/>
  <c r="L273" i="7"/>
  <c r="AS273" i="7" s="1"/>
  <c r="L261" i="7"/>
  <c r="AS261" i="7" s="1"/>
  <c r="L224" i="7"/>
  <c r="AS224" i="7" s="1"/>
  <c r="L239" i="7"/>
  <c r="AS239" i="7" s="1"/>
  <c r="L263" i="7"/>
  <c r="AS263" i="7" s="1"/>
  <c r="L240" i="7"/>
  <c r="AS240" i="7" s="1"/>
  <c r="L255" i="7"/>
  <c r="AS255" i="7" s="1"/>
  <c r="L226" i="7"/>
  <c r="AS226" i="7" s="1"/>
  <c r="L228" i="7"/>
  <c r="AS228" i="7" s="1"/>
  <c r="L195" i="7"/>
  <c r="AS195" i="7" s="1"/>
  <c r="L275" i="7"/>
  <c r="AS275" i="7" s="1"/>
  <c r="L244" i="7"/>
  <c r="AS244" i="7" s="1"/>
  <c r="L271" i="7"/>
  <c r="AS271" i="7" s="1"/>
  <c r="L267" i="7"/>
  <c r="AS267" i="7" s="1"/>
  <c r="L314" i="7"/>
  <c r="AS314" i="7" s="1"/>
  <c r="L330" i="7"/>
  <c r="AS330" i="7" s="1"/>
  <c r="L304" i="7"/>
  <c r="AS304" i="7" s="1"/>
  <c r="L339" i="7"/>
  <c r="AS339" i="7" s="1"/>
  <c r="L279" i="7"/>
  <c r="AS279" i="7" s="1"/>
  <c r="L310" i="7"/>
  <c r="AS310" i="7" s="1"/>
  <c r="L351" i="7"/>
  <c r="AS351" i="7" s="1"/>
  <c r="L300" i="7"/>
  <c r="AS300" i="7" s="1"/>
  <c r="L323" i="7"/>
  <c r="AS323" i="7" s="1"/>
  <c r="L334" i="7"/>
  <c r="AS334" i="7" s="1"/>
  <c r="L321" i="7"/>
  <c r="AS321" i="7" s="1"/>
  <c r="L336" i="7"/>
  <c r="AS336" i="7" s="1"/>
  <c r="L317" i="7"/>
  <c r="AS317" i="7" s="1"/>
  <c r="L347" i="7"/>
  <c r="AS347" i="7" s="1"/>
  <c r="L306" i="7"/>
  <c r="AS306" i="7" s="1"/>
  <c r="L327" i="7"/>
  <c r="AS327" i="7" s="1"/>
  <c r="L338" i="7"/>
  <c r="AS338" i="7" s="1"/>
  <c r="L395" i="7"/>
  <c r="AS395" i="7" s="1"/>
  <c r="L360" i="7"/>
  <c r="AS360" i="7" s="1"/>
  <c r="L377" i="7"/>
  <c r="AS377" i="7" s="1"/>
  <c r="L378" i="7"/>
  <c r="AS378" i="7" s="1"/>
  <c r="L357" i="7"/>
  <c r="AS357" i="7" s="1"/>
  <c r="L366" i="7"/>
  <c r="AS366" i="7" s="1"/>
  <c r="L369" i="7"/>
  <c r="AS369" i="7" s="1"/>
  <c r="L358" i="7"/>
  <c r="AS358" i="7" s="1"/>
  <c r="L400" i="7"/>
  <c r="AS400" i="7" s="1"/>
  <c r="L392" i="7"/>
  <c r="AS392" i="7" s="1"/>
  <c r="L371" i="7"/>
  <c r="AS371" i="7" s="1"/>
  <c r="L397" i="7"/>
  <c r="AS397" i="7" s="1"/>
  <c r="L289" i="7"/>
  <c r="AS289" i="7" s="1"/>
  <c r="L435" i="7"/>
  <c r="AS435" i="7" s="1"/>
  <c r="L417" i="7"/>
  <c r="AS417" i="7" s="1"/>
  <c r="L423" i="7"/>
  <c r="AS423" i="7" s="1"/>
  <c r="L410" i="7"/>
  <c r="AS410" i="7" s="1"/>
  <c r="L439" i="7"/>
  <c r="AS439" i="7" s="1"/>
  <c r="L420" i="7"/>
  <c r="AS420" i="7" s="1"/>
  <c r="L425" i="7"/>
  <c r="AS425" i="7" s="1"/>
  <c r="L418" i="7"/>
  <c r="AS418" i="7" s="1"/>
  <c r="L407" i="7"/>
  <c r="AS407" i="7" s="1"/>
  <c r="L402" i="7"/>
  <c r="AS402" i="7" s="1"/>
  <c r="L442" i="7"/>
  <c r="AS442" i="7" s="1"/>
  <c r="L445" i="7"/>
  <c r="AS445" i="7" s="1"/>
  <c r="L501" i="7"/>
  <c r="AS501" i="7" s="1"/>
  <c r="L495" i="7"/>
  <c r="AS495" i="7" s="1"/>
  <c r="L504" i="7"/>
  <c r="AS504" i="7" s="1"/>
  <c r="L489" i="7"/>
  <c r="AS489" i="7" s="1"/>
  <c r="L493" i="7"/>
  <c r="AS493" i="7" s="1"/>
  <c r="L480" i="7"/>
  <c r="AS480" i="7" s="1"/>
  <c r="L499" i="7"/>
  <c r="AS499" i="7" s="1"/>
  <c r="L473" i="7"/>
  <c r="AS473" i="7" s="1"/>
  <c r="L456" i="7"/>
  <c r="AS456" i="7" s="1"/>
  <c r="L461" i="7"/>
  <c r="AS461" i="7" s="1"/>
  <c r="L451" i="7"/>
  <c r="AS451" i="7" s="1"/>
  <c r="L503" i="7"/>
  <c r="AS503" i="7" s="1"/>
  <c r="L518" i="7"/>
  <c r="AS518" i="7" s="1"/>
  <c r="L474" i="7"/>
  <c r="AS474" i="7" s="1"/>
  <c r="L512" i="7"/>
  <c r="AS512" i="7" s="1"/>
  <c r="L494" i="7"/>
  <c r="AS494" i="7" s="1"/>
  <c r="L454" i="7"/>
  <c r="AS454" i="7" s="1"/>
  <c r="L522" i="7"/>
  <c r="AS522" i="7" s="1"/>
  <c r="L506" i="7"/>
  <c r="AS506" i="7" s="1"/>
  <c r="L532" i="7"/>
  <c r="AS532" i="7" s="1"/>
  <c r="L533" i="7"/>
  <c r="AS533" i="7" s="1"/>
  <c r="L546" i="7"/>
  <c r="AS546" i="7" s="1"/>
  <c r="L524" i="7"/>
  <c r="AS524" i="7" s="1"/>
  <c r="L539" i="7"/>
  <c r="AS539" i="7" s="1"/>
  <c r="L545" i="7"/>
  <c r="AS545" i="7" s="1"/>
  <c r="L535" i="7"/>
  <c r="AS535" i="7" s="1"/>
  <c r="L200" i="7"/>
  <c r="AS200" i="7" s="1"/>
  <c r="L202" i="7"/>
  <c r="AS202" i="7" s="1"/>
  <c r="L201" i="7"/>
  <c r="AS201" i="7" s="1"/>
  <c r="L214" i="7"/>
  <c r="AS214" i="7" s="1"/>
  <c r="L222" i="7"/>
  <c r="AS222" i="7" s="1"/>
  <c r="L210" i="7"/>
  <c r="AS210" i="7" s="1"/>
  <c r="L262" i="7"/>
  <c r="AS262" i="7" s="1"/>
  <c r="L245" i="7"/>
  <c r="AS245" i="7" s="1"/>
  <c r="L209" i="7"/>
  <c r="AS209" i="7" s="1"/>
  <c r="L230" i="7"/>
  <c r="AS230" i="7" s="1"/>
  <c r="L277" i="7"/>
  <c r="AS277" i="7" s="1"/>
  <c r="L256" i="7"/>
  <c r="AS256" i="7" s="1"/>
  <c r="L219" i="7"/>
  <c r="AS219" i="7" s="1"/>
  <c r="L235" i="7"/>
  <c r="AS235" i="7" s="1"/>
  <c r="L268" i="7"/>
  <c r="AS268" i="7" s="1"/>
  <c r="L276" i="7"/>
  <c r="AS276" i="7" s="1"/>
  <c r="L265" i="7"/>
  <c r="AS265" i="7" s="1"/>
  <c r="L248" i="7"/>
  <c r="AS248" i="7" s="1"/>
  <c r="L238" i="7"/>
  <c r="AS238" i="7" s="1"/>
  <c r="L260" i="7"/>
  <c r="AS260" i="7" s="1"/>
  <c r="L247" i="7"/>
  <c r="AS247" i="7" s="1"/>
  <c r="L303" i="7"/>
  <c r="AS303" i="7" s="1"/>
  <c r="L352" i="7"/>
  <c r="AS352" i="7" s="1"/>
  <c r="L311" i="7"/>
  <c r="AS311" i="7" s="1"/>
  <c r="L328" i="7"/>
  <c r="AS328" i="7" s="1"/>
  <c r="L350" i="7"/>
  <c r="AS350" i="7" s="1"/>
  <c r="L302" i="7"/>
  <c r="AS302" i="7" s="1"/>
  <c r="L308" i="7"/>
  <c r="AS308" i="7" s="1"/>
  <c r="L285" i="7"/>
  <c r="AS285" i="7" s="1"/>
  <c r="L348" i="7"/>
  <c r="AS348" i="7" s="1"/>
  <c r="L283" i="7"/>
  <c r="AS283" i="7" s="1"/>
  <c r="L313" i="7"/>
  <c r="AS313" i="7" s="1"/>
  <c r="L324" i="7"/>
  <c r="AS324" i="7" s="1"/>
  <c r="L337" i="7"/>
  <c r="AS337" i="7" s="1"/>
  <c r="L319" i="7"/>
  <c r="AS319" i="7" s="1"/>
  <c r="L307" i="7"/>
  <c r="AS307" i="7" s="1"/>
  <c r="L345" i="7"/>
  <c r="AS345" i="7" s="1"/>
  <c r="L293" i="7"/>
  <c r="AS293" i="7" s="1"/>
  <c r="L398" i="7"/>
  <c r="AS398" i="7" s="1"/>
  <c r="L364" i="7"/>
  <c r="AS364" i="7" s="1"/>
  <c r="L368" i="7"/>
  <c r="AS368" i="7" s="1"/>
  <c r="L356" i="7"/>
  <c r="AS356" i="7" s="1"/>
  <c r="L286" i="7"/>
  <c r="AS286" i="7" s="1"/>
  <c r="L383" i="7"/>
  <c r="AS383" i="7" s="1"/>
  <c r="L374" i="7"/>
  <c r="AS374" i="7" s="1"/>
  <c r="L320" i="7"/>
  <c r="AS320" i="7" s="1"/>
  <c r="L309" i="7"/>
  <c r="AS309" i="7" s="1"/>
  <c r="L359" i="7"/>
  <c r="AS359" i="7" s="1"/>
  <c r="L393" i="7"/>
  <c r="AS393" i="7" s="1"/>
  <c r="L363" i="7"/>
  <c r="AS363" i="7" s="1"/>
  <c r="L375" i="7"/>
  <c r="AS375" i="7" s="1"/>
  <c r="L429" i="7"/>
  <c r="AS429" i="7" s="1"/>
  <c r="L404" i="7"/>
  <c r="AS404" i="7" s="1"/>
  <c r="L427" i="7"/>
  <c r="AS427" i="7" s="1"/>
  <c r="L422" i="7"/>
  <c r="AS422" i="7" s="1"/>
  <c r="L431" i="7"/>
  <c r="AS431" i="7" s="1"/>
  <c r="L414" i="7"/>
  <c r="AS414" i="7" s="1"/>
  <c r="L419" i="7"/>
  <c r="AS419" i="7" s="1"/>
  <c r="L436" i="7"/>
  <c r="AS436" i="7" s="1"/>
  <c r="L403" i="7"/>
  <c r="AS403" i="7" s="1"/>
  <c r="L441" i="7"/>
  <c r="AS441" i="7" s="1"/>
  <c r="L443" i="7"/>
  <c r="AS443" i="7" s="1"/>
  <c r="L478" i="7"/>
  <c r="AS478" i="7" s="1"/>
  <c r="L468" i="7"/>
  <c r="AS468" i="7" s="1"/>
  <c r="L450" i="7"/>
  <c r="AS450" i="7" s="1"/>
  <c r="L497" i="7"/>
  <c r="AS497" i="7" s="1"/>
  <c r="L472" i="7"/>
  <c r="AS472" i="7" s="1"/>
  <c r="L484" i="7"/>
  <c r="AS484" i="7" s="1"/>
  <c r="L467" i="7"/>
  <c r="AS467" i="7" s="1"/>
  <c r="L449" i="7"/>
  <c r="AS449" i="7" s="1"/>
  <c r="L479" i="7"/>
  <c r="AS479" i="7" s="1"/>
  <c r="L447" i="7"/>
  <c r="AS447" i="7" s="1"/>
  <c r="L466" i="7"/>
  <c r="AS466" i="7" s="1"/>
  <c r="L459" i="7"/>
  <c r="AS459" i="7" s="1"/>
  <c r="L458" i="7"/>
  <c r="AS458" i="7" s="1"/>
  <c r="L471" i="7"/>
  <c r="AS471" i="7" s="1"/>
  <c r="L508" i="7"/>
  <c r="AS508" i="7" s="1"/>
  <c r="L510" i="7"/>
  <c r="AS510" i="7" s="1"/>
  <c r="L507" i="7"/>
  <c r="AS507" i="7" s="1"/>
  <c r="L521" i="7"/>
  <c r="AS521" i="7" s="1"/>
  <c r="L530" i="7"/>
  <c r="AS530" i="7" s="1"/>
  <c r="L526" i="7"/>
  <c r="AS526" i="7" s="1"/>
  <c r="L528" i="7"/>
  <c r="AS528" i="7" s="1"/>
  <c r="L534" i="7"/>
  <c r="AS534" i="7" s="1"/>
  <c r="L543" i="7"/>
  <c r="AS543" i="7" s="1"/>
  <c r="L544" i="7"/>
  <c r="AS544" i="7" s="1"/>
  <c r="L538" i="7"/>
  <c r="AS538" i="7" s="1"/>
  <c r="L523" i="7"/>
  <c r="AS523" i="7" s="1"/>
  <c r="L541" i="7"/>
  <c r="AS541" i="7" s="1"/>
  <c r="L199" i="7"/>
  <c r="AS199" i="7" s="1"/>
  <c r="L203" i="7"/>
  <c r="AS203" i="7" s="1"/>
  <c r="L197" i="7"/>
  <c r="AS197" i="7" s="1"/>
  <c r="L194" i="7"/>
  <c r="AS194" i="7" s="1"/>
  <c r="L234" i="7"/>
  <c r="AS234" i="7" s="1"/>
  <c r="L249" i="7"/>
  <c r="AS249" i="7" s="1"/>
  <c r="L242" i="7"/>
  <c r="AS242" i="7" s="1"/>
  <c r="L278" i="7"/>
  <c r="AS278" i="7" s="1"/>
  <c r="L266" i="7"/>
  <c r="AS266" i="7" s="1"/>
  <c r="L225" i="7"/>
  <c r="AS225" i="7" s="1"/>
  <c r="L254" i="7"/>
  <c r="AS254" i="7" s="1"/>
  <c r="L270" i="7"/>
  <c r="AS270" i="7" s="1"/>
  <c r="L280" i="7"/>
  <c r="AS280" i="7" s="1"/>
  <c r="L220" i="7"/>
  <c r="AS220" i="7" s="1"/>
  <c r="L227" i="7"/>
  <c r="AS227" i="7" s="1"/>
  <c r="L208" i="7"/>
  <c r="AS208" i="7" s="1"/>
  <c r="L252" i="7"/>
  <c r="AS252" i="7" s="1"/>
  <c r="L243" i="7"/>
  <c r="AS243" i="7" s="1"/>
  <c r="L212" i="7"/>
  <c r="AS212" i="7" s="1"/>
  <c r="L272" i="7"/>
  <c r="AS272" i="7" s="1"/>
  <c r="L231" i="7"/>
  <c r="AS231" i="7" s="1"/>
  <c r="L326" i="7"/>
  <c r="AS326" i="7" s="1"/>
  <c r="L325" i="7"/>
  <c r="AS325" i="7" s="1"/>
  <c r="L291" i="7"/>
  <c r="AS291" i="7" s="1"/>
  <c r="L290" i="7"/>
  <c r="AS290" i="7" s="1"/>
  <c r="L331" i="7"/>
  <c r="AS331" i="7" s="1"/>
  <c r="L355" i="7"/>
  <c r="AS355" i="7" s="1"/>
  <c r="L295" i="7"/>
  <c r="AS295" i="7" s="1"/>
  <c r="L281" i="7"/>
  <c r="AS281" i="7" s="1"/>
  <c r="L284" i="7"/>
  <c r="AS284" i="7" s="1"/>
  <c r="L329" i="7"/>
  <c r="AS329" i="7" s="1"/>
  <c r="L333" i="7"/>
  <c r="AS333" i="7" s="1"/>
  <c r="L301" i="7"/>
  <c r="AS301" i="7" s="1"/>
  <c r="L297" i="7"/>
  <c r="AS297" i="7" s="1"/>
  <c r="L344" i="7"/>
  <c r="AS344" i="7" s="1"/>
  <c r="L318" i="7"/>
  <c r="AS318" i="7" s="1"/>
  <c r="L340" i="7"/>
  <c r="AS340" i="7" s="1"/>
  <c r="L349" i="7"/>
  <c r="AS349" i="7" s="1"/>
  <c r="L380" i="7"/>
  <c r="AS380" i="7" s="1"/>
  <c r="L391" i="7"/>
  <c r="AS391" i="7" s="1"/>
  <c r="L385" i="7"/>
  <c r="AS385" i="7" s="1"/>
  <c r="L386" i="7"/>
  <c r="AS386" i="7" s="1"/>
  <c r="L372" i="7"/>
  <c r="AS372" i="7" s="1"/>
  <c r="L365" i="7"/>
  <c r="AS365" i="7" s="1"/>
  <c r="L399" i="7"/>
  <c r="AS399" i="7" s="1"/>
  <c r="L292" i="7"/>
  <c r="AS292" i="7" s="1"/>
  <c r="L387" i="7"/>
  <c r="AS387" i="7" s="1"/>
  <c r="L296" i="7"/>
  <c r="AS296" i="7" s="1"/>
  <c r="L379" i="7"/>
  <c r="AS379" i="7" s="1"/>
  <c r="L384" i="7"/>
  <c r="AS384" i="7" s="1"/>
  <c r="L388" i="7"/>
  <c r="AS388" i="7" s="1"/>
  <c r="L412" i="7"/>
  <c r="AS412" i="7" s="1"/>
  <c r="L421" i="7"/>
  <c r="AS421" i="7" s="1"/>
  <c r="L408" i="7"/>
  <c r="AS408" i="7" s="1"/>
  <c r="L424" i="7"/>
  <c r="AS424" i="7" s="1"/>
  <c r="L430" i="7"/>
  <c r="AS430" i="7" s="1"/>
  <c r="L367" i="7"/>
  <c r="AS367" i="7" s="1"/>
  <c r="L434" i="7"/>
  <c r="AS434" i="7" s="1"/>
  <c r="L413" i="7"/>
  <c r="AS413" i="7" s="1"/>
  <c r="L440" i="7"/>
  <c r="AS440" i="7" s="1"/>
  <c r="L428" i="7"/>
  <c r="AS428" i="7" s="1"/>
  <c r="L411" i="7"/>
  <c r="AS411" i="7" s="1"/>
  <c r="L470" i="7"/>
  <c r="AS470" i="7" s="1"/>
  <c r="L448" i="7"/>
  <c r="AS448" i="7" s="1"/>
  <c r="L496" i="7"/>
  <c r="AS496" i="7" s="1"/>
  <c r="L446" i="7"/>
  <c r="AS446" i="7" s="1"/>
  <c r="L491" i="7"/>
  <c r="AS491" i="7" s="1"/>
  <c r="L476" i="7"/>
  <c r="AS476" i="7" s="1"/>
  <c r="L463" i="7"/>
  <c r="AS463" i="7" s="1"/>
  <c r="L464" i="7"/>
  <c r="AS464" i="7" s="1"/>
  <c r="L462" i="7"/>
  <c r="AS462" i="7" s="1"/>
  <c r="L457" i="7"/>
  <c r="AS457" i="7" s="1"/>
  <c r="L502" i="7"/>
  <c r="AS502" i="7" s="1"/>
  <c r="L520" i="7"/>
  <c r="AS520" i="7" s="1"/>
  <c r="L515" i="7"/>
  <c r="AS515" i="7" s="1"/>
  <c r="L500" i="7"/>
  <c r="AS500" i="7" s="1"/>
  <c r="L469" i="7"/>
  <c r="AS469" i="7" s="1"/>
  <c r="L487" i="7"/>
  <c r="AS487" i="7" s="1"/>
  <c r="L511" i="7"/>
  <c r="AS511" i="7" s="1"/>
  <c r="L460" i="7"/>
  <c r="AS460" i="7" s="1"/>
  <c r="L490" i="7"/>
  <c r="AS490" i="7" s="1"/>
  <c r="L513" i="7"/>
  <c r="AS513" i="7" s="1"/>
  <c r="L529" i="7"/>
  <c r="AS529" i="7" s="1"/>
  <c r="L525" i="7"/>
  <c r="AS525" i="7" s="1"/>
  <c r="L531" i="7"/>
  <c r="AS531" i="7" s="1"/>
  <c r="L542" i="7"/>
  <c r="AS542" i="7" s="1"/>
  <c r="L548" i="7"/>
  <c r="AS548" i="7" s="1"/>
  <c r="L537" i="7"/>
  <c r="AS537" i="7" s="1"/>
  <c r="L551" i="7"/>
  <c r="AS551" i="7" s="1"/>
  <c r="L547" i="7"/>
  <c r="AS547" i="7" s="1"/>
  <c r="L204" i="7"/>
  <c r="AS204" i="7" s="1"/>
  <c r="L193" i="7"/>
  <c r="AS193" i="7" s="1"/>
  <c r="L205" i="7"/>
  <c r="AS205" i="7" s="1"/>
  <c r="L198" i="7"/>
  <c r="AS198" i="7" s="1"/>
  <c r="L196" i="7"/>
  <c r="AS196" i="7" s="1"/>
  <c r="L253" i="7"/>
  <c r="AS253" i="7" s="1"/>
  <c r="L258" i="7"/>
  <c r="AS258" i="7" s="1"/>
  <c r="L233" i="7"/>
  <c r="AS233" i="7" s="1"/>
  <c r="L218" i="7"/>
  <c r="AS218" i="7" s="1"/>
  <c r="L241" i="7"/>
  <c r="AS241" i="7" s="1"/>
  <c r="L269" i="7"/>
  <c r="AS269" i="7" s="1"/>
  <c r="L257" i="7"/>
  <c r="AS257" i="7" s="1"/>
  <c r="L213" i="7"/>
  <c r="AS213" i="7" s="1"/>
  <c r="L217" i="7"/>
  <c r="AS217" i="7" s="1"/>
  <c r="L251" i="7"/>
  <c r="AS251" i="7" s="1"/>
  <c r="L211" i="7"/>
  <c r="AS211" i="7" s="1"/>
  <c r="L232" i="7"/>
  <c r="AS232" i="7" s="1"/>
  <c r="L223" i="7"/>
  <c r="AS223" i="7" s="1"/>
  <c r="L216" i="7"/>
  <c r="AS216" i="7" s="1"/>
  <c r="L264" i="7"/>
  <c r="AS264" i="7" s="1"/>
  <c r="L215" i="7"/>
  <c r="AS215" i="7" s="1"/>
  <c r="L236" i="7"/>
  <c r="AS236" i="7" s="1"/>
  <c r="L259" i="7"/>
  <c r="AS259" i="7" s="1"/>
  <c r="L343" i="7"/>
  <c r="AS343" i="7" s="1"/>
  <c r="L282" i="7"/>
  <c r="AS282" i="7" s="1"/>
  <c r="L299" i="7"/>
  <c r="AS299" i="7" s="1"/>
  <c r="L298" i="7"/>
  <c r="AS298" i="7" s="1"/>
  <c r="L341" i="7"/>
  <c r="AS341" i="7" s="1"/>
  <c r="L335" i="7"/>
  <c r="AS335" i="7" s="1"/>
  <c r="L315" i="7"/>
  <c r="AS315" i="7" s="1"/>
  <c r="L305" i="7"/>
  <c r="AS305" i="7" s="1"/>
  <c r="L346" i="7"/>
  <c r="AS346" i="7" s="1"/>
  <c r="L353" i="7"/>
  <c r="AS353" i="7" s="1"/>
  <c r="L322" i="7"/>
  <c r="AS322" i="7" s="1"/>
  <c r="L312" i="7"/>
  <c r="AS312" i="7" s="1"/>
  <c r="L288" i="7"/>
  <c r="AS288" i="7" s="1"/>
  <c r="L294" i="7"/>
  <c r="AS294" i="7" s="1"/>
  <c r="L287" i="7"/>
  <c r="AS287" i="7" s="1"/>
  <c r="L316" i="7"/>
  <c r="AS316" i="7" s="1"/>
  <c r="L342" i="7"/>
  <c r="AS342" i="7" s="1"/>
  <c r="L390" i="7"/>
  <c r="AS390" i="7" s="1"/>
  <c r="L373" i="7"/>
  <c r="AS373" i="7" s="1"/>
  <c r="L361" i="7"/>
  <c r="AS361" i="7" s="1"/>
  <c r="L394" i="7"/>
  <c r="AS394" i="7" s="1"/>
  <c r="L362" i="7"/>
  <c r="AS362" i="7" s="1"/>
  <c r="L376" i="7"/>
  <c r="AS376" i="7" s="1"/>
  <c r="L381" i="7"/>
  <c r="AS381" i="7" s="1"/>
  <c r="L382" i="7"/>
  <c r="AS382" i="7" s="1"/>
  <c r="L370" i="7"/>
  <c r="AS370" i="7" s="1"/>
  <c r="L332" i="7"/>
  <c r="AS332" i="7" s="1"/>
  <c r="L396" i="7"/>
  <c r="AS396" i="7" s="1"/>
  <c r="L354" i="7"/>
  <c r="AS354" i="7" s="1"/>
  <c r="L389" i="7"/>
  <c r="AS389" i="7" s="1"/>
  <c r="L409" i="7"/>
  <c r="AS409" i="7" s="1"/>
  <c r="L426" i="7"/>
  <c r="AS426" i="7" s="1"/>
  <c r="L416" i="7"/>
  <c r="AS416" i="7" s="1"/>
  <c r="L437" i="7"/>
  <c r="AS437" i="7" s="1"/>
  <c r="L405" i="7"/>
  <c r="AS405" i="7" s="1"/>
  <c r="L415" i="7"/>
  <c r="AS415" i="7" s="1"/>
  <c r="L401" i="7"/>
  <c r="AS401" i="7" s="1"/>
  <c r="L438" i="7"/>
  <c r="AS438" i="7" s="1"/>
  <c r="L433" i="7"/>
  <c r="AS433" i="7" s="1"/>
  <c r="L432" i="7"/>
  <c r="AS432" i="7" s="1"/>
  <c r="L406" i="7"/>
  <c r="AS406" i="7" s="1"/>
  <c r="L488" i="7"/>
  <c r="AS488" i="7" s="1"/>
  <c r="L492" i="7"/>
  <c r="AS492" i="7" s="1"/>
  <c r="L477" i="7"/>
  <c r="AS477" i="7" s="1"/>
  <c r="L483" i="7"/>
  <c r="AS483" i="7" s="1"/>
  <c r="L452" i="7"/>
  <c r="AS452" i="7" s="1"/>
  <c r="L455" i="7"/>
  <c r="AS455" i="7" s="1"/>
  <c r="L444" i="7"/>
  <c r="AS444" i="7" s="1"/>
  <c r="L485" i="7"/>
  <c r="AS485" i="7" s="1"/>
  <c r="L475" i="7"/>
  <c r="AS475" i="7" s="1"/>
  <c r="L481" i="7"/>
  <c r="AS481" i="7" s="1"/>
  <c r="L453" i="7"/>
  <c r="AS453" i="7" s="1"/>
  <c r="L516" i="7"/>
  <c r="AS516" i="7" s="1"/>
  <c r="L519" i="7"/>
  <c r="AS519" i="7" s="1"/>
  <c r="L482" i="7"/>
  <c r="AS482" i="7" s="1"/>
  <c r="L498" i="7"/>
  <c r="AS498" i="7" s="1"/>
  <c r="L517" i="7"/>
  <c r="AS517" i="7" s="1"/>
  <c r="L486" i="7"/>
  <c r="AS486" i="7" s="1"/>
  <c r="L465" i="7"/>
  <c r="AS465" i="7" s="1"/>
  <c r="L509" i="7"/>
  <c r="AS509" i="7" s="1"/>
  <c r="L505" i="7"/>
  <c r="AS505" i="7" s="1"/>
  <c r="L514" i="7"/>
  <c r="AS514" i="7" s="1"/>
  <c r="L527" i="7"/>
  <c r="AS527" i="7" s="1"/>
  <c r="L552" i="7"/>
  <c r="AS552" i="7" s="1"/>
  <c r="L540" i="7"/>
  <c r="AS540" i="7" s="1"/>
  <c r="L549" i="7"/>
  <c r="AS549" i="7" s="1"/>
  <c r="L536" i="7"/>
  <c r="AS536" i="7" s="1"/>
  <c r="L550" i="7"/>
  <c r="AS550" i="7" s="1"/>
  <c r="L553" i="7"/>
  <c r="AS553" i="7" s="1"/>
  <c r="T171" i="7"/>
  <c r="T133" i="7"/>
  <c r="T187" i="7"/>
  <c r="T150" i="7"/>
  <c r="T76" i="7"/>
  <c r="T84" i="7"/>
  <c r="T92" i="7"/>
  <c r="T118" i="7"/>
  <c r="T69" i="7"/>
  <c r="T101" i="7"/>
  <c r="T99" i="7"/>
  <c r="T127" i="7"/>
  <c r="T22" i="7"/>
  <c r="T27" i="7"/>
  <c r="T28" i="7"/>
  <c r="T36" i="7"/>
  <c r="T74" i="7"/>
  <c r="T138" i="7"/>
  <c r="T75" i="7"/>
  <c r="T83" i="7"/>
  <c r="T91" i="7"/>
  <c r="T183" i="7"/>
  <c r="T155" i="7"/>
  <c r="T174" i="7"/>
  <c r="T148" i="7"/>
  <c r="T185" i="7"/>
  <c r="T141" i="7"/>
  <c r="T165" i="7"/>
  <c r="T29" i="7"/>
  <c r="T37" i="7"/>
  <c r="T58" i="7"/>
  <c r="T106" i="7"/>
  <c r="T77" i="7"/>
  <c r="T85" i="7"/>
  <c r="T93" i="7"/>
  <c r="T43" i="7"/>
  <c r="T178" i="7"/>
  <c r="T70" i="7"/>
  <c r="T117" i="7"/>
  <c r="AJ16" i="7"/>
  <c r="T11" i="7"/>
  <c r="AJ9" i="7"/>
  <c r="AJ12" i="7"/>
  <c r="T51" i="7"/>
  <c r="T47" i="7"/>
  <c r="T39" i="7"/>
  <c r="T34" i="7"/>
  <c r="T54" i="7"/>
  <c r="T66" i="7"/>
  <c r="T82" i="7"/>
  <c r="T90" i="7"/>
  <c r="T113" i="7"/>
  <c r="T115" i="7"/>
  <c r="T72" i="7"/>
  <c r="T135" i="7"/>
  <c r="T60" i="7"/>
  <c r="T59" i="7"/>
  <c r="T73" i="7"/>
  <c r="T142" i="7"/>
  <c r="T130" i="7"/>
  <c r="T121" i="7"/>
  <c r="T190" i="7"/>
  <c r="T182" i="7"/>
  <c r="T162" i="7"/>
  <c r="T154" i="7"/>
  <c r="T42" i="7"/>
  <c r="T78" i="7"/>
  <c r="T86" i="7"/>
  <c r="T94" i="7"/>
  <c r="T161" i="7"/>
  <c r="T103" i="7"/>
  <c r="T149" i="7"/>
  <c r="T104" i="7"/>
  <c r="T126" i="7"/>
  <c r="T184" i="7"/>
  <c r="T173" i="7"/>
  <c r="AJ10" i="7"/>
  <c r="T19" i="7"/>
  <c r="T50" i="7"/>
  <c r="T57" i="7"/>
  <c r="T181" i="7"/>
  <c r="T65" i="7"/>
  <c r="T191" i="7"/>
  <c r="T177" i="7"/>
  <c r="T179" i="7"/>
  <c r="T157" i="7"/>
  <c r="T145" i="7"/>
  <c r="AJ13" i="7"/>
  <c r="T40" i="7"/>
  <c r="T55" i="7"/>
  <c r="T131" i="7"/>
  <c r="T119" i="7"/>
  <c r="T137" i="7"/>
  <c r="AR8" i="7"/>
  <c r="AB13" i="7"/>
  <c r="T64" i="7"/>
  <c r="T139" i="7"/>
  <c r="T71" i="7"/>
  <c r="T81" i="7"/>
  <c r="T89" i="7"/>
  <c r="T97" i="7"/>
  <c r="T109" i="7"/>
  <c r="T151" i="7"/>
  <c r="T129" i="7"/>
  <c r="T166" i="7"/>
  <c r="T163" i="7"/>
  <c r="T158" i="7"/>
  <c r="T156" i="7"/>
  <c r="AJ19" i="7"/>
  <c r="T120" i="7"/>
  <c r="AB11" i="7"/>
  <c r="AR14" i="7"/>
  <c r="AJ17" i="7"/>
  <c r="AJ8" i="7"/>
  <c r="T9" i="7"/>
  <c r="AB9" i="7"/>
  <c r="AR12" i="7"/>
  <c r="AJ20" i="7"/>
  <c r="AB16" i="7"/>
  <c r="T12" i="7"/>
  <c r="AJ18" i="7"/>
  <c r="AR19" i="7"/>
  <c r="AR15" i="7"/>
  <c r="AR16" i="7"/>
  <c r="AB10" i="7"/>
  <c r="T7" i="7"/>
  <c r="AB21" i="7"/>
  <c r="T18" i="7"/>
  <c r="AR18" i="7"/>
  <c r="AR21" i="7"/>
  <c r="AB12" i="7"/>
  <c r="AB18" i="7"/>
  <c r="T17" i="7"/>
  <c r="T15" i="7"/>
  <c r="AB20" i="7"/>
  <c r="AJ14" i="7"/>
  <c r="AB14" i="7"/>
  <c r="AJ15" i="7"/>
  <c r="T13" i="7"/>
  <c r="AB8" i="7"/>
  <c r="AJ21" i="7"/>
  <c r="AB17" i="7"/>
  <c r="AR11" i="7"/>
  <c r="AR10" i="7"/>
  <c r="AB7" i="7"/>
  <c r="AR20" i="7"/>
  <c r="AR22" i="7"/>
  <c r="AR7" i="7"/>
  <c r="AR41" i="7"/>
  <c r="AR17" i="7"/>
  <c r="AR42" i="7"/>
  <c r="AR38" i="7"/>
  <c r="AR130" i="7"/>
  <c r="AR109" i="7"/>
  <c r="AR180" i="7"/>
  <c r="AR72" i="7"/>
  <c r="AR43" i="7"/>
  <c r="AR37" i="7"/>
  <c r="AR34" i="7"/>
  <c r="AR29" i="7"/>
  <c r="AR55" i="7"/>
  <c r="AR64" i="7"/>
  <c r="AR57" i="7"/>
  <c r="AR70" i="7"/>
  <c r="AR68" i="7"/>
  <c r="AR166" i="7"/>
  <c r="AR121" i="7"/>
  <c r="AR195" i="7"/>
  <c r="AR178" i="7"/>
  <c r="AR138" i="7"/>
  <c r="AR185" i="7"/>
  <c r="AR171" i="7"/>
  <c r="AR172" i="7"/>
  <c r="AR132" i="7"/>
  <c r="AR128" i="7"/>
  <c r="AR187" i="7"/>
  <c r="AR103" i="7"/>
  <c r="AR181" i="7"/>
  <c r="AR157" i="7"/>
  <c r="AR102" i="7"/>
  <c r="AR80" i="7"/>
  <c r="AR159" i="7"/>
  <c r="AR56" i="7"/>
  <c r="AR94" i="7"/>
  <c r="AR83" i="7"/>
  <c r="AR135" i="7"/>
  <c r="AR62" i="7"/>
  <c r="AR471" i="7"/>
  <c r="AR483" i="7"/>
  <c r="AR493" i="7"/>
  <c r="AR488" i="7"/>
  <c r="AR477" i="7"/>
  <c r="AR456" i="7"/>
  <c r="AR454" i="7"/>
  <c r="AR469" i="7"/>
  <c r="AR485" i="7"/>
  <c r="AR464" i="7"/>
  <c r="AR511" i="7"/>
  <c r="AR480" i="7"/>
  <c r="AR516" i="7"/>
  <c r="AR510" i="7"/>
  <c r="AR531" i="7"/>
  <c r="AR523" i="7"/>
  <c r="AR532" i="7"/>
  <c r="AR546" i="7"/>
  <c r="AR544" i="7"/>
  <c r="AR530" i="7"/>
  <c r="AB34" i="7"/>
  <c r="AB48" i="7"/>
  <c r="AB47" i="7"/>
  <c r="AB79" i="7"/>
  <c r="AB87" i="7"/>
  <c r="AB95" i="7"/>
  <c r="AB24" i="7"/>
  <c r="AB68" i="7"/>
  <c r="AB106" i="7"/>
  <c r="AB194" i="7"/>
  <c r="AB113" i="7"/>
  <c r="AB151" i="7"/>
  <c r="AB99" i="7"/>
  <c r="AB159" i="7"/>
  <c r="AB150" i="7"/>
  <c r="AB142" i="7"/>
  <c r="AB164" i="7"/>
  <c r="AB101" i="7"/>
  <c r="AB274" i="7"/>
  <c r="AB160" i="7"/>
  <c r="AB258" i="7"/>
  <c r="AB257" i="7"/>
  <c r="AR74" i="7"/>
  <c r="AR65" i="7"/>
  <c r="AR107" i="7"/>
  <c r="AR186" i="7"/>
  <c r="AR156" i="7"/>
  <c r="AR105" i="7"/>
  <c r="AR118" i="7"/>
  <c r="AR134" i="7"/>
  <c r="AR196" i="7"/>
  <c r="AR177" i="7"/>
  <c r="AR168" i="7"/>
  <c r="AR149" i="7"/>
  <c r="AR191" i="7"/>
  <c r="AR98" i="7"/>
  <c r="AR143" i="7"/>
  <c r="AR119" i="7"/>
  <c r="AR474" i="7"/>
  <c r="AR463" i="7"/>
  <c r="AR482" i="7"/>
  <c r="AR460" i="7"/>
  <c r="AR514" i="7"/>
  <c r="AR524" i="7"/>
  <c r="AR527" i="7"/>
  <c r="AR542" i="7"/>
  <c r="AR545" i="7"/>
  <c r="AB51" i="7"/>
  <c r="AB43" i="7"/>
  <c r="AB50" i="7"/>
  <c r="AB109" i="7"/>
  <c r="AB58" i="7"/>
  <c r="AB102" i="7"/>
  <c r="AB62" i="7"/>
  <c r="AB111" i="7"/>
  <c r="AB82" i="7"/>
  <c r="AB90" i="7"/>
  <c r="AB114" i="7"/>
  <c r="AB158" i="7"/>
  <c r="AB183" i="7"/>
  <c r="AB107" i="7"/>
  <c r="AB118" i="7"/>
  <c r="AB126" i="7"/>
  <c r="AB138" i="7"/>
  <c r="AB163" i="7"/>
  <c r="AB187" i="7"/>
  <c r="AB195" i="7"/>
  <c r="AB181" i="7"/>
  <c r="AB172" i="7"/>
  <c r="AB249" i="7"/>
  <c r="AB245" i="7"/>
  <c r="AB270" i="7"/>
  <c r="AB269" i="7"/>
  <c r="AB276" i="7"/>
  <c r="AB280" i="7"/>
  <c r="AB268" i="7"/>
  <c r="AB291" i="7"/>
  <c r="AB322" i="7"/>
  <c r="AB341" i="7"/>
  <c r="AB236" i="7"/>
  <c r="AB348" i="7"/>
  <c r="AB336" i="7"/>
  <c r="AB314" i="7"/>
  <c r="AB285" i="7"/>
  <c r="AB316" i="7"/>
  <c r="AB381" i="7"/>
  <c r="AB373" i="7"/>
  <c r="AB380" i="7"/>
  <c r="AB366" i="7"/>
  <c r="AB378" i="7"/>
  <c r="AB384" i="7"/>
  <c r="AB431" i="7"/>
  <c r="AB438" i="7"/>
  <c r="AB408" i="7"/>
  <c r="AB492" i="7"/>
  <c r="AB486" i="7"/>
  <c r="AB448" i="7"/>
  <c r="AB480" i="7"/>
  <c r="AB511" i="7"/>
  <c r="AB513" i="7"/>
  <c r="AB507" i="7"/>
  <c r="AB523" i="7"/>
  <c r="AB530" i="7"/>
  <c r="AB527" i="7"/>
  <c r="AB535" i="7"/>
  <c r="AB547" i="7"/>
  <c r="AB537" i="7"/>
  <c r="T48" i="7"/>
  <c r="T44" i="7"/>
  <c r="T168" i="7"/>
  <c r="T140" i="7"/>
  <c r="T128" i="7"/>
  <c r="T108" i="7"/>
  <c r="T192" i="7"/>
  <c r="T146" i="7"/>
  <c r="AB141" i="7"/>
  <c r="AB263" i="7"/>
  <c r="AB218" i="7"/>
  <c r="AB144" i="7"/>
  <c r="AB243" i="7"/>
  <c r="AB310" i="7"/>
  <c r="AB256" i="7"/>
  <c r="AB299" i="7"/>
  <c r="AB292" i="7"/>
  <c r="AB220" i="7"/>
  <c r="AB306" i="7"/>
  <c r="AB319" i="7"/>
  <c r="AB320" i="7"/>
  <c r="AB327" i="7"/>
  <c r="AB339" i="7"/>
  <c r="AB347" i="7"/>
  <c r="AB369" i="7"/>
  <c r="AB360" i="7"/>
  <c r="AB383" i="7"/>
  <c r="AB382" i="7"/>
  <c r="AB290" i="7"/>
  <c r="AB372" i="7"/>
  <c r="AB367" i="7"/>
  <c r="AB429" i="7"/>
  <c r="AB432" i="7"/>
  <c r="AB423" i="7"/>
  <c r="AB403" i="7"/>
  <c r="AB411" i="7"/>
  <c r="AB396" i="7"/>
  <c r="AB402" i="7"/>
  <c r="AB444" i="7"/>
  <c r="AB452" i="7"/>
  <c r="AB496" i="7"/>
  <c r="AB482" i="7"/>
  <c r="AB470" i="7"/>
  <c r="AB451" i="7"/>
  <c r="AB484" i="7"/>
  <c r="AB467" i="7"/>
  <c r="AB479" i="7"/>
  <c r="AB516" i="7"/>
  <c r="AB517" i="7"/>
  <c r="AB510" i="7"/>
  <c r="AB525" i="7"/>
  <c r="AB546" i="7"/>
  <c r="AB542" i="7"/>
  <c r="T45" i="7"/>
  <c r="T30" i="7"/>
  <c r="T111" i="7"/>
  <c r="T175" i="7"/>
  <c r="T61" i="7"/>
  <c r="T79" i="7"/>
  <c r="T87" i="7"/>
  <c r="T95" i="7"/>
  <c r="T68" i="7"/>
  <c r="T143" i="7"/>
  <c r="T100" i="7"/>
  <c r="T124" i="7"/>
  <c r="T144" i="7"/>
  <c r="T160" i="7"/>
  <c r="T170" i="7"/>
  <c r="T49" i="7"/>
  <c r="T33" i="7"/>
  <c r="T32" i="7"/>
  <c r="T80" i="7"/>
  <c r="T88" i="7"/>
  <c r="T96" i="7"/>
  <c r="T112" i="7"/>
  <c r="T62" i="7"/>
  <c r="T153" i="7"/>
  <c r="T180" i="7"/>
  <c r="T134" i="7"/>
  <c r="T116" i="7"/>
  <c r="AR6" i="7"/>
  <c r="AR5" i="7" s="1"/>
  <c r="AR25" i="7"/>
  <c r="AR67" i="7"/>
  <c r="AR126" i="7"/>
  <c r="AR26" i="7"/>
  <c r="AR152" i="7"/>
  <c r="AR158" i="7"/>
  <c r="AR79" i="7"/>
  <c r="AR77" i="7"/>
  <c r="AR86" i="7"/>
  <c r="AR100" i="7"/>
  <c r="AR504" i="7"/>
  <c r="AR452" i="7"/>
  <c r="AR479" i="7"/>
  <c r="AR481" i="7"/>
  <c r="AR507" i="7"/>
  <c r="AR515" i="7"/>
  <c r="AR538" i="7"/>
  <c r="AB40" i="7"/>
  <c r="AB39" i="7"/>
  <c r="AB75" i="7"/>
  <c r="AB89" i="7"/>
  <c r="AB37" i="7"/>
  <c r="AB129" i="7"/>
  <c r="AB65" i="7"/>
  <c r="AB30" i="7"/>
  <c r="AB217" i="7"/>
  <c r="AB399" i="7"/>
  <c r="AR30" i="7"/>
  <c r="AR44" i="7"/>
  <c r="AR35" i="7"/>
  <c r="AR54" i="7"/>
  <c r="AR33" i="7"/>
  <c r="AR31" i="7"/>
  <c r="AR51" i="7"/>
  <c r="AR117" i="7"/>
  <c r="AR47" i="7"/>
  <c r="AR27" i="7"/>
  <c r="AR194" i="7"/>
  <c r="AR112" i="7"/>
  <c r="AR71" i="7"/>
  <c r="AR115" i="7"/>
  <c r="AR58" i="7"/>
  <c r="AR188" i="7"/>
  <c r="AR192" i="7"/>
  <c r="AR179" i="7"/>
  <c r="AR182" i="7"/>
  <c r="AR120" i="7"/>
  <c r="AR122" i="7"/>
  <c r="AR184" i="7"/>
  <c r="AR131" i="7"/>
  <c r="AR147" i="7"/>
  <c r="AR146" i="7"/>
  <c r="AR101" i="7"/>
  <c r="AR169" i="7"/>
  <c r="AR140" i="7"/>
  <c r="AR129" i="7"/>
  <c r="AR155" i="7"/>
  <c r="AR161" i="7"/>
  <c r="AR173" i="7"/>
  <c r="AR123" i="7"/>
  <c r="AR95" i="7"/>
  <c r="AR106" i="7"/>
  <c r="AR88" i="7"/>
  <c r="AR175" i="7"/>
  <c r="AR59" i="7"/>
  <c r="AR89" i="7"/>
  <c r="AR91" i="7"/>
  <c r="AR108" i="7"/>
  <c r="AR84" i="7"/>
  <c r="AR151" i="7"/>
  <c r="AR97" i="7"/>
  <c r="AR492" i="7"/>
  <c r="AR472" i="7"/>
  <c r="AR495" i="7"/>
  <c r="AR490" i="7"/>
  <c r="AR487" i="7"/>
  <c r="AR473" i="7"/>
  <c r="AR491" i="7"/>
  <c r="AR502" i="7"/>
  <c r="AR468" i="7"/>
  <c r="AR461" i="7"/>
  <c r="AR457" i="7"/>
  <c r="AR506" i="7"/>
  <c r="AR519" i="7"/>
  <c r="AR475" i="7"/>
  <c r="AR508" i="7"/>
  <c r="AR529" i="7"/>
  <c r="AR522" i="7"/>
  <c r="AR551" i="7"/>
  <c r="AR549" i="7"/>
  <c r="AR547" i="7"/>
  <c r="AR539" i="7"/>
  <c r="AB26" i="7"/>
  <c r="AB35" i="7"/>
  <c r="AB46" i="7"/>
  <c r="AB42" i="7"/>
  <c r="AB23" i="7"/>
  <c r="AB27" i="7"/>
  <c r="AB100" i="7"/>
  <c r="AB112" i="7"/>
  <c r="AB77" i="7"/>
  <c r="AB85" i="7"/>
  <c r="AB93" i="7"/>
  <c r="AB145" i="7"/>
  <c r="AB56" i="7"/>
  <c r="AB117" i="7"/>
  <c r="AB59" i="7"/>
  <c r="AB73" i="7"/>
  <c r="AB44" i="7"/>
  <c r="AB78" i="7"/>
  <c r="AB86" i="7"/>
  <c r="AB94" i="7"/>
  <c r="AB124" i="7"/>
  <c r="AB116" i="7"/>
  <c r="AB67" i="7"/>
  <c r="AB36" i="7"/>
  <c r="AB61" i="7"/>
  <c r="AB190" i="7"/>
  <c r="AB197" i="7"/>
  <c r="AB120" i="7"/>
  <c r="AB155" i="7"/>
  <c r="AB130" i="7"/>
  <c r="AB202" i="7"/>
  <c r="AB206" i="7"/>
  <c r="AB162" i="7"/>
  <c r="AB179" i="7"/>
  <c r="AB121" i="7"/>
  <c r="AB122" i="7"/>
  <c r="AB165" i="7"/>
  <c r="AB143" i="7"/>
  <c r="AB146" i="7"/>
  <c r="AB205" i="7"/>
  <c r="AB134" i="7"/>
  <c r="AB213" i="7"/>
  <c r="AB238" i="7"/>
  <c r="AB152" i="7"/>
  <c r="AB177" i="7"/>
  <c r="AB250" i="7"/>
  <c r="AB201" i="7"/>
  <c r="AB176" i="7"/>
  <c r="AB242" i="7"/>
  <c r="AB153" i="7"/>
  <c r="AB262" i="7"/>
  <c r="AB222" i="7"/>
  <c r="AB184" i="7"/>
  <c r="AB223" i="7"/>
  <c r="AB255" i="7"/>
  <c r="AB267" i="7"/>
  <c r="AB128" i="7"/>
  <c r="AB219" i="7"/>
  <c r="AB279" i="7"/>
  <c r="AB271" i="7"/>
  <c r="AB318" i="7"/>
  <c r="AB304" i="7"/>
  <c r="AB244" i="7"/>
  <c r="AB264" i="7"/>
  <c r="AB283" i="7"/>
  <c r="AB272" i="7"/>
  <c r="AB329" i="7"/>
  <c r="AB296" i="7"/>
  <c r="AB252" i="7"/>
  <c r="AB344" i="7"/>
  <c r="AB289" i="7"/>
  <c r="AB216" i="7"/>
  <c r="AB351" i="7"/>
  <c r="AB282" i="7"/>
  <c r="AB337" i="7"/>
  <c r="AB293" i="7"/>
  <c r="AB298" i="7"/>
  <c r="AB343" i="7"/>
  <c r="AB284" i="7"/>
  <c r="AB350" i="7"/>
  <c r="AB313" i="7"/>
  <c r="AB349" i="7"/>
  <c r="AB377" i="7"/>
  <c r="AB390" i="7"/>
  <c r="AB401" i="7"/>
  <c r="AB386" i="7"/>
  <c r="AB281" i="7"/>
  <c r="AB385" i="7"/>
  <c r="AB364" i="7"/>
  <c r="AB312" i="7"/>
  <c r="AB328" i="7"/>
  <c r="AB393" i="7"/>
  <c r="AB389" i="7"/>
  <c r="AB371" i="7"/>
  <c r="AB392" i="7"/>
  <c r="AB416" i="7"/>
  <c r="AB359" i="7"/>
  <c r="AB421" i="7"/>
  <c r="AB420" i="7"/>
  <c r="AB424" i="7"/>
  <c r="AB404" i="7"/>
  <c r="AB434" i="7"/>
  <c r="AB436" i="7"/>
  <c r="AB441" i="7"/>
  <c r="AB419" i="7"/>
  <c r="AB445" i="7"/>
  <c r="AB493" i="7"/>
  <c r="AB454" i="7"/>
  <c r="AB501" i="7"/>
  <c r="AB449" i="7"/>
  <c r="AB469" i="7"/>
  <c r="AB495" i="7"/>
  <c r="AB465" i="7"/>
  <c r="AB468" i="7"/>
  <c r="AB461" i="7"/>
  <c r="AB476" i="7"/>
  <c r="AB474" i="7"/>
  <c r="AB500" i="7"/>
  <c r="AB464" i="7"/>
  <c r="AB515" i="7"/>
  <c r="AB502" i="7"/>
  <c r="AB514" i="7"/>
  <c r="AB519" i="7"/>
  <c r="AB521" i="7"/>
  <c r="AB508" i="7"/>
  <c r="AB528" i="7"/>
  <c r="AB524" i="7"/>
  <c r="AB545" i="7"/>
  <c r="AB539" i="7"/>
  <c r="AB550" i="7"/>
  <c r="AB538" i="7"/>
  <c r="AB552" i="7"/>
  <c r="AB534" i="7"/>
  <c r="AJ24" i="7"/>
  <c r="AJ28" i="7"/>
  <c r="AJ42" i="7"/>
  <c r="AJ41" i="7"/>
  <c r="AJ53" i="7"/>
  <c r="AJ50" i="7"/>
  <c r="AJ57" i="7"/>
  <c r="AJ61" i="7"/>
  <c r="AJ81" i="7"/>
  <c r="AJ89" i="7"/>
  <c r="AJ51" i="7"/>
  <c r="AJ111" i="7"/>
  <c r="AJ72" i="7"/>
  <c r="AJ35" i="7"/>
  <c r="AJ127" i="7"/>
  <c r="AJ56" i="7"/>
  <c r="AJ76" i="7"/>
  <c r="AJ84" i="7"/>
  <c r="AJ92" i="7"/>
  <c r="AJ115" i="7"/>
  <c r="AJ48" i="7"/>
  <c r="AJ74" i="7"/>
  <c r="AJ207" i="7"/>
  <c r="AJ34" i="7"/>
  <c r="AJ152" i="7"/>
  <c r="AJ147" i="7"/>
  <c r="AJ181" i="7"/>
  <c r="AJ119" i="7"/>
  <c r="AJ177" i="7"/>
  <c r="AJ128" i="7"/>
  <c r="AJ193" i="7"/>
  <c r="AJ165" i="7"/>
  <c r="AJ192" i="7"/>
  <c r="AJ143" i="7"/>
  <c r="AJ172" i="7"/>
  <c r="AJ156" i="7"/>
  <c r="AJ98" i="7"/>
  <c r="AJ125" i="7"/>
  <c r="AJ146" i="7"/>
  <c r="AJ104" i="7"/>
  <c r="AJ210" i="7"/>
  <c r="AJ198" i="7"/>
  <c r="AJ238" i="7"/>
  <c r="AJ278" i="7"/>
  <c r="AJ118" i="7"/>
  <c r="AJ236" i="7"/>
  <c r="AJ260" i="7"/>
  <c r="AJ136" i="7"/>
  <c r="AJ126" i="7"/>
  <c r="AJ212" i="7"/>
  <c r="AJ150" i="7"/>
  <c r="AJ129" i="7"/>
  <c r="AJ224" i="7"/>
  <c r="AJ272" i="7"/>
  <c r="AJ294" i="7"/>
  <c r="AJ352" i="7"/>
  <c r="AJ251" i="7"/>
  <c r="AJ219" i="7"/>
  <c r="AJ340" i="7"/>
  <c r="AJ316" i="7"/>
  <c r="AJ301" i="7"/>
  <c r="AJ304" i="7"/>
  <c r="AJ249" i="7"/>
  <c r="AJ217" i="7"/>
  <c r="AJ218" i="7"/>
  <c r="AJ324" i="7"/>
  <c r="AJ271" i="7"/>
  <c r="AJ239" i="7"/>
  <c r="AJ307" i="7"/>
  <c r="AJ326" i="7"/>
  <c r="AJ288" i="7"/>
  <c r="AJ330" i="7"/>
  <c r="AJ287" i="7"/>
  <c r="AJ261" i="7"/>
  <c r="AJ229" i="7"/>
  <c r="AJ214" i="7"/>
  <c r="AJ335" i="7"/>
  <c r="AJ357" i="7"/>
  <c r="AJ382" i="7"/>
  <c r="AJ391" i="7"/>
  <c r="AJ378" i="7"/>
  <c r="AJ333" i="7"/>
  <c r="AJ363" i="7"/>
  <c r="AJ341" i="7"/>
  <c r="AJ346" i="7"/>
  <c r="AJ317" i="7"/>
  <c r="AJ338" i="7"/>
  <c r="AJ293" i="7"/>
  <c r="AJ347" i="7"/>
  <c r="AJ397" i="7"/>
  <c r="AJ379" i="7"/>
  <c r="AJ384" i="7"/>
  <c r="AJ413" i="7"/>
  <c r="AJ360" i="7"/>
  <c r="AJ432" i="7"/>
  <c r="AJ435" i="7"/>
  <c r="AJ426" i="7"/>
  <c r="AJ376" i="7"/>
  <c r="AJ368" i="7"/>
  <c r="AJ406" i="7"/>
  <c r="AJ429" i="7"/>
  <c r="AJ438" i="7"/>
  <c r="AJ433" i="7"/>
  <c r="AJ407" i="7"/>
  <c r="AJ443" i="7"/>
  <c r="AJ493" i="7"/>
  <c r="AJ465" i="7"/>
  <c r="AJ452" i="7"/>
  <c r="AJ472" i="7"/>
  <c r="AJ501" i="7"/>
  <c r="AJ475" i="7"/>
  <c r="AJ478" i="7"/>
  <c r="AJ477" i="7"/>
  <c r="AJ476" i="7"/>
  <c r="AJ489" i="7"/>
  <c r="AJ460" i="7"/>
  <c r="AJ502" i="7"/>
  <c r="AJ511" i="7"/>
  <c r="AJ505" i="7"/>
  <c r="AJ468" i="7"/>
  <c r="AJ509" i="7"/>
  <c r="AJ515" i="7"/>
  <c r="AJ479" i="7"/>
  <c r="AJ497" i="7"/>
  <c r="AJ523" i="7"/>
  <c r="AJ532" i="7"/>
  <c r="AJ512" i="7"/>
  <c r="AJ539" i="7"/>
  <c r="AJ541" i="7"/>
  <c r="AJ529" i="7"/>
  <c r="AJ535" i="7"/>
  <c r="AJ537" i="7"/>
  <c r="AJ553" i="7"/>
  <c r="AR36" i="7"/>
  <c r="AR162" i="7"/>
  <c r="AR81" i="7"/>
  <c r="AB53" i="7"/>
  <c r="AB33" i="7"/>
  <c r="AB199" i="7"/>
  <c r="AB203" i="7"/>
  <c r="AB71" i="7"/>
  <c r="AB74" i="7"/>
  <c r="AB72" i="7"/>
  <c r="AB196" i="7"/>
  <c r="AB70" i="7"/>
  <c r="AB57" i="7"/>
  <c r="AB80" i="7"/>
  <c r="AB88" i="7"/>
  <c r="AB96" i="7"/>
  <c r="AB60" i="7"/>
  <c r="AB32" i="7"/>
  <c r="AB104" i="7"/>
  <c r="AB171" i="7"/>
  <c r="AB135" i="7"/>
  <c r="AB154" i="7"/>
  <c r="AB170" i="7"/>
  <c r="AB131" i="7"/>
  <c r="AB133" i="7"/>
  <c r="AB105" i="7"/>
  <c r="AB277" i="7"/>
  <c r="AB221" i="7"/>
  <c r="AB234" i="7"/>
  <c r="AB229" i="7"/>
  <c r="AB192" i="7"/>
  <c r="AB266" i="7"/>
  <c r="AB265" i="7"/>
  <c r="AB227" i="7"/>
  <c r="AB125" i="7"/>
  <c r="AB211" i="7"/>
  <c r="AB352" i="7"/>
  <c r="AB333" i="7"/>
  <c r="AB224" i="7"/>
  <c r="AB300" i="7"/>
  <c r="AB323" i="7"/>
  <c r="AB248" i="7"/>
  <c r="AB286" i="7"/>
  <c r="AB346" i="7"/>
  <c r="AB297" i="7"/>
  <c r="AB357" i="7"/>
  <c r="AB391" i="7"/>
  <c r="AB398" i="7"/>
  <c r="AB305" i="7"/>
  <c r="AB394" i="7"/>
  <c r="AB439" i="7"/>
  <c r="AB414" i="7"/>
  <c r="AB425" i="7"/>
  <c r="AB417" i="7"/>
  <c r="AB410" i="7"/>
  <c r="AB459" i="7"/>
  <c r="AB503" i="7"/>
  <c r="AB494" i="7"/>
  <c r="AB491" i="7"/>
  <c r="AB463" i="7"/>
  <c r="AB446" i="7"/>
  <c r="AB505" i="7"/>
  <c r="AB509" i="7"/>
  <c r="AB532" i="7"/>
  <c r="AB533" i="7"/>
  <c r="AB544" i="7"/>
  <c r="AB541" i="7"/>
  <c r="AB543" i="7"/>
  <c r="AJ37" i="7"/>
  <c r="AJ26" i="7"/>
  <c r="AJ43" i="7"/>
  <c r="AJ45" i="7"/>
  <c r="AJ36" i="7"/>
  <c r="AJ73" i="7"/>
  <c r="AJ63" i="7"/>
  <c r="AJ75" i="7"/>
  <c r="AJ83" i="7"/>
  <c r="AJ91" i="7"/>
  <c r="AJ60" i="7"/>
  <c r="AJ64" i="7"/>
  <c r="AJ107" i="7"/>
  <c r="AJ33" i="7"/>
  <c r="AJ164" i="7"/>
  <c r="AJ99" i="7"/>
  <c r="AJ78" i="7"/>
  <c r="AJ86" i="7"/>
  <c r="AJ94" i="7"/>
  <c r="AJ203" i="7"/>
  <c r="AJ46" i="7"/>
  <c r="AJ135" i="7"/>
  <c r="AJ62" i="7"/>
  <c r="AJ69" i="7"/>
  <c r="AJ133" i="7"/>
  <c r="AJ176" i="7"/>
  <c r="AJ167" i="7"/>
  <c r="AJ160" i="7"/>
  <c r="AJ194" i="7"/>
  <c r="AJ184" i="7"/>
  <c r="AJ188" i="7"/>
  <c r="AJ134" i="7"/>
  <c r="AJ163" i="7"/>
  <c r="AJ154" i="7"/>
  <c r="AJ159" i="7"/>
  <c r="AJ195" i="7"/>
  <c r="AJ173" i="7"/>
  <c r="AJ151" i="7"/>
  <c r="AJ191" i="7"/>
  <c r="AJ202" i="7"/>
  <c r="AJ230" i="7"/>
  <c r="AJ226" i="7"/>
  <c r="AJ242" i="7"/>
  <c r="AJ262" i="7"/>
  <c r="AJ171" i="7"/>
  <c r="AJ244" i="7"/>
  <c r="AJ174" i="7"/>
  <c r="AJ124" i="7"/>
  <c r="AJ131" i="7"/>
  <c r="AJ208" i="7"/>
  <c r="AJ130" i="7"/>
  <c r="AJ137" i="7"/>
  <c r="AJ248" i="7"/>
  <c r="AJ264" i="7"/>
  <c r="AJ298" i="7"/>
  <c r="AJ275" i="7"/>
  <c r="AJ243" i="7"/>
  <c r="AJ211" i="7"/>
  <c r="AJ282" i="7"/>
  <c r="AJ284" i="7"/>
  <c r="AJ319" i="7"/>
  <c r="AJ273" i="7"/>
  <c r="AJ241" i="7"/>
  <c r="AJ209" i="7"/>
  <c r="AJ277" i="7"/>
  <c r="AJ285" i="7"/>
  <c r="AJ263" i="7"/>
  <c r="AJ231" i="7"/>
  <c r="AJ286" i="7"/>
  <c r="AJ328" i="7"/>
  <c r="AJ296" i="7"/>
  <c r="AJ310" i="7"/>
  <c r="AJ299" i="7"/>
  <c r="AJ253" i="7"/>
  <c r="AJ221" i="7"/>
  <c r="AJ312" i="7"/>
  <c r="AJ308" i="7"/>
  <c r="AJ331" i="7"/>
  <c r="AJ366" i="7"/>
  <c r="AJ399" i="7"/>
  <c r="AJ339" i="7"/>
  <c r="AJ365" i="7"/>
  <c r="AJ401" i="7"/>
  <c r="AJ394" i="7"/>
  <c r="AJ325" i="7"/>
  <c r="AJ361" i="7"/>
  <c r="AJ355" i="7"/>
  <c r="AJ329" i="7"/>
  <c r="AJ302" i="7"/>
  <c r="AJ388" i="7"/>
  <c r="AJ367" i="7"/>
  <c r="AJ359" i="7"/>
  <c r="AJ404" i="7"/>
  <c r="AJ389" i="7"/>
  <c r="AJ417" i="7"/>
  <c r="AJ408" i="7"/>
  <c r="AJ364" i="7"/>
  <c r="AJ412" i="7"/>
  <c r="AJ356" i="7"/>
  <c r="AJ415" i="7"/>
  <c r="AJ411" i="7"/>
  <c r="AJ431" i="7"/>
  <c r="AJ436" i="7"/>
  <c r="AJ424" i="7"/>
  <c r="AJ444" i="7"/>
  <c r="AJ494" i="7"/>
  <c r="AJ487" i="7"/>
  <c r="AJ496" i="7"/>
  <c r="AJ442" i="7"/>
  <c r="AJ504" i="7"/>
  <c r="AJ498" i="7"/>
  <c r="AJ483" i="7"/>
  <c r="AJ446" i="7"/>
  <c r="AJ459" i="7"/>
  <c r="AJ486" i="7"/>
  <c r="AJ462" i="7"/>
  <c r="AJ484" i="7"/>
  <c r="AJ470" i="7"/>
  <c r="AJ510" i="7"/>
  <c r="AJ463" i="7"/>
  <c r="AJ499" i="7"/>
  <c r="AJ520" i="7"/>
  <c r="AJ485" i="7"/>
  <c r="AJ508" i="7"/>
  <c r="AJ522" i="7"/>
  <c r="AJ527" i="7"/>
  <c r="AJ519" i="7"/>
  <c r="AJ540" i="7"/>
  <c r="AJ550" i="7"/>
  <c r="AJ534" i="7"/>
  <c r="AJ551" i="7"/>
  <c r="AJ536" i="7"/>
  <c r="AR24" i="7"/>
  <c r="AR111" i="7"/>
  <c r="AR87" i="7"/>
  <c r="AR104" i="7"/>
  <c r="AR540" i="7"/>
  <c r="AR66" i="7"/>
  <c r="AR150" i="7"/>
  <c r="AR137" i="7"/>
  <c r="AR190" i="7"/>
  <c r="AR90" i="7"/>
  <c r="AR75" i="7"/>
  <c r="AR93" i="7"/>
  <c r="AR503" i="7"/>
  <c r="AR499" i="7"/>
  <c r="AR467" i="7"/>
  <c r="AR525" i="7"/>
  <c r="AR533" i="7"/>
  <c r="AB207" i="7"/>
  <c r="AB157" i="7"/>
  <c r="AB174" i="7"/>
  <c r="AB191" i="7"/>
  <c r="AB210" i="7"/>
  <c r="AB246" i="7"/>
  <c r="AB233" i="7"/>
  <c r="AB273" i="7"/>
  <c r="AB185" i="7"/>
  <c r="AB132" i="7"/>
  <c r="AB239" i="7"/>
  <c r="AB241" i="7"/>
  <c r="AB259" i="7"/>
  <c r="AB103" i="7"/>
  <c r="AB231" i="7"/>
  <c r="AB287" i="7"/>
  <c r="AB240" i="7"/>
  <c r="AB353" i="7"/>
  <c r="AB354" i="7"/>
  <c r="AB307" i="7"/>
  <c r="AB342" i="7"/>
  <c r="AB340" i="7"/>
  <c r="AB326" i="7"/>
  <c r="AB212" i="7"/>
  <c r="AB331" i="7"/>
  <c r="AB288" i="7"/>
  <c r="AB358" i="7"/>
  <c r="AB370" i="7"/>
  <c r="AB368" i="7"/>
  <c r="AB387" i="7"/>
  <c r="AB375" i="7"/>
  <c r="AB435" i="7"/>
  <c r="AB418" i="7"/>
  <c r="AB405" i="7"/>
  <c r="AB428" i="7"/>
  <c r="AB412" i="7"/>
  <c r="AB430" i="7"/>
  <c r="AB406" i="7"/>
  <c r="AB427" i="7"/>
  <c r="AB442" i="7"/>
  <c r="AB489" i="7"/>
  <c r="AB490" i="7"/>
  <c r="AB471" i="7"/>
  <c r="AB458" i="7"/>
  <c r="AB475" i="7"/>
  <c r="AB456" i="7"/>
  <c r="AB478" i="7"/>
  <c r="AB460" i="7"/>
  <c r="AB483" i="7"/>
  <c r="AB485" i="7"/>
  <c r="AB506" i="7"/>
  <c r="AB518" i="7"/>
  <c r="AB548" i="7"/>
  <c r="AB526" i="7"/>
  <c r="AJ47" i="7"/>
  <c r="AJ30" i="7"/>
  <c r="AJ40" i="7"/>
  <c r="AJ27" i="7"/>
  <c r="AJ23" i="7"/>
  <c r="AJ38" i="7"/>
  <c r="AJ101" i="7"/>
  <c r="AJ199" i="7"/>
  <c r="AJ77" i="7"/>
  <c r="AJ85" i="7"/>
  <c r="AJ93" i="7"/>
  <c r="AJ65" i="7"/>
  <c r="AJ113" i="7"/>
  <c r="AJ105" i="7"/>
  <c r="AJ29" i="7"/>
  <c r="AJ68" i="7"/>
  <c r="AJ110" i="7"/>
  <c r="AJ80" i="7"/>
  <c r="AJ88" i="7"/>
  <c r="AJ96" i="7"/>
  <c r="AJ54" i="7"/>
  <c r="AJ59" i="7"/>
  <c r="AJ100" i="7"/>
  <c r="AJ112" i="7"/>
  <c r="AJ205" i="7"/>
  <c r="AJ168" i="7"/>
  <c r="AJ201" i="7"/>
  <c r="AJ114" i="7"/>
  <c r="AJ122" i="7"/>
  <c r="AJ170" i="7"/>
  <c r="AJ189" i="7"/>
  <c r="AJ153" i="7"/>
  <c r="AJ139" i="7"/>
  <c r="AJ145" i="7"/>
  <c r="AJ180" i="7"/>
  <c r="AJ169" i="7"/>
  <c r="AJ161" i="7"/>
  <c r="AJ178" i="7"/>
  <c r="AJ175" i="7"/>
  <c r="AJ185" i="7"/>
  <c r="AJ149" i="7"/>
  <c r="AJ246" i="7"/>
  <c r="AJ250" i="7"/>
  <c r="AJ254" i="7"/>
  <c r="AJ190" i="7"/>
  <c r="AJ155" i="7"/>
  <c r="AJ252" i="7"/>
  <c r="AJ158" i="7"/>
  <c r="AJ279" i="7"/>
  <c r="AJ140" i="7"/>
  <c r="AJ256" i="7"/>
  <c r="AJ196" i="7"/>
  <c r="AJ228" i="7"/>
  <c r="AJ216" i="7"/>
  <c r="AJ344" i="7"/>
  <c r="AJ276" i="7"/>
  <c r="AJ267" i="7"/>
  <c r="AJ235" i="7"/>
  <c r="AJ322" i="7"/>
  <c r="AJ315" i="7"/>
  <c r="AJ349" i="7"/>
  <c r="AJ314" i="7"/>
  <c r="AJ265" i="7"/>
  <c r="AJ233" i="7"/>
  <c r="AJ234" i="7"/>
  <c r="AJ354" i="7"/>
  <c r="AJ353" i="7"/>
  <c r="AJ255" i="7"/>
  <c r="AJ223" i="7"/>
  <c r="AJ305" i="7"/>
  <c r="AJ320" i="7"/>
  <c r="AJ292" i="7"/>
  <c r="AJ318" i="7"/>
  <c r="AJ291" i="7"/>
  <c r="AJ245" i="7"/>
  <c r="AJ213" i="7"/>
  <c r="AJ313" i="7"/>
  <c r="AJ281" i="7"/>
  <c r="AJ387" i="7"/>
  <c r="AJ370" i="7"/>
  <c r="AJ345" i="7"/>
  <c r="AJ300" i="7"/>
  <c r="AJ374" i="7"/>
  <c r="AJ369" i="7"/>
  <c r="AJ362" i="7"/>
  <c r="AJ343" i="7"/>
  <c r="AJ392" i="7"/>
  <c r="AJ377" i="7"/>
  <c r="AJ351" i="7"/>
  <c r="AJ303" i="7"/>
  <c r="AJ375" i="7"/>
  <c r="AJ396" i="7"/>
  <c r="AJ439" i="7"/>
  <c r="AJ430" i="7"/>
  <c r="AJ402" i="7"/>
  <c r="AJ419" i="7"/>
  <c r="AJ418" i="7"/>
  <c r="AJ422" i="7"/>
  <c r="AJ405" i="7"/>
  <c r="AJ390" i="7"/>
  <c r="AJ437" i="7"/>
  <c r="AJ403" i="7"/>
  <c r="AJ440" i="7"/>
  <c r="AJ420" i="7"/>
  <c r="AJ434" i="7"/>
  <c r="AJ441" i="7"/>
  <c r="AJ469" i="7"/>
  <c r="AJ495" i="7"/>
  <c r="AJ474" i="7"/>
  <c r="AJ448" i="7"/>
  <c r="AJ454" i="7"/>
  <c r="AJ455" i="7"/>
  <c r="AJ458" i="7"/>
  <c r="AJ466" i="7"/>
  <c r="AJ451" i="7"/>
  <c r="AJ447" i="7"/>
  <c r="AJ481" i="7"/>
  <c r="AJ467" i="7"/>
  <c r="AJ473" i="7"/>
  <c r="AJ507" i="7"/>
  <c r="AJ516" i="7"/>
  <c r="AJ506" i="7"/>
  <c r="AJ517" i="7"/>
  <c r="AJ464" i="7"/>
  <c r="AJ533" i="7"/>
  <c r="AJ528" i="7"/>
  <c r="AJ526" i="7"/>
  <c r="AJ530" i="7"/>
  <c r="AJ525" i="7"/>
  <c r="AJ549" i="7"/>
  <c r="AJ542" i="7"/>
  <c r="AJ543" i="7"/>
  <c r="AJ538" i="7"/>
  <c r="AR116" i="7"/>
  <c r="AR145" i="7"/>
  <c r="AR76" i="7"/>
  <c r="AR52" i="7"/>
  <c r="AR53" i="7"/>
  <c r="AR136" i="7"/>
  <c r="AR127" i="7"/>
  <c r="AR183" i="7"/>
  <c r="AR458" i="7"/>
  <c r="AB49" i="7"/>
  <c r="AB98" i="7"/>
  <c r="AB81" i="7"/>
  <c r="AB137" i="7"/>
  <c r="AB108" i="7"/>
  <c r="AB148" i="7"/>
  <c r="AB180" i="7"/>
  <c r="AB173" i="7"/>
  <c r="AB166" i="7"/>
  <c r="AR39" i="7"/>
  <c r="AR40" i="7"/>
  <c r="AR28" i="7"/>
  <c r="AR46" i="7"/>
  <c r="AR48" i="7"/>
  <c r="AR32" i="7"/>
  <c r="AR45" i="7"/>
  <c r="AR23" i="7"/>
  <c r="AR49" i="7"/>
  <c r="AR60" i="7"/>
  <c r="AR73" i="7"/>
  <c r="AR63" i="7"/>
  <c r="AR61" i="7"/>
  <c r="AR50" i="7"/>
  <c r="AR110" i="7"/>
  <c r="AR141" i="7"/>
  <c r="AR99" i="7"/>
  <c r="AR148" i="7"/>
  <c r="AR154" i="7"/>
  <c r="AR160" i="7"/>
  <c r="AR165" i="7"/>
  <c r="AR170" i="7"/>
  <c r="AR125" i="7"/>
  <c r="AR124" i="7"/>
  <c r="AR153" i="7"/>
  <c r="AR142" i="7"/>
  <c r="AR176" i="7"/>
  <c r="AR144" i="7"/>
  <c r="AR164" i="7"/>
  <c r="AR174" i="7"/>
  <c r="AR193" i="7"/>
  <c r="AR189" i="7"/>
  <c r="AR139" i="7"/>
  <c r="AR82" i="7"/>
  <c r="AR69" i="7"/>
  <c r="AR96" i="7"/>
  <c r="AR113" i="7"/>
  <c r="AR133" i="7"/>
  <c r="AR163" i="7"/>
  <c r="AR78" i="7"/>
  <c r="AR85" i="7"/>
  <c r="AR92" i="7"/>
  <c r="AR167" i="7"/>
  <c r="AR114" i="7"/>
  <c r="AR497" i="7"/>
  <c r="AR496" i="7"/>
  <c r="AR500" i="7"/>
  <c r="AR451" i="7"/>
  <c r="AR478" i="7"/>
  <c r="AR494" i="7"/>
  <c r="AR501" i="7"/>
  <c r="AR459" i="7"/>
  <c r="AR455" i="7"/>
  <c r="AR484" i="7"/>
  <c r="AR453" i="7"/>
  <c r="AR520" i="7"/>
  <c r="AR466" i="7"/>
  <c r="AR476" i="7"/>
  <c r="AR462" i="7"/>
  <c r="AR528" i="7"/>
  <c r="AR509" i="7"/>
  <c r="AR536" i="7"/>
  <c r="AR548" i="7"/>
  <c r="AR552" i="7"/>
  <c r="AR535" i="7"/>
  <c r="AR543" i="7"/>
  <c r="AB54" i="7"/>
  <c r="AB55" i="7"/>
  <c r="AB52" i="7"/>
  <c r="AB25" i="7"/>
  <c r="AB41" i="7"/>
  <c r="AB29" i="7"/>
  <c r="AB64" i="7"/>
  <c r="AB45" i="7"/>
  <c r="AB76" i="7"/>
  <c r="AB83" i="7"/>
  <c r="AB91" i="7"/>
  <c r="AB123" i="7"/>
  <c r="AB204" i="7"/>
  <c r="AB31" i="7"/>
  <c r="AB139" i="7"/>
  <c r="AB110" i="7"/>
  <c r="AB63" i="7"/>
  <c r="AB66" i="7"/>
  <c r="AB84" i="7"/>
  <c r="AB92" i="7"/>
  <c r="AB193" i="7"/>
  <c r="AB69" i="7"/>
  <c r="AB200" i="7"/>
  <c r="AB38" i="7"/>
  <c r="AB28" i="7"/>
  <c r="AB140" i="7"/>
  <c r="AB97" i="7"/>
  <c r="AB188" i="7"/>
  <c r="AB198" i="7"/>
  <c r="AB119" i="7"/>
  <c r="AB182" i="7"/>
  <c r="AB136" i="7"/>
  <c r="AB156" i="7"/>
  <c r="AB127" i="7"/>
  <c r="AB149" i="7"/>
  <c r="AB186" i="7"/>
  <c r="AB168" i="7"/>
  <c r="AB161" i="7"/>
  <c r="AB167" i="7"/>
  <c r="AB189" i="7"/>
  <c r="AB178" i="7"/>
  <c r="AB175" i="7"/>
  <c r="AB226" i="7"/>
  <c r="AB225" i="7"/>
  <c r="AB254" i="7"/>
  <c r="AB237" i="7"/>
  <c r="AB209" i="7"/>
  <c r="AB253" i="7"/>
  <c r="AB230" i="7"/>
  <c r="AB169" i="7"/>
  <c r="AB261" i="7"/>
  <c r="AB278" i="7"/>
  <c r="AB214" i="7"/>
  <c r="AB251" i="7"/>
  <c r="AB215" i="7"/>
  <c r="AB247" i="7"/>
  <c r="AB147" i="7"/>
  <c r="AB275" i="7"/>
  <c r="AB235" i="7"/>
  <c r="AB115" i="7"/>
  <c r="AB228" i="7"/>
  <c r="AB295" i="7"/>
  <c r="AB260" i="7"/>
  <c r="AB315" i="7"/>
  <c r="AB330" i="7"/>
  <c r="AB334" i="7"/>
  <c r="AB294" i="7"/>
  <c r="AB335" i="7"/>
  <c r="AB311" i="7"/>
  <c r="AB302" i="7"/>
  <c r="AB355" i="7"/>
  <c r="AB232" i="7"/>
  <c r="AB321" i="7"/>
  <c r="AB325" i="7"/>
  <c r="AB332" i="7"/>
  <c r="AB309" i="7"/>
  <c r="AB208" i="7"/>
  <c r="AB303" i="7"/>
  <c r="AB338" i="7"/>
  <c r="AB317" i="7"/>
  <c r="AB345" i="7"/>
  <c r="AB374" i="7"/>
  <c r="AB365" i="7"/>
  <c r="AB376" i="7"/>
  <c r="AB362" i="7"/>
  <c r="AB361" i="7"/>
  <c r="AB301" i="7"/>
  <c r="AB324" i="7"/>
  <c r="AB356" i="7"/>
  <c r="AB308" i="7"/>
  <c r="AB395" i="7"/>
  <c r="AB388" i="7"/>
  <c r="AB397" i="7"/>
  <c r="AB415" i="7"/>
  <c r="AB400" i="7"/>
  <c r="AB422" i="7"/>
  <c r="AB413" i="7"/>
  <c r="AB409" i="7"/>
  <c r="AB363" i="7"/>
  <c r="AB407" i="7"/>
  <c r="AB440" i="7"/>
  <c r="AB426" i="7"/>
  <c r="AB379" i="7"/>
  <c r="AB433" i="7"/>
  <c r="AB437" i="7"/>
  <c r="AB443" i="7"/>
  <c r="AB488" i="7"/>
  <c r="AB466" i="7"/>
  <c r="AB499" i="7"/>
  <c r="AB497" i="7"/>
  <c r="AB473" i="7"/>
  <c r="AB472" i="7"/>
  <c r="AB487" i="7"/>
  <c r="AB462" i="7"/>
  <c r="AB477" i="7"/>
  <c r="AB450" i="7"/>
  <c r="AB504" i="7"/>
  <c r="AB498" i="7"/>
  <c r="AB453" i="7"/>
  <c r="AB457" i="7"/>
  <c r="AB447" i="7"/>
  <c r="AB455" i="7"/>
  <c r="AB512" i="7"/>
  <c r="AB520" i="7"/>
  <c r="AB481" i="7"/>
  <c r="AB522" i="7"/>
  <c r="AB531" i="7"/>
  <c r="AB529" i="7"/>
  <c r="AB540" i="7"/>
  <c r="AB551" i="7"/>
  <c r="AB536" i="7"/>
  <c r="AB549" i="7"/>
  <c r="AB553" i="7"/>
  <c r="AJ25" i="7"/>
  <c r="AJ55" i="7"/>
  <c r="AJ31" i="7"/>
  <c r="AJ49" i="7"/>
  <c r="AJ44" i="7"/>
  <c r="AJ32" i="7"/>
  <c r="AJ204" i="7"/>
  <c r="AJ109" i="7"/>
  <c r="AJ79" i="7"/>
  <c r="AJ87" i="7"/>
  <c r="AJ95" i="7"/>
  <c r="AJ123" i="7"/>
  <c r="AJ67" i="7"/>
  <c r="AJ39" i="7"/>
  <c r="AJ103" i="7"/>
  <c r="AJ200" i="7"/>
  <c r="AJ66" i="7"/>
  <c r="AJ82" i="7"/>
  <c r="AJ90" i="7"/>
  <c r="AJ97" i="7"/>
  <c r="AJ52" i="7"/>
  <c r="AJ70" i="7"/>
  <c r="AJ58" i="7"/>
  <c r="AJ71" i="7"/>
  <c r="AJ108" i="7"/>
  <c r="AJ197" i="7"/>
  <c r="AJ186" i="7"/>
  <c r="AJ162" i="7"/>
  <c r="AJ183" i="7"/>
  <c r="AJ157" i="7"/>
  <c r="AJ144" i="7"/>
  <c r="AJ141" i="7"/>
  <c r="AJ179" i="7"/>
  <c r="AJ132" i="7"/>
  <c r="AJ120" i="7"/>
  <c r="AJ148" i="7"/>
  <c r="AJ116" i="7"/>
  <c r="AJ102" i="7"/>
  <c r="AJ106" i="7"/>
  <c r="AJ117" i="7"/>
  <c r="AJ206" i="7"/>
  <c r="AJ266" i="7"/>
  <c r="AJ274" i="7"/>
  <c r="AJ270" i="7"/>
  <c r="AJ138" i="7"/>
  <c r="AJ268" i="7"/>
  <c r="AJ240" i="7"/>
  <c r="AJ142" i="7"/>
  <c r="AJ182" i="7"/>
  <c r="AJ121" i="7"/>
  <c r="AJ166" i="7"/>
  <c r="AJ187" i="7"/>
  <c r="AJ220" i="7"/>
  <c r="AJ232" i="7"/>
  <c r="AJ348" i="7"/>
  <c r="AJ280" i="7"/>
  <c r="AJ259" i="7"/>
  <c r="AJ227" i="7"/>
  <c r="AJ306" i="7"/>
  <c r="AJ283" i="7"/>
  <c r="AJ323" i="7"/>
  <c r="AJ295" i="7"/>
  <c r="AJ257" i="7"/>
  <c r="AJ225" i="7"/>
  <c r="AJ222" i="7"/>
  <c r="AJ350" i="7"/>
  <c r="AJ290" i="7"/>
  <c r="AJ247" i="7"/>
  <c r="AJ215" i="7"/>
  <c r="AJ311" i="7"/>
  <c r="AJ309" i="7"/>
  <c r="AJ289" i="7"/>
  <c r="AJ334" i="7"/>
  <c r="AJ269" i="7"/>
  <c r="AJ237" i="7"/>
  <c r="AJ258" i="7"/>
  <c r="AJ332" i="7"/>
  <c r="AJ395" i="7"/>
  <c r="AJ327" i="7"/>
  <c r="AJ386" i="7"/>
  <c r="AJ398" i="7"/>
  <c r="AJ321" i="7"/>
  <c r="AJ336" i="7"/>
  <c r="AJ383" i="7"/>
  <c r="AJ358" i="7"/>
  <c r="AJ337" i="7"/>
  <c r="AJ297" i="7"/>
  <c r="AJ373" i="7"/>
  <c r="AJ342" i="7"/>
  <c r="AJ371" i="7"/>
  <c r="AJ393" i="7"/>
  <c r="AJ400" i="7"/>
  <c r="AJ425" i="7"/>
  <c r="AJ372" i="7"/>
  <c r="AJ410" i="7"/>
  <c r="AJ427" i="7"/>
  <c r="AJ409" i="7"/>
  <c r="AJ380" i="7"/>
  <c r="AJ381" i="7"/>
  <c r="AJ385" i="7"/>
  <c r="AJ421" i="7"/>
  <c r="AJ416" i="7"/>
  <c r="AJ414" i="7"/>
  <c r="AJ428" i="7"/>
  <c r="AJ423" i="7"/>
  <c r="AJ445" i="7"/>
  <c r="AJ449" i="7"/>
  <c r="AJ490" i="7"/>
  <c r="AJ500" i="7"/>
  <c r="AJ492" i="7"/>
  <c r="AJ482" i="7"/>
  <c r="AJ503" i="7"/>
  <c r="AJ491" i="7"/>
  <c r="AJ471" i="7"/>
  <c r="AJ488" i="7"/>
  <c r="AJ461" i="7"/>
  <c r="AJ453" i="7"/>
  <c r="AJ480" i="7"/>
  <c r="AJ514" i="7"/>
  <c r="AJ450" i="7"/>
  <c r="AJ521" i="7"/>
  <c r="AJ457" i="7"/>
  <c r="AJ513" i="7"/>
  <c r="AJ456" i="7"/>
  <c r="AJ524" i="7"/>
  <c r="AJ531" i="7"/>
  <c r="AJ518" i="7"/>
  <c r="AJ552" i="7"/>
  <c r="AJ548" i="7"/>
  <c r="AJ547" i="7"/>
  <c r="AJ544" i="7"/>
  <c r="AJ545" i="7"/>
  <c r="AJ546" i="7"/>
  <c r="T6" i="7"/>
  <c r="T5" i="7" s="1"/>
  <c r="AJ6" i="7"/>
  <c r="AJ5" i="7" s="1"/>
  <c r="AB6" i="7"/>
  <c r="AB5" i="7" s="1"/>
  <c r="L6" i="7"/>
  <c r="AS6" i="7" s="1"/>
  <c r="J13" i="5"/>
  <c r="G10" i="5"/>
  <c r="G16" i="5" l="1"/>
  <c r="G19" i="5" s="1"/>
  <c r="G14" i="5" s="1"/>
  <c r="G17" i="5"/>
  <c r="K13" i="5"/>
  <c r="L5" i="7"/>
  <c r="H13" i="3"/>
  <c r="G13" i="3"/>
  <c r="D13" i="3"/>
  <c r="C7" i="3"/>
  <c r="C6" i="3"/>
  <c r="F13" i="3" s="1"/>
  <c r="C5" i="3"/>
  <c r="C4" i="3"/>
  <c r="C3" i="3"/>
  <c r="J435" i="1"/>
  <c r="I435" i="1"/>
  <c r="H435" i="1"/>
  <c r="F435" i="1"/>
  <c r="J434" i="1"/>
  <c r="I434" i="1"/>
  <c r="H434" i="1"/>
  <c r="F434" i="1"/>
  <c r="J433" i="1"/>
  <c r="I433" i="1"/>
  <c r="H433" i="1"/>
  <c r="F433" i="1"/>
  <c r="J425" i="1"/>
  <c r="I425" i="1"/>
  <c r="F425" i="1"/>
  <c r="J424" i="1"/>
  <c r="I424" i="1"/>
  <c r="F424" i="1"/>
  <c r="J423" i="1"/>
  <c r="I423" i="1"/>
  <c r="F423" i="1"/>
  <c r="J422" i="1"/>
  <c r="I422" i="1"/>
  <c r="F422" i="1"/>
  <c r="J421" i="1"/>
  <c r="I421" i="1"/>
  <c r="F421" i="1"/>
  <c r="J420" i="1"/>
  <c r="I420" i="1"/>
  <c r="F420" i="1"/>
  <c r="J419" i="1"/>
  <c r="I419" i="1"/>
  <c r="F419" i="1"/>
  <c r="J418" i="1"/>
  <c r="I418" i="1"/>
  <c r="F418" i="1"/>
  <c r="J417" i="1"/>
  <c r="I417" i="1"/>
  <c r="F417" i="1"/>
  <c r="J416" i="1"/>
  <c r="I416" i="1"/>
  <c r="F416" i="1"/>
  <c r="J415" i="1"/>
  <c r="I415" i="1"/>
  <c r="F415" i="1"/>
  <c r="J414" i="1"/>
  <c r="I414" i="1"/>
  <c r="H414" i="1"/>
  <c r="F414" i="1"/>
  <c r="J413" i="1"/>
  <c r="I413" i="1"/>
  <c r="H413" i="1"/>
  <c r="F413" i="1"/>
  <c r="J411" i="1"/>
  <c r="I411" i="1"/>
  <c r="F411" i="1"/>
  <c r="J410" i="1"/>
  <c r="I410" i="1"/>
  <c r="H410" i="1"/>
  <c r="F410" i="1"/>
  <c r="J409" i="1"/>
  <c r="I409" i="1"/>
  <c r="F409" i="1"/>
  <c r="J408" i="1"/>
  <c r="I408" i="1"/>
  <c r="H408" i="1"/>
  <c r="F408" i="1"/>
  <c r="J407" i="1"/>
  <c r="I407" i="1"/>
  <c r="F407" i="1"/>
  <c r="J406" i="1"/>
  <c r="I406" i="1"/>
  <c r="H406" i="1"/>
  <c r="F406" i="1"/>
  <c r="J405" i="1"/>
  <c r="I405" i="1"/>
  <c r="F405" i="1"/>
  <c r="J404" i="1"/>
  <c r="I404" i="1"/>
  <c r="F404" i="1"/>
  <c r="J403" i="1"/>
  <c r="I403" i="1"/>
  <c r="F403" i="1"/>
  <c r="J402" i="1"/>
  <c r="I402" i="1"/>
  <c r="F402" i="1"/>
  <c r="J401" i="1"/>
  <c r="I401" i="1"/>
  <c r="H401" i="1"/>
  <c r="F401" i="1"/>
  <c r="J400" i="1"/>
  <c r="I400" i="1"/>
  <c r="F400" i="1"/>
  <c r="J399" i="1"/>
  <c r="I399" i="1"/>
  <c r="H399" i="1"/>
  <c r="F399" i="1"/>
  <c r="K401" i="1" l="1"/>
  <c r="N401" i="1" s="1"/>
  <c r="K406" i="1"/>
  <c r="N406" i="1" s="1"/>
  <c r="K408" i="1"/>
  <c r="N408" i="1" s="1"/>
  <c r="K410" i="1"/>
  <c r="N410" i="1" s="1"/>
  <c r="K433" i="1"/>
  <c r="N433" i="1" s="1"/>
  <c r="K399" i="1"/>
  <c r="N399" i="1" s="1"/>
  <c r="K413" i="1"/>
  <c r="N413" i="1" s="1"/>
  <c r="K434" i="1"/>
  <c r="N434" i="1" s="1"/>
  <c r="K414" i="1"/>
  <c r="N414" i="1" s="1"/>
  <c r="K435" i="1"/>
  <c r="N435" i="1" s="1"/>
  <c r="I13" i="3"/>
  <c r="K13" i="3" s="1"/>
  <c r="J395" i="1"/>
  <c r="I395" i="1"/>
  <c r="F395" i="1"/>
  <c r="J394" i="1"/>
  <c r="I394" i="1"/>
  <c r="F394" i="1"/>
  <c r="J393" i="1"/>
  <c r="I393" i="1"/>
  <c r="H393" i="1"/>
  <c r="F393" i="1"/>
  <c r="J391" i="1"/>
  <c r="I391" i="1"/>
  <c r="F391" i="1"/>
  <c r="J390" i="1"/>
  <c r="I390" i="1"/>
  <c r="F390" i="1"/>
  <c r="J389" i="1"/>
  <c r="I389" i="1"/>
  <c r="F389" i="1"/>
  <c r="J388" i="1"/>
  <c r="I388" i="1"/>
  <c r="F388" i="1"/>
  <c r="J387" i="1"/>
  <c r="I387" i="1"/>
  <c r="F387" i="1"/>
  <c r="J386" i="1"/>
  <c r="I386" i="1"/>
  <c r="F386" i="1"/>
  <c r="J385" i="1"/>
  <c r="I385" i="1"/>
  <c r="H385" i="1"/>
  <c r="F385" i="1"/>
  <c r="J384" i="1"/>
  <c r="I384" i="1"/>
  <c r="H384" i="1"/>
  <c r="F384" i="1"/>
  <c r="J383" i="1"/>
  <c r="I383" i="1"/>
  <c r="H383" i="1"/>
  <c r="F383" i="1"/>
  <c r="J382" i="1"/>
  <c r="I382" i="1"/>
  <c r="F382" i="1"/>
  <c r="J381" i="1"/>
  <c r="I381" i="1"/>
  <c r="F381" i="1"/>
  <c r="J380" i="1"/>
  <c r="I380" i="1"/>
  <c r="F380" i="1"/>
  <c r="J379" i="1"/>
  <c r="I379" i="1"/>
  <c r="F379" i="1"/>
  <c r="J378" i="1"/>
  <c r="I378" i="1"/>
  <c r="F378" i="1"/>
  <c r="J377" i="1"/>
  <c r="I377" i="1"/>
  <c r="H377" i="1"/>
  <c r="F377" i="1"/>
  <c r="J376" i="1"/>
  <c r="I376" i="1"/>
  <c r="F376" i="1"/>
  <c r="J375" i="1"/>
  <c r="I375" i="1"/>
  <c r="F375" i="1"/>
  <c r="J374" i="1"/>
  <c r="I374" i="1"/>
  <c r="F374" i="1"/>
  <c r="K383" i="1" l="1"/>
  <c r="N383" i="1" s="1"/>
  <c r="K377" i="1"/>
  <c r="N377" i="1" s="1"/>
  <c r="K385" i="1"/>
  <c r="N385" i="1" s="1"/>
  <c r="K384" i="1"/>
  <c r="N384" i="1" s="1"/>
  <c r="K393" i="1"/>
  <c r="N393" i="1" s="1"/>
  <c r="J373" i="1"/>
  <c r="I373" i="1"/>
  <c r="F373" i="1"/>
  <c r="J370" i="1"/>
  <c r="I370" i="1"/>
  <c r="F370" i="1"/>
  <c r="J369" i="1"/>
  <c r="I369" i="1"/>
  <c r="H369" i="1"/>
  <c r="F369" i="1"/>
  <c r="J368" i="1"/>
  <c r="I368" i="1"/>
  <c r="H368" i="1"/>
  <c r="F368" i="1"/>
  <c r="J367" i="1"/>
  <c r="I367" i="1"/>
  <c r="H367" i="1"/>
  <c r="K367" i="1" s="1"/>
  <c r="F367" i="1"/>
  <c r="J366" i="1"/>
  <c r="I366" i="1"/>
  <c r="H366" i="1"/>
  <c r="K366" i="1" s="1"/>
  <c r="F366" i="1"/>
  <c r="J365" i="1"/>
  <c r="I365" i="1"/>
  <c r="H365" i="1"/>
  <c r="F365" i="1"/>
  <c r="J364" i="1"/>
  <c r="I364" i="1"/>
  <c r="H364" i="1"/>
  <c r="K364" i="1" s="1"/>
  <c r="F364" i="1"/>
  <c r="J363" i="1"/>
  <c r="I363" i="1"/>
  <c r="H363" i="1"/>
  <c r="F363" i="1"/>
  <c r="J362" i="1"/>
  <c r="I362" i="1"/>
  <c r="H362" i="1"/>
  <c r="F362" i="1"/>
  <c r="J361" i="1"/>
  <c r="I361" i="1"/>
  <c r="H361" i="1"/>
  <c r="K361" i="1" s="1"/>
  <c r="F361" i="1"/>
  <c r="J360" i="1"/>
  <c r="I360" i="1"/>
  <c r="H360" i="1"/>
  <c r="K360" i="1" s="1"/>
  <c r="F360" i="1"/>
  <c r="J359" i="1"/>
  <c r="I359" i="1"/>
  <c r="H359" i="1"/>
  <c r="K359" i="1" s="1"/>
  <c r="F359" i="1"/>
  <c r="J358" i="1"/>
  <c r="I358" i="1"/>
  <c r="H358" i="1"/>
  <c r="F358" i="1"/>
  <c r="J357" i="1"/>
  <c r="I357" i="1"/>
  <c r="H357" i="1"/>
  <c r="K357" i="1" s="1"/>
  <c r="F357" i="1"/>
  <c r="J356" i="1"/>
  <c r="I356" i="1"/>
  <c r="H356" i="1"/>
  <c r="K356" i="1" s="1"/>
  <c r="F356" i="1"/>
  <c r="J355" i="1"/>
  <c r="I355" i="1"/>
  <c r="H355" i="1"/>
  <c r="F355" i="1"/>
  <c r="J354" i="1"/>
  <c r="I354" i="1"/>
  <c r="H354" i="1"/>
  <c r="F354" i="1"/>
  <c r="J353" i="1"/>
  <c r="I353" i="1"/>
  <c r="H353" i="1"/>
  <c r="K353" i="1" s="1"/>
  <c r="F353" i="1"/>
  <c r="J352" i="1"/>
  <c r="I352" i="1"/>
  <c r="H352" i="1"/>
  <c r="K352" i="1" s="1"/>
  <c r="F352" i="1"/>
  <c r="J351" i="1"/>
  <c r="I351" i="1"/>
  <c r="H351" i="1"/>
  <c r="F351" i="1"/>
  <c r="J350" i="1"/>
  <c r="I350" i="1"/>
  <c r="H350" i="1"/>
  <c r="F350" i="1"/>
  <c r="J349" i="1"/>
  <c r="I349" i="1"/>
  <c r="H349" i="1"/>
  <c r="K349" i="1" s="1"/>
  <c r="F349" i="1"/>
  <c r="K368" i="1" l="1"/>
  <c r="K363" i="1"/>
  <c r="N363" i="1" s="1"/>
  <c r="K355" i="1"/>
  <c r="N355" i="1" s="1"/>
  <c r="K351" i="1"/>
  <c r="N351" i="1" s="1"/>
  <c r="K350" i="1"/>
  <c r="N350" i="1" s="1"/>
  <c r="K354" i="1"/>
  <c r="N354" i="1" s="1"/>
  <c r="K358" i="1"/>
  <c r="N358" i="1" s="1"/>
  <c r="K362" i="1"/>
  <c r="N362" i="1" s="1"/>
  <c r="K365" i="1"/>
  <c r="N365" i="1" s="1"/>
  <c r="K369" i="1"/>
  <c r="N369" i="1" s="1"/>
  <c r="N349" i="1"/>
  <c r="N353" i="1"/>
  <c r="N356" i="1"/>
  <c r="N360" i="1"/>
  <c r="N357" i="1"/>
  <c r="N359" i="1"/>
  <c r="N361" i="1"/>
  <c r="N367" i="1"/>
  <c r="N364" i="1"/>
  <c r="N366" i="1"/>
  <c r="N368" i="1"/>
  <c r="N352" i="1"/>
  <c r="J348" i="1"/>
  <c r="I348" i="1"/>
  <c r="H348" i="1"/>
  <c r="F348" i="1" l="1"/>
  <c r="K348" i="1" s="1"/>
  <c r="N348" i="1" s="1"/>
  <c r="J347" i="1"/>
  <c r="I347" i="1"/>
  <c r="H347" i="1"/>
  <c r="F347" i="1"/>
  <c r="J346" i="1"/>
  <c r="I346" i="1"/>
  <c r="H346" i="1"/>
  <c r="F346" i="1"/>
  <c r="J345" i="1"/>
  <c r="I345" i="1"/>
  <c r="H345" i="1"/>
  <c r="F345" i="1"/>
  <c r="J344" i="1"/>
  <c r="I344" i="1"/>
  <c r="H344" i="1"/>
  <c r="F344" i="1"/>
  <c r="J343" i="1"/>
  <c r="I343" i="1"/>
  <c r="F343" i="1"/>
  <c r="J342" i="1"/>
  <c r="I342" i="1"/>
  <c r="H342" i="1"/>
  <c r="F342" i="1"/>
  <c r="J341" i="1"/>
  <c r="I341" i="1"/>
  <c r="F341" i="1"/>
  <c r="J340" i="1"/>
  <c r="I340" i="1"/>
  <c r="H340" i="1"/>
  <c r="F340" i="1"/>
  <c r="J339" i="1"/>
  <c r="I339" i="1"/>
  <c r="H339" i="1"/>
  <c r="F339" i="1"/>
  <c r="J338" i="1"/>
  <c r="I338" i="1"/>
  <c r="H338" i="1"/>
  <c r="F338" i="1"/>
  <c r="J337" i="1"/>
  <c r="I337" i="1"/>
  <c r="H337" i="1"/>
  <c r="F337" i="1"/>
  <c r="J336" i="1"/>
  <c r="I336" i="1"/>
  <c r="H336" i="1"/>
  <c r="F336" i="1"/>
  <c r="J335" i="1"/>
  <c r="I335" i="1"/>
  <c r="H335" i="1"/>
  <c r="F335" i="1"/>
  <c r="J334" i="1"/>
  <c r="I334" i="1"/>
  <c r="H334" i="1"/>
  <c r="F334" i="1"/>
  <c r="J333" i="1"/>
  <c r="I333" i="1"/>
  <c r="H333" i="1"/>
  <c r="F333" i="1"/>
  <c r="J332" i="1"/>
  <c r="I332" i="1"/>
  <c r="H332" i="1"/>
  <c r="F332" i="1"/>
  <c r="J331" i="1"/>
  <c r="I331" i="1"/>
  <c r="H331" i="1"/>
  <c r="K331" i="1" s="1"/>
  <c r="F331" i="1"/>
  <c r="J330" i="1"/>
  <c r="I330" i="1"/>
  <c r="H330" i="1"/>
  <c r="K330" i="1" s="1"/>
  <c r="F330" i="1"/>
  <c r="J329" i="1"/>
  <c r="I329" i="1"/>
  <c r="H329" i="1"/>
  <c r="K329" i="1" s="1"/>
  <c r="F329" i="1"/>
  <c r="J328" i="1"/>
  <c r="I328" i="1"/>
  <c r="H328" i="1"/>
  <c r="F328" i="1"/>
  <c r="J327" i="1"/>
  <c r="I327" i="1"/>
  <c r="H327" i="1"/>
  <c r="K327" i="1" s="1"/>
  <c r="F327" i="1"/>
  <c r="J326" i="1"/>
  <c r="I326" i="1"/>
  <c r="H326" i="1"/>
  <c r="K326" i="1" s="1"/>
  <c r="F326" i="1"/>
  <c r="J325" i="1"/>
  <c r="I325" i="1"/>
  <c r="H325" i="1"/>
  <c r="K325" i="1" s="1"/>
  <c r="F325" i="1"/>
  <c r="J324" i="1"/>
  <c r="I324" i="1"/>
  <c r="H324" i="1"/>
  <c r="F324" i="1"/>
  <c r="J323" i="1"/>
  <c r="I323" i="1"/>
  <c r="H323" i="1"/>
  <c r="K323" i="1" s="1"/>
  <c r="F323" i="1"/>
  <c r="J322" i="1"/>
  <c r="I322" i="1"/>
  <c r="H322" i="1"/>
  <c r="F322" i="1"/>
  <c r="J321" i="1"/>
  <c r="I321" i="1"/>
  <c r="H321" i="1"/>
  <c r="K321" i="1" s="1"/>
  <c r="F321" i="1"/>
  <c r="J320" i="1"/>
  <c r="I320" i="1"/>
  <c r="H320" i="1"/>
  <c r="F320" i="1"/>
  <c r="J319" i="1"/>
  <c r="I319" i="1"/>
  <c r="H319" i="1"/>
  <c r="K319" i="1" s="1"/>
  <c r="F319" i="1"/>
  <c r="J318" i="1"/>
  <c r="I318" i="1"/>
  <c r="H318" i="1"/>
  <c r="K318" i="1" s="1"/>
  <c r="F318" i="1"/>
  <c r="J317" i="1"/>
  <c r="I317" i="1"/>
  <c r="H317" i="1"/>
  <c r="K317" i="1" s="1"/>
  <c r="F317" i="1"/>
  <c r="J316" i="1"/>
  <c r="I316" i="1"/>
  <c r="H316" i="1"/>
  <c r="F316" i="1"/>
  <c r="J315" i="1"/>
  <c r="I315" i="1"/>
  <c r="H315" i="1"/>
  <c r="K315" i="1" s="1"/>
  <c r="F315" i="1"/>
  <c r="J314" i="1"/>
  <c r="I314" i="1"/>
  <c r="H314" i="1"/>
  <c r="F314" i="1"/>
  <c r="J313" i="1"/>
  <c r="I313" i="1"/>
  <c r="H313" i="1"/>
  <c r="F313" i="1"/>
  <c r="J312" i="1"/>
  <c r="I312" i="1"/>
  <c r="H312" i="1"/>
  <c r="K312" i="1" s="1"/>
  <c r="F312" i="1"/>
  <c r="J311" i="1"/>
  <c r="I311" i="1"/>
  <c r="H311" i="1"/>
  <c r="K311" i="1" s="1"/>
  <c r="F311" i="1"/>
  <c r="J310" i="1"/>
  <c r="I310" i="1"/>
  <c r="H310" i="1"/>
  <c r="F310" i="1"/>
  <c r="K333" i="1" l="1"/>
  <c r="N333" i="1" s="1"/>
  <c r="K334" i="1"/>
  <c r="N334" i="1" s="1"/>
  <c r="K345" i="1"/>
  <c r="N345" i="1" s="1"/>
  <c r="K346" i="1"/>
  <c r="N346" i="1" s="1"/>
  <c r="K310" i="1"/>
  <c r="N310" i="1" s="1"/>
  <c r="K344" i="1"/>
  <c r="N344" i="1" s="1"/>
  <c r="K322" i="1"/>
  <c r="N322" i="1" s="1"/>
  <c r="K335" i="1"/>
  <c r="N335" i="1" s="1"/>
  <c r="K314" i="1"/>
  <c r="N314" i="1" s="1"/>
  <c r="K313" i="1"/>
  <c r="N313" i="1" s="1"/>
  <c r="K316" i="1"/>
  <c r="N316" i="1" s="1"/>
  <c r="K320" i="1"/>
  <c r="N320" i="1" s="1"/>
  <c r="K324" i="1"/>
  <c r="N324" i="1" s="1"/>
  <c r="K328" i="1"/>
  <c r="N328" i="1" s="1"/>
  <c r="K332" i="1"/>
  <c r="N332" i="1" s="1"/>
  <c r="K336" i="1"/>
  <c r="N336" i="1" s="1"/>
  <c r="K338" i="1"/>
  <c r="N338" i="1" s="1"/>
  <c r="K347" i="1"/>
  <c r="N347" i="1" s="1"/>
  <c r="K340" i="1"/>
  <c r="N340" i="1" s="1"/>
  <c r="K337" i="1"/>
  <c r="N337" i="1" s="1"/>
  <c r="K339" i="1"/>
  <c r="N339" i="1" s="1"/>
  <c r="K342" i="1"/>
  <c r="N342" i="1" s="1"/>
  <c r="N323" i="1"/>
  <c r="N325" i="1"/>
  <c r="N327" i="1"/>
  <c r="N329" i="1"/>
  <c r="N331" i="1"/>
  <c r="N312" i="1"/>
  <c r="N318" i="1"/>
  <c r="N311" i="1"/>
  <c r="N315" i="1"/>
  <c r="N317" i="1"/>
  <c r="N319" i="1"/>
  <c r="N321" i="1"/>
  <c r="N326" i="1"/>
  <c r="N330" i="1"/>
  <c r="J309" i="1"/>
  <c r="I309" i="1"/>
  <c r="H309" i="1"/>
  <c r="F309" i="1"/>
  <c r="J308" i="1"/>
  <c r="I308" i="1"/>
  <c r="H308" i="1"/>
  <c r="F308" i="1"/>
  <c r="J307" i="1"/>
  <c r="I307" i="1"/>
  <c r="H307" i="1"/>
  <c r="F307" i="1"/>
  <c r="J306" i="1"/>
  <c r="I306" i="1"/>
  <c r="H306" i="1"/>
  <c r="F306" i="1"/>
  <c r="J305" i="1"/>
  <c r="I305" i="1"/>
  <c r="H305" i="1"/>
  <c r="F305" i="1"/>
  <c r="J304" i="1"/>
  <c r="I304" i="1"/>
  <c r="H304" i="1"/>
  <c r="F304" i="1"/>
  <c r="J303" i="1"/>
  <c r="I303" i="1"/>
  <c r="H303" i="1"/>
  <c r="F303" i="1"/>
  <c r="J302" i="1"/>
  <c r="I302" i="1"/>
  <c r="H302" i="1"/>
  <c r="F302" i="1"/>
  <c r="J301" i="1"/>
  <c r="I301" i="1"/>
  <c r="H301" i="1"/>
  <c r="F301" i="1"/>
  <c r="J300" i="1"/>
  <c r="I300" i="1"/>
  <c r="H300" i="1"/>
  <c r="F300" i="1"/>
  <c r="J299" i="1"/>
  <c r="I299" i="1"/>
  <c r="H299" i="1"/>
  <c r="F299" i="1"/>
  <c r="J298" i="1"/>
  <c r="I298" i="1"/>
  <c r="H298" i="1"/>
  <c r="F298" i="1"/>
  <c r="J297" i="1"/>
  <c r="I297" i="1"/>
  <c r="H297" i="1"/>
  <c r="F297" i="1"/>
  <c r="J296" i="1"/>
  <c r="I296" i="1"/>
  <c r="H296" i="1"/>
  <c r="F296" i="1"/>
  <c r="J295" i="1"/>
  <c r="I295" i="1"/>
  <c r="H295" i="1"/>
  <c r="F295" i="1"/>
  <c r="J294" i="1"/>
  <c r="I294" i="1"/>
  <c r="H294" i="1"/>
  <c r="F294" i="1"/>
  <c r="J293" i="1"/>
  <c r="I293" i="1"/>
  <c r="H293" i="1"/>
  <c r="F293" i="1"/>
  <c r="J292" i="1"/>
  <c r="I292" i="1"/>
  <c r="H292" i="1"/>
  <c r="F292" i="1"/>
  <c r="J291" i="1"/>
  <c r="I291" i="1"/>
  <c r="H291" i="1"/>
  <c r="F291" i="1"/>
  <c r="J290" i="1"/>
  <c r="I290" i="1"/>
  <c r="H290" i="1"/>
  <c r="F290" i="1"/>
  <c r="J289" i="1"/>
  <c r="I289" i="1"/>
  <c r="F289" i="1"/>
  <c r="K294" i="1" l="1"/>
  <c r="K299" i="1"/>
  <c r="K297" i="1"/>
  <c r="K293" i="1"/>
  <c r="N293" i="1" s="1"/>
  <c r="K295" i="1"/>
  <c r="K298" i="1"/>
  <c r="K301" i="1"/>
  <c r="N301" i="1" s="1"/>
  <c r="K307" i="1"/>
  <c r="N307" i="1" s="1"/>
  <c r="K308" i="1"/>
  <c r="N308" i="1" s="1"/>
  <c r="K309" i="1"/>
  <c r="N309" i="1" s="1"/>
  <c r="K290" i="1"/>
  <c r="N290" i="1" s="1"/>
  <c r="K302" i="1"/>
  <c r="N302" i="1" s="1"/>
  <c r="K304" i="1"/>
  <c r="N304" i="1" s="1"/>
  <c r="K305" i="1"/>
  <c r="N305" i="1" s="1"/>
  <c r="K292" i="1"/>
  <c r="N292" i="1" s="1"/>
  <c r="K296" i="1"/>
  <c r="N296" i="1" s="1"/>
  <c r="K300" i="1"/>
  <c r="N300" i="1" s="1"/>
  <c r="K306" i="1"/>
  <c r="N306" i="1" s="1"/>
  <c r="K291" i="1"/>
  <c r="N291" i="1" s="1"/>
  <c r="K303" i="1"/>
  <c r="N303" i="1" s="1"/>
  <c r="N295" i="1"/>
  <c r="N297" i="1"/>
  <c r="N299" i="1"/>
  <c r="N294" i="1"/>
  <c r="N298" i="1"/>
  <c r="J288" i="1"/>
  <c r="I288" i="1"/>
  <c r="F288" i="1"/>
  <c r="J287" i="1"/>
  <c r="I287" i="1"/>
  <c r="H287" i="1"/>
  <c r="F287" i="1"/>
  <c r="J286" i="1"/>
  <c r="I286" i="1"/>
  <c r="H286" i="1"/>
  <c r="F286" i="1"/>
  <c r="J285" i="1"/>
  <c r="I285" i="1"/>
  <c r="H285" i="1"/>
  <c r="F285" i="1"/>
  <c r="J284" i="1"/>
  <c r="I284" i="1"/>
  <c r="H284" i="1"/>
  <c r="F284" i="1"/>
  <c r="J283" i="1"/>
  <c r="I283" i="1"/>
  <c r="H283" i="1"/>
  <c r="F283" i="1"/>
  <c r="J282" i="1"/>
  <c r="I282" i="1"/>
  <c r="H282" i="1"/>
  <c r="F282" i="1"/>
  <c r="J281" i="1"/>
  <c r="I281" i="1"/>
  <c r="H281" i="1"/>
  <c r="F281" i="1"/>
  <c r="J280" i="1"/>
  <c r="I280" i="1"/>
  <c r="H280" i="1"/>
  <c r="F280" i="1"/>
  <c r="J279" i="1"/>
  <c r="I279" i="1"/>
  <c r="H279" i="1"/>
  <c r="F279" i="1"/>
  <c r="J278" i="1"/>
  <c r="I278" i="1"/>
  <c r="H278" i="1"/>
  <c r="F278" i="1"/>
  <c r="J277" i="1"/>
  <c r="I277" i="1"/>
  <c r="H277" i="1"/>
  <c r="F277" i="1"/>
  <c r="J276" i="1"/>
  <c r="I276" i="1"/>
  <c r="H276" i="1"/>
  <c r="K276" i="1" s="1"/>
  <c r="F276" i="1"/>
  <c r="J275" i="1"/>
  <c r="I275" i="1"/>
  <c r="H275" i="1"/>
  <c r="K275" i="1" s="1"/>
  <c r="F275" i="1"/>
  <c r="J274" i="1"/>
  <c r="I274" i="1"/>
  <c r="H274" i="1"/>
  <c r="F274" i="1"/>
  <c r="J273" i="1"/>
  <c r="I273" i="1"/>
  <c r="H273" i="1"/>
  <c r="K273" i="1" s="1"/>
  <c r="F273" i="1"/>
  <c r="J272" i="1"/>
  <c r="I272" i="1"/>
  <c r="H272" i="1"/>
  <c r="K272" i="1" s="1"/>
  <c r="F272" i="1"/>
  <c r="J271" i="1"/>
  <c r="I271" i="1"/>
  <c r="H271" i="1"/>
  <c r="K271" i="1" s="1"/>
  <c r="F271" i="1"/>
  <c r="J270" i="1"/>
  <c r="I270" i="1"/>
  <c r="H270" i="1"/>
  <c r="F270" i="1"/>
  <c r="J269" i="1"/>
  <c r="I269" i="1"/>
  <c r="H269" i="1"/>
  <c r="K269" i="1" s="1"/>
  <c r="F269" i="1"/>
  <c r="J268" i="1"/>
  <c r="I268" i="1"/>
  <c r="H268" i="1"/>
  <c r="K268" i="1" s="1"/>
  <c r="F268" i="1"/>
  <c r="J267" i="1"/>
  <c r="I267" i="1"/>
  <c r="H267" i="1"/>
  <c r="K267" i="1" s="1"/>
  <c r="F267" i="1"/>
  <c r="J266" i="1"/>
  <c r="I266" i="1"/>
  <c r="H266" i="1"/>
  <c r="F266" i="1"/>
  <c r="J265" i="1"/>
  <c r="I265" i="1"/>
  <c r="H265" i="1"/>
  <c r="K265" i="1" s="1"/>
  <c r="F265" i="1"/>
  <c r="J264" i="1"/>
  <c r="I264" i="1"/>
  <c r="H264" i="1"/>
  <c r="K264" i="1" s="1"/>
  <c r="F264" i="1"/>
  <c r="J263" i="1"/>
  <c r="I263" i="1"/>
  <c r="H263" i="1"/>
  <c r="K263" i="1" s="1"/>
  <c r="F263" i="1"/>
  <c r="J262" i="1"/>
  <c r="I262" i="1"/>
  <c r="H262" i="1"/>
  <c r="K262" i="1" s="1"/>
  <c r="F262" i="1"/>
  <c r="J261" i="1"/>
  <c r="I261" i="1"/>
  <c r="H261" i="1"/>
  <c r="F261" i="1"/>
  <c r="J260" i="1"/>
  <c r="I260" i="1"/>
  <c r="H260" i="1"/>
  <c r="K260" i="1" s="1"/>
  <c r="F260" i="1"/>
  <c r="J259" i="1"/>
  <c r="I259" i="1"/>
  <c r="H259" i="1"/>
  <c r="K259" i="1" s="1"/>
  <c r="F259" i="1"/>
  <c r="J258" i="1"/>
  <c r="I258" i="1"/>
  <c r="H258" i="1"/>
  <c r="K258" i="1" s="1"/>
  <c r="F258" i="1"/>
  <c r="J257" i="1"/>
  <c r="I257" i="1"/>
  <c r="H257" i="1"/>
  <c r="F257" i="1"/>
  <c r="J256" i="1"/>
  <c r="I256" i="1"/>
  <c r="H256" i="1"/>
  <c r="K256" i="1" s="1"/>
  <c r="F256" i="1"/>
  <c r="J255" i="1"/>
  <c r="I255" i="1"/>
  <c r="F255" i="1"/>
  <c r="J254" i="1"/>
  <c r="I254" i="1"/>
  <c r="H254" i="1"/>
  <c r="F254" i="1"/>
  <c r="J253" i="1"/>
  <c r="I253" i="1"/>
  <c r="H253" i="1"/>
  <c r="F253" i="1"/>
  <c r="J252" i="1"/>
  <c r="I252" i="1"/>
  <c r="H252" i="1"/>
  <c r="F252" i="1"/>
  <c r="J251" i="1"/>
  <c r="I251" i="1"/>
  <c r="H251" i="1"/>
  <c r="F251" i="1"/>
  <c r="J250" i="1"/>
  <c r="I250" i="1"/>
  <c r="H250" i="1"/>
  <c r="F250" i="1"/>
  <c r="J249" i="1"/>
  <c r="I249" i="1"/>
  <c r="F249" i="1"/>
  <c r="J248" i="1"/>
  <c r="I248" i="1"/>
  <c r="H248" i="1"/>
  <c r="F248" i="1"/>
  <c r="J247" i="1"/>
  <c r="I247" i="1"/>
  <c r="H247" i="1"/>
  <c r="F247" i="1"/>
  <c r="J246" i="1"/>
  <c r="I246" i="1"/>
  <c r="H246" i="1"/>
  <c r="F246" i="1"/>
  <c r="J245" i="1"/>
  <c r="I245" i="1"/>
  <c r="H245" i="1"/>
  <c r="F245" i="1"/>
  <c r="J244" i="1"/>
  <c r="I244" i="1"/>
  <c r="H244" i="1"/>
  <c r="F244" i="1"/>
  <c r="J243" i="1"/>
  <c r="I243" i="1"/>
  <c r="H243" i="1"/>
  <c r="F243" i="1"/>
  <c r="J242" i="1"/>
  <c r="I242" i="1"/>
  <c r="H242" i="1"/>
  <c r="F242" i="1"/>
  <c r="J241" i="1"/>
  <c r="I241" i="1"/>
  <c r="H241" i="1"/>
  <c r="F241" i="1"/>
  <c r="J240" i="1"/>
  <c r="I240" i="1"/>
  <c r="H240" i="1"/>
  <c r="F240" i="1"/>
  <c r="J239" i="1"/>
  <c r="I239" i="1"/>
  <c r="H239" i="1"/>
  <c r="F239" i="1"/>
  <c r="J238" i="1"/>
  <c r="I238" i="1"/>
  <c r="H238" i="1"/>
  <c r="F238" i="1"/>
  <c r="J237" i="1"/>
  <c r="I237" i="1"/>
  <c r="H237" i="1"/>
  <c r="F237" i="1"/>
  <c r="J236" i="1"/>
  <c r="I236" i="1"/>
  <c r="H236" i="1"/>
  <c r="F236" i="1"/>
  <c r="J235" i="1"/>
  <c r="I235" i="1"/>
  <c r="H235" i="1"/>
  <c r="F235" i="1"/>
  <c r="J234" i="1"/>
  <c r="I234" i="1"/>
  <c r="H234" i="1"/>
  <c r="F234" i="1"/>
  <c r="J233" i="1"/>
  <c r="I233" i="1"/>
  <c r="H233" i="1"/>
  <c r="F233" i="1"/>
  <c r="J232" i="1"/>
  <c r="I232" i="1"/>
  <c r="H232" i="1"/>
  <c r="F232" i="1"/>
  <c r="J231" i="1"/>
  <c r="I231" i="1"/>
  <c r="H231" i="1"/>
  <c r="F231" i="1"/>
  <c r="J230" i="1"/>
  <c r="I230" i="1"/>
  <c r="H230" i="1"/>
  <c r="F230" i="1"/>
  <c r="J229" i="1"/>
  <c r="I229" i="1"/>
  <c r="H229" i="1"/>
  <c r="F229" i="1"/>
  <c r="J228" i="1"/>
  <c r="I228" i="1"/>
  <c r="H228" i="1"/>
  <c r="F228" i="1"/>
  <c r="J227" i="1"/>
  <c r="I227" i="1"/>
  <c r="H227" i="1"/>
  <c r="F227" i="1"/>
  <c r="J226" i="1"/>
  <c r="I226" i="1"/>
  <c r="H226" i="1"/>
  <c r="F226" i="1"/>
  <c r="J225" i="1"/>
  <c r="I225" i="1"/>
  <c r="H225" i="1"/>
  <c r="F225" i="1"/>
  <c r="J224" i="1"/>
  <c r="I224" i="1"/>
  <c r="H224" i="1"/>
  <c r="F224" i="1"/>
  <c r="J223" i="1"/>
  <c r="I223" i="1"/>
  <c r="H223" i="1"/>
  <c r="F223" i="1"/>
  <c r="J222" i="1"/>
  <c r="I222" i="1"/>
  <c r="H222" i="1"/>
  <c r="F222" i="1"/>
  <c r="J221" i="1"/>
  <c r="I221" i="1"/>
  <c r="H221" i="1"/>
  <c r="F221" i="1"/>
  <c r="J220" i="1"/>
  <c r="I220" i="1"/>
  <c r="H220" i="1"/>
  <c r="F220" i="1"/>
  <c r="J219" i="1"/>
  <c r="I219" i="1"/>
  <c r="H219" i="1"/>
  <c r="K282" i="1" l="1"/>
  <c r="N282" i="1" s="1"/>
  <c r="K227" i="1"/>
  <c r="N227" i="1" s="1"/>
  <c r="K228" i="1"/>
  <c r="N228" i="1" s="1"/>
  <c r="K231" i="1"/>
  <c r="N231" i="1" s="1"/>
  <c r="K234" i="1"/>
  <c r="N234" i="1" s="1"/>
  <c r="K237" i="1"/>
  <c r="N237" i="1" s="1"/>
  <c r="K239" i="1"/>
  <c r="N239" i="1" s="1"/>
  <c r="K241" i="1"/>
  <c r="N241" i="1" s="1"/>
  <c r="K243" i="1"/>
  <c r="N243" i="1" s="1"/>
  <c r="K245" i="1"/>
  <c r="N245" i="1" s="1"/>
  <c r="K247" i="1"/>
  <c r="N247" i="1" s="1"/>
  <c r="K287" i="1"/>
  <c r="N287" i="1" s="1"/>
  <c r="K220" i="1"/>
  <c r="N220" i="1" s="1"/>
  <c r="K250" i="1"/>
  <c r="N250" i="1" s="1"/>
  <c r="K251" i="1"/>
  <c r="N251" i="1" s="1"/>
  <c r="K254" i="1"/>
  <c r="N254" i="1" s="1"/>
  <c r="K277" i="1"/>
  <c r="N277" i="1" s="1"/>
  <c r="K278" i="1"/>
  <c r="N278" i="1" s="1"/>
  <c r="K284" i="1"/>
  <c r="N284" i="1" s="1"/>
  <c r="K285" i="1"/>
  <c r="N285" i="1" s="1"/>
  <c r="K226" i="1"/>
  <c r="N226" i="1" s="1"/>
  <c r="K236" i="1"/>
  <c r="N236" i="1" s="1"/>
  <c r="K222" i="1"/>
  <c r="N222" i="1" s="1"/>
  <c r="K253" i="1"/>
  <c r="N253" i="1" s="1"/>
  <c r="K279" i="1"/>
  <c r="N279" i="1" s="1"/>
  <c r="K224" i="1"/>
  <c r="N224" i="1" s="1"/>
  <c r="K232" i="1"/>
  <c r="N232" i="1" s="1"/>
  <c r="K233" i="1"/>
  <c r="N233" i="1" s="1"/>
  <c r="K240" i="1"/>
  <c r="N240" i="1" s="1"/>
  <c r="K244" i="1"/>
  <c r="N244" i="1" s="1"/>
  <c r="K248" i="1"/>
  <c r="N248" i="1" s="1"/>
  <c r="K252" i="1"/>
  <c r="N252" i="1" s="1"/>
  <c r="K257" i="1"/>
  <c r="N257" i="1" s="1"/>
  <c r="K261" i="1"/>
  <c r="N261" i="1" s="1"/>
  <c r="K266" i="1"/>
  <c r="N266" i="1" s="1"/>
  <c r="K270" i="1"/>
  <c r="N270" i="1" s="1"/>
  <c r="K274" i="1"/>
  <c r="N274" i="1" s="1"/>
  <c r="K281" i="1"/>
  <c r="N281" i="1" s="1"/>
  <c r="K221" i="1"/>
  <c r="N221" i="1" s="1"/>
  <c r="K223" i="1"/>
  <c r="N223" i="1" s="1"/>
  <c r="K225" i="1"/>
  <c r="N225" i="1" s="1"/>
  <c r="K229" i="1"/>
  <c r="N229" i="1" s="1"/>
  <c r="K230" i="1"/>
  <c r="N230" i="1" s="1"/>
  <c r="K235" i="1"/>
  <c r="N235" i="1" s="1"/>
  <c r="K238" i="1"/>
  <c r="N238" i="1" s="1"/>
  <c r="K242" i="1"/>
  <c r="N242" i="1" s="1"/>
  <c r="K246" i="1"/>
  <c r="N246" i="1" s="1"/>
  <c r="K280" i="1"/>
  <c r="N280" i="1" s="1"/>
  <c r="K283" i="1"/>
  <c r="N283" i="1" s="1"/>
  <c r="K286" i="1"/>
  <c r="N286" i="1" s="1"/>
  <c r="N258" i="1"/>
  <c r="N262" i="1"/>
  <c r="N256" i="1"/>
  <c r="N259" i="1"/>
  <c r="N263" i="1"/>
  <c r="N265" i="1"/>
  <c r="N267" i="1"/>
  <c r="N269" i="1"/>
  <c r="N271" i="1"/>
  <c r="N273" i="1"/>
  <c r="N275" i="1"/>
  <c r="N260" i="1"/>
  <c r="N264" i="1"/>
  <c r="N268" i="1"/>
  <c r="N272" i="1"/>
  <c r="N276" i="1"/>
  <c r="F219" i="1"/>
  <c r="K219" i="1" s="1"/>
  <c r="N219" i="1" s="1"/>
  <c r="J218" i="1"/>
  <c r="I218" i="1"/>
  <c r="F218" i="1"/>
  <c r="J192" i="1"/>
  <c r="I192" i="1"/>
  <c r="H192" i="1"/>
  <c r="F192" i="1"/>
  <c r="J216" i="1"/>
  <c r="I216" i="1"/>
  <c r="F216" i="1"/>
  <c r="J211" i="1"/>
  <c r="I211" i="1"/>
  <c r="H211" i="1"/>
  <c r="F211" i="1"/>
  <c r="J215" i="1"/>
  <c r="I215" i="1"/>
  <c r="F215" i="1"/>
  <c r="J213" i="1"/>
  <c r="I213" i="1"/>
  <c r="F213" i="1"/>
  <c r="J200" i="1"/>
  <c r="I200" i="1"/>
  <c r="H200" i="1"/>
  <c r="F200" i="1"/>
  <c r="J210" i="1"/>
  <c r="I210" i="1"/>
  <c r="H210" i="1"/>
  <c r="F210" i="1"/>
  <c r="J194" i="1"/>
  <c r="I194" i="1"/>
  <c r="F194" i="1"/>
  <c r="J201" i="1"/>
  <c r="I201" i="1"/>
  <c r="F201" i="1"/>
  <c r="J196" i="1"/>
  <c r="I196" i="1"/>
  <c r="F196" i="1"/>
  <c r="J207" i="1"/>
  <c r="I207" i="1"/>
  <c r="H207" i="1"/>
  <c r="F207" i="1"/>
  <c r="J202" i="1"/>
  <c r="I202" i="1"/>
  <c r="H202" i="1"/>
  <c r="F202" i="1"/>
  <c r="J204" i="1"/>
  <c r="I204" i="1"/>
  <c r="F204" i="1"/>
  <c r="J203" i="1"/>
  <c r="I203" i="1"/>
  <c r="H203" i="1"/>
  <c r="F203" i="1"/>
  <c r="J208" i="1"/>
  <c r="I208" i="1"/>
  <c r="H208" i="1"/>
  <c r="F208" i="1"/>
  <c r="J206" i="1"/>
  <c r="I206" i="1"/>
  <c r="H206" i="1"/>
  <c r="F206" i="1"/>
  <c r="K207" i="1" l="1"/>
  <c r="N207" i="1" s="1"/>
  <c r="K211" i="1"/>
  <c r="N211" i="1" s="1"/>
  <c r="K202" i="1"/>
  <c r="N202" i="1" s="1"/>
  <c r="K208" i="1"/>
  <c r="N208" i="1" s="1"/>
  <c r="K210" i="1"/>
  <c r="N210" i="1" s="1"/>
  <c r="K192" i="1"/>
  <c r="N192" i="1" s="1"/>
  <c r="K206" i="1"/>
  <c r="N206" i="1" s="1"/>
  <c r="K203" i="1"/>
  <c r="N203" i="1" s="1"/>
  <c r="K200" i="1"/>
  <c r="N200" i="1" s="1"/>
  <c r="J205" i="1"/>
  <c r="I205" i="1"/>
  <c r="H205" i="1"/>
  <c r="F205" i="1"/>
  <c r="J195" i="1"/>
  <c r="I195" i="1"/>
  <c r="H195" i="1"/>
  <c r="F195" i="1"/>
  <c r="J198" i="1"/>
  <c r="I198" i="1"/>
  <c r="F198" i="1"/>
  <c r="J193" i="1"/>
  <c r="I193" i="1"/>
  <c r="F193" i="1"/>
  <c r="J199" i="1"/>
  <c r="I199" i="1"/>
  <c r="H199" i="1"/>
  <c r="F199" i="1"/>
  <c r="K199" i="1" l="1"/>
  <c r="N199" i="1" s="1"/>
  <c r="K195" i="1"/>
  <c r="N195" i="1" s="1"/>
  <c r="K205" i="1"/>
  <c r="N205" i="1" s="1"/>
  <c r="J191" i="1"/>
  <c r="I191" i="1"/>
  <c r="F191" i="1"/>
  <c r="J190" i="1"/>
  <c r="I190" i="1"/>
  <c r="F190" i="1"/>
  <c r="J189" i="1"/>
  <c r="I189" i="1"/>
  <c r="F189" i="1"/>
  <c r="J188" i="1"/>
  <c r="I188" i="1"/>
  <c r="F188" i="1"/>
  <c r="J187" i="1" l="1"/>
  <c r="I187" i="1"/>
  <c r="F187" i="1" l="1"/>
  <c r="J186" i="1" l="1"/>
  <c r="I186" i="1"/>
  <c r="F186" i="1"/>
  <c r="J185" i="1"/>
  <c r="I185" i="1"/>
  <c r="F185" i="1"/>
  <c r="J184" i="1"/>
  <c r="I184" i="1"/>
  <c r="F184" i="1"/>
  <c r="J183" i="1" l="1"/>
  <c r="I183" i="1"/>
  <c r="H183" i="1"/>
  <c r="F183" i="1"/>
  <c r="J182" i="1"/>
  <c r="I182" i="1"/>
  <c r="H182" i="1"/>
  <c r="F182" i="1"/>
  <c r="J181" i="1"/>
  <c r="I181" i="1"/>
  <c r="H181" i="1"/>
  <c r="F181" i="1"/>
  <c r="J180" i="1"/>
  <c r="I180" i="1"/>
  <c r="K181" i="1" l="1"/>
  <c r="N181" i="1" s="1"/>
  <c r="K182" i="1"/>
  <c r="N182" i="1" s="1"/>
  <c r="K183" i="1"/>
  <c r="N183" i="1" s="1"/>
  <c r="F180" i="1"/>
  <c r="J179" i="1"/>
  <c r="I179" i="1"/>
  <c r="F179" i="1"/>
  <c r="J178" i="1"/>
  <c r="I178" i="1"/>
  <c r="F178" i="1"/>
  <c r="J177" i="1"/>
  <c r="I177" i="1"/>
  <c r="H177" i="1"/>
  <c r="F177" i="1"/>
  <c r="J176" i="1"/>
  <c r="I176" i="1"/>
  <c r="H176" i="1"/>
  <c r="F176" i="1"/>
  <c r="J175" i="1"/>
  <c r="I175" i="1"/>
  <c r="H175" i="1"/>
  <c r="F175" i="1"/>
  <c r="J174" i="1"/>
  <c r="I174" i="1"/>
  <c r="H174" i="1"/>
  <c r="K176" i="1" l="1"/>
  <c r="N176" i="1" s="1"/>
  <c r="K175" i="1"/>
  <c r="N175" i="1" s="1"/>
  <c r="K177" i="1"/>
  <c r="N177" i="1" s="1"/>
  <c r="F174" i="1"/>
  <c r="K174" i="1" s="1"/>
  <c r="N174" i="1" s="1"/>
  <c r="J173" i="1"/>
  <c r="I173" i="1"/>
  <c r="F173" i="1"/>
  <c r="J172" i="1"/>
  <c r="I172" i="1"/>
  <c r="H172" i="1"/>
  <c r="F172" i="1"/>
  <c r="J171" i="1"/>
  <c r="I171" i="1"/>
  <c r="H171" i="1"/>
  <c r="F171" i="1"/>
  <c r="J170" i="1"/>
  <c r="I170" i="1"/>
  <c r="F170" i="1"/>
  <c r="J169" i="1"/>
  <c r="I169" i="1"/>
  <c r="F169" i="1"/>
  <c r="K171" i="1" l="1"/>
  <c r="N171" i="1" s="1"/>
  <c r="K172" i="1"/>
  <c r="N172" i="1" s="1"/>
  <c r="J168" i="1"/>
  <c r="I168" i="1"/>
  <c r="F168" i="1" l="1"/>
  <c r="J167" i="1"/>
  <c r="I167" i="1"/>
  <c r="H167" i="1"/>
  <c r="F167" i="1"/>
  <c r="J166" i="1"/>
  <c r="I166" i="1"/>
  <c r="H166" i="1"/>
  <c r="F166" i="1"/>
  <c r="J165" i="1"/>
  <c r="I165" i="1"/>
  <c r="H165" i="1"/>
  <c r="F165" i="1"/>
  <c r="J164" i="1"/>
  <c r="I164" i="1"/>
  <c r="F164" i="1"/>
  <c r="J163" i="1"/>
  <c r="I163" i="1"/>
  <c r="H163" i="1"/>
  <c r="F163" i="1"/>
  <c r="J162" i="1"/>
  <c r="I162" i="1"/>
  <c r="H162" i="1"/>
  <c r="F162" i="1"/>
  <c r="J161" i="1"/>
  <c r="I161" i="1"/>
  <c r="H161" i="1"/>
  <c r="F161" i="1"/>
  <c r="J159" i="1"/>
  <c r="I159" i="1"/>
  <c r="H159" i="1"/>
  <c r="F159" i="1"/>
  <c r="J158" i="1"/>
  <c r="I158" i="1"/>
  <c r="H158" i="1"/>
  <c r="F158" i="1"/>
  <c r="J156" i="1"/>
  <c r="I156" i="1"/>
  <c r="H156" i="1"/>
  <c r="F156" i="1"/>
  <c r="J155" i="1"/>
  <c r="I155" i="1"/>
  <c r="F155" i="1"/>
  <c r="J154" i="1"/>
  <c r="I154" i="1"/>
  <c r="H154" i="1"/>
  <c r="F154" i="1"/>
  <c r="J153" i="1"/>
  <c r="I153" i="1"/>
  <c r="H153" i="1"/>
  <c r="F153" i="1"/>
  <c r="J152" i="1"/>
  <c r="I152" i="1"/>
  <c r="H152" i="1"/>
  <c r="F152" i="1"/>
  <c r="J151" i="1"/>
  <c r="I151" i="1"/>
  <c r="F151" i="1"/>
  <c r="J148" i="1"/>
  <c r="I148" i="1"/>
  <c r="H148" i="1"/>
  <c r="F148" i="1"/>
  <c r="J147" i="1"/>
  <c r="I147" i="1"/>
  <c r="H147" i="1"/>
  <c r="F147" i="1"/>
  <c r="J146" i="1"/>
  <c r="I146" i="1"/>
  <c r="H146" i="1"/>
  <c r="F146" i="1"/>
  <c r="J145" i="1"/>
  <c r="I145" i="1"/>
  <c r="H145" i="1"/>
  <c r="F145" i="1"/>
  <c r="J144" i="1"/>
  <c r="I144" i="1"/>
  <c r="H144" i="1"/>
  <c r="F144" i="1"/>
  <c r="J143" i="1"/>
  <c r="I143" i="1"/>
  <c r="H143" i="1"/>
  <c r="F143" i="1"/>
  <c r="J142" i="1"/>
  <c r="I142" i="1"/>
  <c r="H142" i="1"/>
  <c r="F142" i="1"/>
  <c r="J141" i="1"/>
  <c r="I141" i="1"/>
  <c r="F141" i="1"/>
  <c r="J140" i="1"/>
  <c r="I140" i="1"/>
  <c r="F140" i="1"/>
  <c r="J139" i="1"/>
  <c r="I139" i="1"/>
  <c r="F139" i="1"/>
  <c r="J138" i="1"/>
  <c r="I138" i="1"/>
  <c r="F138" i="1"/>
  <c r="J137" i="1"/>
  <c r="I137" i="1"/>
  <c r="H137" i="1"/>
  <c r="F137" i="1"/>
  <c r="J136" i="1"/>
  <c r="I136" i="1"/>
  <c r="H136" i="1"/>
  <c r="F136" i="1"/>
  <c r="J135" i="1"/>
  <c r="I135" i="1"/>
  <c r="H135" i="1"/>
  <c r="F135" i="1"/>
  <c r="J134" i="1"/>
  <c r="I134" i="1"/>
  <c r="H134" i="1"/>
  <c r="F134" i="1"/>
  <c r="J133" i="1"/>
  <c r="I133" i="1"/>
  <c r="H133" i="1"/>
  <c r="F133" i="1"/>
  <c r="J132" i="1"/>
  <c r="I132" i="1"/>
  <c r="F132" i="1"/>
  <c r="J131" i="1"/>
  <c r="I131" i="1"/>
  <c r="H131" i="1"/>
  <c r="F131" i="1"/>
  <c r="J130" i="1"/>
  <c r="I130" i="1"/>
  <c r="F130" i="1"/>
  <c r="K163" i="1" l="1"/>
  <c r="K152" i="1"/>
  <c r="N152" i="1" s="1"/>
  <c r="K154" i="1"/>
  <c r="K158" i="1"/>
  <c r="N158" i="1" s="1"/>
  <c r="K161" i="1"/>
  <c r="N161" i="1" s="1"/>
  <c r="K131" i="1"/>
  <c r="N131" i="1" s="1"/>
  <c r="K136" i="1"/>
  <c r="N136" i="1" s="1"/>
  <c r="K165" i="1"/>
  <c r="N165" i="1" s="1"/>
  <c r="K134" i="1"/>
  <c r="N134" i="1" s="1"/>
  <c r="K133" i="1"/>
  <c r="N133" i="1" s="1"/>
  <c r="K137" i="1"/>
  <c r="N137" i="1" s="1"/>
  <c r="K143" i="1"/>
  <c r="N143" i="1" s="1"/>
  <c r="K145" i="1"/>
  <c r="N145" i="1" s="1"/>
  <c r="K147" i="1"/>
  <c r="N147" i="1" s="1"/>
  <c r="K148" i="1"/>
  <c r="N148" i="1" s="1"/>
  <c r="K156" i="1"/>
  <c r="N156" i="1" s="1"/>
  <c r="K162" i="1"/>
  <c r="N162" i="1" s="1"/>
  <c r="K166" i="1"/>
  <c r="N166" i="1" s="1"/>
  <c r="K135" i="1"/>
  <c r="N135" i="1" s="1"/>
  <c r="K142" i="1"/>
  <c r="N142" i="1" s="1"/>
  <c r="K144" i="1"/>
  <c r="N144" i="1" s="1"/>
  <c r="K146" i="1"/>
  <c r="N146" i="1" s="1"/>
  <c r="K153" i="1"/>
  <c r="N153" i="1" s="1"/>
  <c r="K159" i="1"/>
  <c r="N159" i="1" s="1"/>
  <c r="N163" i="1"/>
  <c r="K167" i="1"/>
  <c r="N167" i="1" s="1"/>
  <c r="N154" i="1"/>
  <c r="J129" i="1"/>
  <c r="I129" i="1"/>
  <c r="F129" i="1" l="1"/>
  <c r="J127" i="1"/>
  <c r="I127" i="1"/>
  <c r="F127" i="1"/>
  <c r="J125" i="1"/>
  <c r="I125" i="1"/>
  <c r="F125" i="1"/>
  <c r="J123" i="1"/>
  <c r="I123" i="1"/>
  <c r="F123" i="1"/>
  <c r="J120" i="1"/>
  <c r="I120" i="1"/>
  <c r="H120" i="1"/>
  <c r="F120" i="1"/>
  <c r="J119" i="1"/>
  <c r="I119" i="1"/>
  <c r="F119" i="1"/>
  <c r="J118" i="1"/>
  <c r="I118" i="1"/>
  <c r="H118" i="1"/>
  <c r="F118" i="1"/>
  <c r="J117" i="1"/>
  <c r="I117" i="1"/>
  <c r="H117" i="1"/>
  <c r="F117" i="1"/>
  <c r="J116" i="1"/>
  <c r="I116" i="1"/>
  <c r="F116" i="1"/>
  <c r="J115" i="1"/>
  <c r="I115" i="1"/>
  <c r="K117" i="1" l="1"/>
  <c r="N117" i="1" s="1"/>
  <c r="K120" i="1"/>
  <c r="N120" i="1" s="1"/>
  <c r="K118" i="1"/>
  <c r="N118" i="1" s="1"/>
  <c r="F115" i="1"/>
  <c r="J114" i="1"/>
  <c r="I114" i="1"/>
  <c r="F114" i="1"/>
  <c r="J105" i="1"/>
  <c r="I105" i="1"/>
  <c r="H105" i="1"/>
  <c r="F105" i="1"/>
  <c r="J104" i="1"/>
  <c r="I104" i="1"/>
  <c r="H104" i="1"/>
  <c r="F104" i="1"/>
  <c r="J103" i="1"/>
  <c r="I103" i="1"/>
  <c r="H103" i="1"/>
  <c r="F103" i="1"/>
  <c r="J102" i="1"/>
  <c r="I102" i="1"/>
  <c r="H102" i="1"/>
  <c r="F102" i="1"/>
  <c r="J101" i="1"/>
  <c r="I101" i="1"/>
  <c r="H101" i="1"/>
  <c r="F101" i="1"/>
  <c r="J100" i="1"/>
  <c r="I100" i="1"/>
  <c r="H100" i="1"/>
  <c r="F100" i="1"/>
  <c r="J99" i="1"/>
  <c r="I99" i="1"/>
  <c r="F99" i="1"/>
  <c r="J98" i="1"/>
  <c r="I98" i="1"/>
  <c r="H98" i="1"/>
  <c r="F98" i="1"/>
  <c r="J97" i="1"/>
  <c r="I97" i="1"/>
  <c r="F97" i="1"/>
  <c r="J96" i="1"/>
  <c r="I96" i="1"/>
  <c r="H96" i="1"/>
  <c r="F96" i="1"/>
  <c r="J95" i="1"/>
  <c r="I95" i="1"/>
  <c r="H95" i="1"/>
  <c r="F95" i="1"/>
  <c r="J94" i="1"/>
  <c r="I94" i="1"/>
  <c r="F94" i="1"/>
  <c r="J93" i="1"/>
  <c r="I93" i="1"/>
  <c r="H93" i="1"/>
  <c r="F93" i="1"/>
  <c r="J92" i="1"/>
  <c r="I92" i="1"/>
  <c r="F92" i="1"/>
  <c r="J91" i="1"/>
  <c r="I91" i="1"/>
  <c r="H91" i="1"/>
  <c r="F91" i="1"/>
  <c r="J90" i="1"/>
  <c r="I90" i="1"/>
  <c r="H90" i="1"/>
  <c r="F90" i="1"/>
  <c r="J89" i="1"/>
  <c r="I89" i="1"/>
  <c r="H89" i="1"/>
  <c r="F89" i="1"/>
  <c r="J88" i="1"/>
  <c r="I88" i="1"/>
  <c r="H88" i="1"/>
  <c r="F88" i="1"/>
  <c r="J87" i="1"/>
  <c r="I87" i="1"/>
  <c r="H87" i="1"/>
  <c r="F87" i="1"/>
  <c r="J86" i="1"/>
  <c r="I86" i="1"/>
  <c r="H86" i="1"/>
  <c r="F86" i="1"/>
  <c r="J85" i="1"/>
  <c r="I85" i="1"/>
  <c r="H85" i="1"/>
  <c r="F85" i="1"/>
  <c r="J84" i="1"/>
  <c r="I84" i="1"/>
  <c r="H84" i="1"/>
  <c r="F84" i="1"/>
  <c r="J83" i="1"/>
  <c r="I83" i="1"/>
  <c r="H83" i="1"/>
  <c r="F83" i="1"/>
  <c r="J82" i="1"/>
  <c r="I82" i="1"/>
  <c r="H82" i="1"/>
  <c r="F82" i="1"/>
  <c r="J81" i="1"/>
  <c r="I81" i="1"/>
  <c r="H81" i="1"/>
  <c r="F81" i="1"/>
  <c r="J80" i="1"/>
  <c r="I80" i="1"/>
  <c r="H80" i="1"/>
  <c r="F80" i="1"/>
  <c r="J79" i="1"/>
  <c r="I79" i="1"/>
  <c r="F79" i="1"/>
  <c r="J78" i="1"/>
  <c r="I78" i="1"/>
  <c r="H78" i="1"/>
  <c r="F78" i="1"/>
  <c r="J77" i="1"/>
  <c r="I77" i="1"/>
  <c r="H77" i="1"/>
  <c r="F77" i="1"/>
  <c r="J76" i="1"/>
  <c r="I76" i="1"/>
  <c r="H76" i="1"/>
  <c r="F76" i="1"/>
  <c r="J75" i="1"/>
  <c r="I75" i="1"/>
  <c r="H75" i="1"/>
  <c r="F75" i="1"/>
  <c r="J74" i="1"/>
  <c r="I74" i="1"/>
  <c r="H74" i="1"/>
  <c r="F74" i="1"/>
  <c r="J73" i="1"/>
  <c r="I73" i="1"/>
  <c r="F73" i="1"/>
  <c r="J72" i="1"/>
  <c r="I72" i="1"/>
  <c r="H72" i="1"/>
  <c r="F72" i="1"/>
  <c r="J71" i="1"/>
  <c r="I71" i="1"/>
  <c r="H71" i="1"/>
  <c r="F71" i="1"/>
  <c r="K72" i="1" l="1"/>
  <c r="N72" i="1" s="1"/>
  <c r="K71" i="1"/>
  <c r="N71" i="1" s="1"/>
  <c r="K96" i="1"/>
  <c r="N96" i="1" s="1"/>
  <c r="K100" i="1"/>
  <c r="N100" i="1" s="1"/>
  <c r="K81" i="1"/>
  <c r="N81" i="1" s="1"/>
  <c r="K89" i="1"/>
  <c r="N89" i="1" s="1"/>
  <c r="K98" i="1"/>
  <c r="N98" i="1" s="1"/>
  <c r="K83" i="1"/>
  <c r="N83" i="1" s="1"/>
  <c r="K93" i="1"/>
  <c r="N93" i="1" s="1"/>
  <c r="K76" i="1"/>
  <c r="N76" i="1" s="1"/>
  <c r="K78" i="1"/>
  <c r="N78" i="1" s="1"/>
  <c r="K80" i="1"/>
  <c r="N80" i="1" s="1"/>
  <c r="K101" i="1"/>
  <c r="N101" i="1" s="1"/>
  <c r="K103" i="1"/>
  <c r="N103" i="1" s="1"/>
  <c r="K105" i="1"/>
  <c r="N105" i="1" s="1"/>
  <c r="K75" i="1"/>
  <c r="N75" i="1" s="1"/>
  <c r="K77" i="1"/>
  <c r="N77" i="1" s="1"/>
  <c r="K102" i="1"/>
  <c r="N102" i="1" s="1"/>
  <c r="K104" i="1"/>
  <c r="N104" i="1" s="1"/>
  <c r="K85" i="1"/>
  <c r="N85" i="1" s="1"/>
  <c r="K87" i="1"/>
  <c r="N87" i="1" s="1"/>
  <c r="K91" i="1"/>
  <c r="N91" i="1" s="1"/>
  <c r="K95" i="1"/>
  <c r="N95" i="1" s="1"/>
  <c r="K74" i="1"/>
  <c r="N74" i="1" s="1"/>
  <c r="K82" i="1"/>
  <c r="N82" i="1" s="1"/>
  <c r="K84" i="1"/>
  <c r="N84" i="1" s="1"/>
  <c r="K86" i="1"/>
  <c r="N86" i="1" s="1"/>
  <c r="K88" i="1"/>
  <c r="N88" i="1" s="1"/>
  <c r="K90" i="1"/>
  <c r="N90" i="1" s="1"/>
  <c r="J66" i="1"/>
  <c r="I66" i="1"/>
  <c r="F66" i="1"/>
  <c r="J70" i="1"/>
  <c r="I70" i="1"/>
  <c r="H70" i="1"/>
  <c r="F70" i="1"/>
  <c r="K70" i="1" l="1"/>
  <c r="N70" i="1" s="1"/>
  <c r="J65" i="1"/>
  <c r="I65" i="1"/>
  <c r="H65" i="1"/>
  <c r="F65" i="1" l="1"/>
  <c r="K65" i="1" s="1"/>
  <c r="N65" i="1" s="1"/>
  <c r="J64" i="1"/>
  <c r="I64" i="1"/>
  <c r="F64" i="1"/>
  <c r="J61" i="1" l="1"/>
  <c r="I61" i="1"/>
  <c r="F61" i="1" l="1"/>
  <c r="J60" i="1" l="1"/>
  <c r="I60" i="1"/>
  <c r="F60" i="1" l="1"/>
  <c r="J59" i="1"/>
  <c r="I59" i="1"/>
  <c r="H59" i="1"/>
  <c r="F59" i="1"/>
  <c r="J58" i="1"/>
  <c r="I58" i="1"/>
  <c r="H58" i="1"/>
  <c r="F58" i="1"/>
  <c r="J57" i="1"/>
  <c r="I57" i="1"/>
  <c r="H57" i="1"/>
  <c r="F57" i="1"/>
  <c r="J56" i="1"/>
  <c r="I56" i="1"/>
  <c r="H56" i="1"/>
  <c r="F56" i="1"/>
  <c r="J55" i="1"/>
  <c r="I55" i="1"/>
  <c r="H55" i="1"/>
  <c r="F55" i="1"/>
  <c r="J54" i="1"/>
  <c r="I54" i="1"/>
  <c r="H54" i="1"/>
  <c r="F54" i="1"/>
  <c r="J53" i="1"/>
  <c r="I53" i="1"/>
  <c r="F53" i="1"/>
  <c r="J52" i="1"/>
  <c r="I52" i="1"/>
  <c r="H52" i="1"/>
  <c r="F52" i="1"/>
  <c r="J51" i="1"/>
  <c r="I51" i="1"/>
  <c r="H51" i="1"/>
  <c r="F51" i="1"/>
  <c r="J50" i="1"/>
  <c r="I50" i="1"/>
  <c r="H50" i="1"/>
  <c r="F50" i="1"/>
  <c r="J49" i="1"/>
  <c r="I49" i="1"/>
  <c r="H49" i="1"/>
  <c r="F49" i="1"/>
  <c r="J48" i="1"/>
  <c r="I48" i="1"/>
  <c r="H48" i="1"/>
  <c r="F48" i="1"/>
  <c r="J47" i="1"/>
  <c r="I47" i="1"/>
  <c r="H47" i="1"/>
  <c r="F47" i="1"/>
  <c r="J46" i="1"/>
  <c r="I46" i="1"/>
  <c r="F46" i="1"/>
  <c r="J45" i="1"/>
  <c r="I45" i="1"/>
  <c r="F45" i="1"/>
  <c r="J44" i="1"/>
  <c r="I44" i="1"/>
  <c r="F44" i="1"/>
  <c r="J42" i="1"/>
  <c r="I42" i="1"/>
  <c r="F42" i="1"/>
  <c r="K52" i="1" l="1"/>
  <c r="N52" i="1" s="1"/>
  <c r="K48" i="1"/>
  <c r="N48" i="1" s="1"/>
  <c r="K50" i="1"/>
  <c r="N50" i="1" s="1"/>
  <c r="K54" i="1"/>
  <c r="N54" i="1" s="1"/>
  <c r="K56" i="1"/>
  <c r="N56" i="1" s="1"/>
  <c r="K58" i="1"/>
  <c r="N58" i="1" s="1"/>
  <c r="K47" i="1"/>
  <c r="N47" i="1" s="1"/>
  <c r="K49" i="1"/>
  <c r="N49" i="1" s="1"/>
  <c r="K51" i="1"/>
  <c r="N51" i="1" s="1"/>
  <c r="K55" i="1"/>
  <c r="N55" i="1" s="1"/>
  <c r="K57" i="1"/>
  <c r="N57" i="1" s="1"/>
  <c r="K59" i="1"/>
  <c r="N59" i="1" s="1"/>
  <c r="J41" i="1"/>
  <c r="I41" i="1"/>
  <c r="H41" i="1"/>
  <c r="F41" i="1"/>
  <c r="J38" i="1"/>
  <c r="I38" i="1"/>
  <c r="H38" i="1"/>
  <c r="F38" i="1"/>
  <c r="J37" i="1"/>
  <c r="I37" i="1"/>
  <c r="F37" i="1"/>
  <c r="J35" i="1"/>
  <c r="I35" i="1"/>
  <c r="F35" i="1"/>
  <c r="J36" i="1"/>
  <c r="I36" i="1"/>
  <c r="K38" i="1" l="1"/>
  <c r="N38" i="1" s="1"/>
  <c r="K41" i="1"/>
  <c r="N41" i="1" s="1"/>
  <c r="F36" i="1"/>
  <c r="J31" i="1" l="1"/>
  <c r="I31" i="1"/>
  <c r="F31" i="1" l="1"/>
  <c r="J34" i="1" l="1"/>
  <c r="I34" i="1"/>
  <c r="F34" i="1"/>
  <c r="J33" i="1"/>
  <c r="I33" i="1"/>
  <c r="F33" i="1" l="1"/>
  <c r="J26" i="1" l="1"/>
  <c r="I26" i="1"/>
  <c r="F26" i="1"/>
  <c r="J25" i="1"/>
  <c r="I25" i="1"/>
  <c r="F25" i="1"/>
  <c r="J24" i="1" l="1"/>
  <c r="I24" i="1"/>
  <c r="F24" i="1"/>
  <c r="J23" i="1"/>
  <c r="I23" i="1"/>
  <c r="F23" i="1"/>
  <c r="J22" i="1"/>
  <c r="I22" i="1"/>
  <c r="H22" i="1"/>
  <c r="F22" i="1"/>
  <c r="J21" i="1"/>
  <c r="I21" i="1"/>
  <c r="F21" i="1"/>
  <c r="J20" i="1"/>
  <c r="I20" i="1"/>
  <c r="F20" i="1"/>
  <c r="J19" i="1"/>
  <c r="I19" i="1"/>
  <c r="F19" i="1"/>
  <c r="J18" i="1"/>
  <c r="I18" i="1"/>
  <c r="F18" i="1"/>
  <c r="J17" i="1"/>
  <c r="I17" i="1"/>
  <c r="F17" i="1"/>
  <c r="J16" i="1"/>
  <c r="I16" i="1"/>
  <c r="F16" i="1"/>
  <c r="K22" i="1" l="1"/>
  <c r="N22" i="1" s="1"/>
  <c r="J15" i="1"/>
  <c r="I15" i="1"/>
  <c r="F15" i="1"/>
  <c r="J14" i="1"/>
  <c r="I14" i="1"/>
  <c r="F14" i="1"/>
  <c r="H9" i="1"/>
  <c r="H8" i="1"/>
  <c r="H7" i="1"/>
  <c r="H5" i="1"/>
  <c r="AQ201" i="7"/>
  <c r="AO201" i="7" s="1"/>
  <c r="AQ197" i="7"/>
  <c r="AK197" i="7" s="1"/>
  <c r="AQ205" i="7"/>
  <c r="AO205" i="7" s="1"/>
  <c r="AQ198" i="7"/>
  <c r="AK198" i="7" s="1"/>
  <c r="AQ202" i="7"/>
  <c r="AO202" i="7" s="1"/>
  <c r="AQ206" i="7"/>
  <c r="AK206" i="7" s="1"/>
  <c r="AQ199" i="7"/>
  <c r="AO199" i="7" s="1"/>
  <c r="AQ203" i="7"/>
  <c r="AK203" i="7" s="1"/>
  <c r="AQ207" i="7"/>
  <c r="AO207" i="7" s="1"/>
  <c r="AQ200" i="7"/>
  <c r="AK200" i="7" s="1"/>
  <c r="AQ204" i="7"/>
  <c r="AP204" i="7" s="1"/>
  <c r="AQ220" i="7"/>
  <c r="AO220" i="7" s="1"/>
  <c r="AQ232" i="7"/>
  <c r="AK232" i="7" s="1"/>
  <c r="AQ228" i="7"/>
  <c r="AO228" i="7" s="1"/>
  <c r="AQ236" i="7"/>
  <c r="AK236" i="7" s="1"/>
  <c r="AQ240" i="7"/>
  <c r="AO240" i="7" s="1"/>
  <c r="AQ248" i="7"/>
  <c r="AK248" i="7" s="1"/>
  <c r="AQ264" i="7"/>
  <c r="AO264" i="7" s="1"/>
  <c r="AQ276" i="7"/>
  <c r="AK276" i="7" s="1"/>
  <c r="AQ209" i="7"/>
  <c r="AO209" i="7" s="1"/>
  <c r="AQ213" i="7"/>
  <c r="AK213" i="7" s="1"/>
  <c r="AQ217" i="7"/>
  <c r="AO217" i="7" s="1"/>
  <c r="AQ221" i="7"/>
  <c r="AK221" i="7" s="1"/>
  <c r="AQ225" i="7"/>
  <c r="AO225" i="7" s="1"/>
  <c r="AQ229" i="7"/>
  <c r="AO229" i="7" s="1"/>
  <c r="AQ233" i="7"/>
  <c r="AO233" i="7" s="1"/>
  <c r="AQ237" i="7"/>
  <c r="AO237" i="7" s="1"/>
  <c r="AQ241" i="7"/>
  <c r="AO241" i="7" s="1"/>
  <c r="AQ245" i="7"/>
  <c r="AK245" i="7" s="1"/>
  <c r="AQ249" i="7"/>
  <c r="AO249" i="7" s="1"/>
  <c r="AQ253" i="7"/>
  <c r="AK253" i="7" s="1"/>
  <c r="AQ257" i="7"/>
  <c r="AO257" i="7" s="1"/>
  <c r="AQ261" i="7"/>
  <c r="AK261" i="7" s="1"/>
  <c r="AQ265" i="7"/>
  <c r="AO265" i="7" s="1"/>
  <c r="AQ269" i="7"/>
  <c r="AK269" i="7" s="1"/>
  <c r="AQ273" i="7"/>
  <c r="AO273" i="7" s="1"/>
  <c r="AQ277" i="7"/>
  <c r="AK277" i="7" s="1"/>
  <c r="AQ224" i="7"/>
  <c r="AO224" i="7" s="1"/>
  <c r="AQ244" i="7"/>
  <c r="AK244" i="7" s="1"/>
  <c r="AQ272" i="7"/>
  <c r="AO272" i="7" s="1"/>
  <c r="AQ210" i="7"/>
  <c r="AM210" i="7" s="1"/>
  <c r="AQ226" i="7"/>
  <c r="AO226" i="7" s="1"/>
  <c r="AQ246" i="7"/>
  <c r="AK246" i="7" s="1"/>
  <c r="AQ250" i="7"/>
  <c r="AO250" i="7" s="1"/>
  <c r="AQ258" i="7"/>
  <c r="AK258" i="7" s="1"/>
  <c r="AQ270" i="7"/>
  <c r="AO270" i="7" s="1"/>
  <c r="AQ274" i="7"/>
  <c r="AK274" i="7" s="1"/>
  <c r="AQ278" i="7"/>
  <c r="AO278" i="7" s="1"/>
  <c r="AQ208" i="7"/>
  <c r="AK208" i="7" s="1"/>
  <c r="AQ212" i="7"/>
  <c r="AO212" i="7" s="1"/>
  <c r="AQ216" i="7"/>
  <c r="AK216" i="7" s="1"/>
  <c r="AQ252" i="7"/>
  <c r="AO252" i="7" s="1"/>
  <c r="AQ256" i="7"/>
  <c r="AK256" i="7" s="1"/>
  <c r="AQ260" i="7"/>
  <c r="AO260" i="7" s="1"/>
  <c r="AQ268" i="7"/>
  <c r="AK268" i="7" s="1"/>
  <c r="AQ214" i="7"/>
  <c r="AO214" i="7" s="1"/>
  <c r="AQ218" i="7"/>
  <c r="AK218" i="7" s="1"/>
  <c r="AQ222" i="7"/>
  <c r="AO222" i="7" s="1"/>
  <c r="AQ230" i="7"/>
  <c r="AK230" i="7" s="1"/>
  <c r="AQ234" i="7"/>
  <c r="AO234" i="7" s="1"/>
  <c r="AQ238" i="7"/>
  <c r="AK238" i="7" s="1"/>
  <c r="AQ242" i="7"/>
  <c r="AO242" i="7" s="1"/>
  <c r="AQ254" i="7"/>
  <c r="AK254" i="7" s="1"/>
  <c r="AQ262" i="7"/>
  <c r="AO262" i="7" s="1"/>
  <c r="AQ266" i="7"/>
  <c r="AO266" i="7" s="1"/>
  <c r="AQ211" i="7"/>
  <c r="AK211" i="7" s="1"/>
  <c r="AQ215" i="7"/>
  <c r="AO215" i="7" s="1"/>
  <c r="AQ219" i="7"/>
  <c r="AL219" i="7" s="1"/>
  <c r="AQ223" i="7"/>
  <c r="AO223" i="7" s="1"/>
  <c r="AQ227" i="7"/>
  <c r="AP227" i="7" s="1"/>
  <c r="AQ231" i="7"/>
  <c r="AK231" i="7" s="1"/>
  <c r="AQ235" i="7"/>
  <c r="AL235" i="7" s="1"/>
  <c r="AQ239" i="7"/>
  <c r="AO239" i="7" s="1"/>
  <c r="AQ243" i="7"/>
  <c r="AK243" i="7" s="1"/>
  <c r="AQ247" i="7"/>
  <c r="AO247" i="7" s="1"/>
  <c r="AQ251" i="7"/>
  <c r="AK251" i="7" s="1"/>
  <c r="AQ255" i="7"/>
  <c r="AN255" i="7" s="1"/>
  <c r="AQ259" i="7"/>
  <c r="AL259" i="7" s="1"/>
  <c r="AQ263" i="7"/>
  <c r="AO263" i="7" s="1"/>
  <c r="AQ267" i="7"/>
  <c r="AK267" i="7" s="1"/>
  <c r="AQ271" i="7"/>
  <c r="AO271" i="7" s="1"/>
  <c r="AQ275" i="7"/>
  <c r="AL275" i="7" s="1"/>
  <c r="AQ279" i="7"/>
  <c r="AK279" i="7" s="1"/>
  <c r="AQ284" i="7"/>
  <c r="AO284" i="7" s="1"/>
  <c r="AQ288" i="7"/>
  <c r="AK288" i="7" s="1"/>
  <c r="AQ292" i="7"/>
  <c r="AO292" i="7" s="1"/>
  <c r="AQ296" i="7"/>
  <c r="AK296" i="7" s="1"/>
  <c r="AQ300" i="7"/>
  <c r="AO300" i="7" s="1"/>
  <c r="AQ337" i="7"/>
  <c r="AK337" i="7" s="1"/>
  <c r="AQ281" i="7"/>
  <c r="AO281" i="7" s="1"/>
  <c r="AQ285" i="7"/>
  <c r="AK285" i="7" s="1"/>
  <c r="AQ289" i="7"/>
  <c r="AO289" i="7" s="1"/>
  <c r="AQ293" i="7"/>
  <c r="AK293" i="7" s="1"/>
  <c r="AQ297" i="7"/>
  <c r="AO297" i="7" s="1"/>
  <c r="AQ301" i="7"/>
  <c r="AK301" i="7" s="1"/>
  <c r="AQ312" i="7"/>
  <c r="AO312" i="7" s="1"/>
  <c r="AQ324" i="7"/>
  <c r="AK324" i="7" s="1"/>
  <c r="AQ332" i="7"/>
  <c r="AO332" i="7" s="1"/>
  <c r="AQ338" i="7"/>
  <c r="AK338" i="7" s="1"/>
  <c r="AQ346" i="7"/>
  <c r="AO346" i="7" s="1"/>
  <c r="AQ282" i="7"/>
  <c r="AK282" i="7" s="1"/>
  <c r="AQ286" i="7"/>
  <c r="AO286" i="7" s="1"/>
  <c r="AQ298" i="7"/>
  <c r="AK298" i="7" s="1"/>
  <c r="AQ302" i="7"/>
  <c r="AO302" i="7" s="1"/>
  <c r="AQ303" i="7"/>
  <c r="AK303" i="7" s="1"/>
  <c r="AQ305" i="7"/>
  <c r="AO305" i="7" s="1"/>
  <c r="AQ308" i="7"/>
  <c r="AK308" i="7" s="1"/>
  <c r="AQ309" i="7"/>
  <c r="AO309" i="7" s="1"/>
  <c r="AQ350" i="7"/>
  <c r="AK350" i="7" s="1"/>
  <c r="AQ355" i="7"/>
  <c r="AO355" i="7" s="1"/>
  <c r="AQ280" i="7"/>
  <c r="AK280" i="7" s="1"/>
  <c r="AQ290" i="7"/>
  <c r="AO290" i="7" s="1"/>
  <c r="AQ294" i="7"/>
  <c r="AO294" i="7" s="1"/>
  <c r="AQ283" i="7"/>
  <c r="AO283" i="7" s="1"/>
  <c r="AQ287" i="7"/>
  <c r="AL287" i="7" s="1"/>
  <c r="AQ291" i="7"/>
  <c r="AL291" i="7" s="1"/>
  <c r="AQ295" i="7"/>
  <c r="AL295" i="7" s="1"/>
  <c r="AQ299" i="7"/>
  <c r="AK299" i="7" s="1"/>
  <c r="AN301" i="7"/>
  <c r="AQ304" i="7"/>
  <c r="AP304" i="7" s="1"/>
  <c r="AQ316" i="7"/>
  <c r="AK316" i="7" s="1"/>
  <c r="AQ320" i="7"/>
  <c r="AO320" i="7" s="1"/>
  <c r="AQ328" i="7"/>
  <c r="AK328" i="7" s="1"/>
  <c r="AQ336" i="7"/>
  <c r="AO336" i="7" s="1"/>
  <c r="AQ342" i="7"/>
  <c r="AK342" i="7" s="1"/>
  <c r="AQ313" i="7"/>
  <c r="AO313" i="7" s="1"/>
  <c r="AQ317" i="7"/>
  <c r="AK317" i="7" s="1"/>
  <c r="AQ321" i="7"/>
  <c r="AO321" i="7" s="1"/>
  <c r="AQ325" i="7"/>
  <c r="AK325" i="7" s="1"/>
  <c r="AQ329" i="7"/>
  <c r="AO329" i="7" s="1"/>
  <c r="AQ333" i="7"/>
  <c r="AK333" i="7" s="1"/>
  <c r="AQ339" i="7"/>
  <c r="AO339" i="7" s="1"/>
  <c r="AQ343" i="7"/>
  <c r="AK343" i="7" s="1"/>
  <c r="AQ347" i="7"/>
  <c r="AO347" i="7" s="1"/>
  <c r="AQ351" i="7"/>
  <c r="AK351" i="7" s="1"/>
  <c r="AQ306" i="7"/>
  <c r="AO306" i="7" s="1"/>
  <c r="AQ310" i="7"/>
  <c r="AM310" i="7" s="1"/>
  <c r="AQ314" i="7"/>
  <c r="AO314" i="7" s="1"/>
  <c r="AQ318" i="7"/>
  <c r="AK318" i="7" s="1"/>
  <c r="AQ322" i="7"/>
  <c r="AO322" i="7" s="1"/>
  <c r="AQ326" i="7"/>
  <c r="AM326" i="7" s="1"/>
  <c r="AQ330" i="7"/>
  <c r="AO330" i="7" s="1"/>
  <c r="AQ334" i="7"/>
  <c r="AK334" i="7" s="1"/>
  <c r="AQ340" i="7"/>
  <c r="AO340" i="7" s="1"/>
  <c r="AQ344" i="7"/>
  <c r="AK344" i="7" s="1"/>
  <c r="AQ348" i="7"/>
  <c r="AO348" i="7" s="1"/>
  <c r="AQ352" i="7"/>
  <c r="AK352" i="7" s="1"/>
  <c r="AQ353" i="7"/>
  <c r="AO353" i="7" s="1"/>
  <c r="AQ307" i="7"/>
  <c r="AK307" i="7" s="1"/>
  <c r="AQ311" i="7"/>
  <c r="AK311" i="7" s="1"/>
  <c r="AQ315" i="7"/>
  <c r="AP315" i="7" s="1"/>
  <c r="AQ319" i="7"/>
  <c r="AK319" i="7" s="1"/>
  <c r="AQ323" i="7"/>
  <c r="AP323" i="7" s="1"/>
  <c r="AQ327" i="7"/>
  <c r="AK327" i="7" s="1"/>
  <c r="AQ331" i="7"/>
  <c r="AP331" i="7" s="1"/>
  <c r="AQ335" i="7"/>
  <c r="AK335" i="7" s="1"/>
  <c r="AQ341" i="7"/>
  <c r="AP341" i="7" s="1"/>
  <c r="AQ345" i="7"/>
  <c r="AK345" i="7" s="1"/>
  <c r="AQ349" i="7"/>
  <c r="AK349" i="7" s="1"/>
  <c r="AQ354" i="7"/>
  <c r="AK354" i="7" s="1"/>
  <c r="AQ359" i="7"/>
  <c r="AO359" i="7" s="1"/>
  <c r="AQ367" i="7"/>
  <c r="AK367" i="7" s="1"/>
  <c r="AQ375" i="7"/>
  <c r="AO375" i="7" s="1"/>
  <c r="AQ363" i="7"/>
  <c r="AK363" i="7" s="1"/>
  <c r="AQ371" i="7"/>
  <c r="AO371" i="7" s="1"/>
  <c r="AQ379" i="7"/>
  <c r="AK379" i="7" s="1"/>
  <c r="AQ396" i="7"/>
  <c r="AO396" i="7" s="1"/>
  <c r="AQ356" i="7"/>
  <c r="AK356" i="7" s="1"/>
  <c r="AQ360" i="7"/>
  <c r="AO360" i="7" s="1"/>
  <c r="AQ364" i="7"/>
  <c r="AK364" i="7" s="1"/>
  <c r="AQ368" i="7"/>
  <c r="AO368" i="7" s="1"/>
  <c r="AQ372" i="7"/>
  <c r="AO372" i="7" s="1"/>
  <c r="AQ376" i="7"/>
  <c r="AP376" i="7" s="1"/>
  <c r="AQ380" i="7"/>
  <c r="AK380" i="7" s="1"/>
  <c r="AQ381" i="7"/>
  <c r="AQ385" i="7"/>
  <c r="AK385" i="7" s="1"/>
  <c r="AQ389" i="7"/>
  <c r="AP389" i="7" s="1"/>
  <c r="AQ393" i="7"/>
  <c r="AK393" i="7" s="1"/>
  <c r="AQ397" i="7"/>
  <c r="AP397" i="7" s="1"/>
  <c r="AQ388" i="7"/>
  <c r="AO388" i="7" s="1"/>
  <c r="AQ357" i="7"/>
  <c r="AP357" i="7" s="1"/>
  <c r="AQ373" i="7"/>
  <c r="AK373" i="7" s="1"/>
  <c r="AQ377" i="7"/>
  <c r="AP377" i="7" s="1"/>
  <c r="AQ382" i="7"/>
  <c r="AK382" i="7" s="1"/>
  <c r="AQ386" i="7"/>
  <c r="AP386" i="7" s="1"/>
  <c r="AQ390" i="7"/>
  <c r="AK390" i="7" s="1"/>
  <c r="AQ394" i="7"/>
  <c r="AQ398" i="7"/>
  <c r="AK398" i="7" s="1"/>
  <c r="AQ384" i="7"/>
  <c r="AP384" i="7" s="1"/>
  <c r="AQ392" i="7"/>
  <c r="AK392" i="7" s="1"/>
  <c r="AQ400" i="7"/>
  <c r="AQ361" i="7"/>
  <c r="AK361" i="7" s="1"/>
  <c r="AQ365" i="7"/>
  <c r="AP365" i="7" s="1"/>
  <c r="AQ369" i="7"/>
  <c r="AK369" i="7" s="1"/>
  <c r="AQ358" i="7"/>
  <c r="AQ362" i="7"/>
  <c r="AL362" i="7" s="1"/>
  <c r="AQ366" i="7"/>
  <c r="AQ370" i="7"/>
  <c r="AP370" i="7" s="1"/>
  <c r="AQ374" i="7"/>
  <c r="AQ378" i="7"/>
  <c r="AP378" i="7" s="1"/>
  <c r="AQ383" i="7"/>
  <c r="AP383" i="7" s="1"/>
  <c r="AQ387" i="7"/>
  <c r="AQ391" i="7"/>
  <c r="AP391" i="7" s="1"/>
  <c r="AQ395" i="7"/>
  <c r="AQ399" i="7"/>
  <c r="AL399" i="7" s="1"/>
  <c r="AQ406" i="7"/>
  <c r="AP406" i="7" s="1"/>
  <c r="AQ425" i="7"/>
  <c r="AK425" i="7" s="1"/>
  <c r="AQ403" i="7"/>
  <c r="AQ407" i="7"/>
  <c r="AK407" i="7" s="1"/>
  <c r="AQ411" i="7"/>
  <c r="AQ414" i="7"/>
  <c r="AK414" i="7" s="1"/>
  <c r="AQ419" i="7"/>
  <c r="AP419" i="7" s="1"/>
  <c r="AQ424" i="7"/>
  <c r="AK424" i="7" s="1"/>
  <c r="AQ427" i="7"/>
  <c r="AL427" i="7" s="1"/>
  <c r="AQ437" i="7"/>
  <c r="AK437" i="7" s="1"/>
  <c r="AQ410" i="7"/>
  <c r="AP410" i="7" s="1"/>
  <c r="AQ404" i="7"/>
  <c r="AK404" i="7" s="1"/>
  <c r="AQ412" i="7"/>
  <c r="AN412" i="7" s="1"/>
  <c r="AQ416" i="7"/>
  <c r="AK416" i="7" s="1"/>
  <c r="AQ421" i="7"/>
  <c r="AP421" i="7" s="1"/>
  <c r="AQ429" i="7"/>
  <c r="AK429" i="7" s="1"/>
  <c r="AQ402" i="7"/>
  <c r="AL402" i="7" s="1"/>
  <c r="AQ408" i="7"/>
  <c r="AK408" i="7" s="1"/>
  <c r="AQ401" i="7"/>
  <c r="AP401" i="7" s="1"/>
  <c r="AQ405" i="7"/>
  <c r="AL405" i="7" s="1"/>
  <c r="AQ409" i="7"/>
  <c r="AL409" i="7" s="1"/>
  <c r="AQ413" i="7"/>
  <c r="AO413" i="7" s="1"/>
  <c r="AQ415" i="7"/>
  <c r="AO415" i="7" s="1"/>
  <c r="AQ420" i="7"/>
  <c r="AP420" i="7" s="1"/>
  <c r="AQ423" i="7"/>
  <c r="AK423" i="7" s="1"/>
  <c r="AQ428" i="7"/>
  <c r="AP428" i="7" s="1"/>
  <c r="AQ431" i="7"/>
  <c r="AK431" i="7" s="1"/>
  <c r="AQ433" i="7"/>
  <c r="AL433" i="7" s="1"/>
  <c r="AQ417" i="7"/>
  <c r="AQ418" i="7"/>
  <c r="AQ422" i="7"/>
  <c r="AL422" i="7" s="1"/>
  <c r="AQ426" i="7"/>
  <c r="AK426" i="7" s="1"/>
  <c r="AQ430" i="7"/>
  <c r="AP430" i="7" s="1"/>
  <c r="AQ434" i="7"/>
  <c r="AQ438" i="7"/>
  <c r="AK438" i="7" s="1"/>
  <c r="AQ435" i="7"/>
  <c r="AP435" i="7" s="1"/>
  <c r="AQ439" i="7"/>
  <c r="AK439" i="7" s="1"/>
  <c r="AQ432" i="7"/>
  <c r="AQ436" i="7"/>
  <c r="AP436" i="7" s="1"/>
  <c r="AQ440" i="7"/>
  <c r="AL440" i="7" s="1"/>
  <c r="AQ441" i="7"/>
  <c r="AK441" i="7" s="1"/>
  <c r="AQ444" i="7"/>
  <c r="AP444" i="7" s="1"/>
  <c r="AQ442" i="7"/>
  <c r="AK442" i="7" s="1"/>
  <c r="AQ443" i="7"/>
  <c r="AL443" i="7" s="1"/>
  <c r="AQ447" i="7"/>
  <c r="AP447" i="7" s="1"/>
  <c r="AQ450" i="7"/>
  <c r="AO450" i="7" s="1"/>
  <c r="AQ465" i="7"/>
  <c r="AN465" i="7" s="1"/>
  <c r="AQ470" i="7"/>
  <c r="AK470" i="7" s="1"/>
  <c r="AQ445" i="7"/>
  <c r="AP445" i="7" s="1"/>
  <c r="AQ448" i="7"/>
  <c r="AK448" i="7" s="1"/>
  <c r="AQ446" i="7"/>
  <c r="AP446" i="7" s="1"/>
  <c r="AQ449" i="7"/>
  <c r="AO449" i="7" s="1"/>
  <c r="AQ489" i="7"/>
  <c r="AK489" i="7" s="1"/>
  <c r="AQ486" i="7"/>
  <c r="AL486" i="7" s="1"/>
  <c r="AQ498" i="7"/>
  <c r="AO498" i="7" s="1"/>
  <c r="AQ512" i="7"/>
  <c r="AL512" i="7" s="1"/>
  <c r="AQ518" i="7"/>
  <c r="AK518" i="7" s="1"/>
  <c r="AQ505" i="7"/>
  <c r="AN505" i="7" s="1"/>
  <c r="AQ513" i="7"/>
  <c r="AP513" i="7" s="1"/>
  <c r="AQ517" i="7"/>
  <c r="AP517" i="7" s="1"/>
  <c r="AQ526" i="7"/>
  <c r="AQ521" i="7"/>
  <c r="AK521" i="7" s="1"/>
  <c r="AQ550" i="7"/>
  <c r="AQ534" i="7"/>
  <c r="AK534" i="7" s="1"/>
  <c r="AQ537" i="7"/>
  <c r="AP537" i="7" s="1"/>
  <c r="AQ541" i="7"/>
  <c r="AK541" i="7" s="1"/>
  <c r="AQ553" i="7"/>
  <c r="H27" i="1" l="1"/>
  <c r="K27" i="1" s="1"/>
  <c r="N27" i="1" s="1"/>
  <c r="H124" i="1"/>
  <c r="K124" i="1" s="1"/>
  <c r="N124" i="1" s="1"/>
  <c r="H123" i="1"/>
  <c r="K123" i="1" s="1"/>
  <c r="N123" i="1" s="1"/>
  <c r="H116" i="1"/>
  <c r="H289" i="1"/>
  <c r="K289" i="1" s="1"/>
  <c r="N289" i="1" s="1"/>
  <c r="H173" i="1"/>
  <c r="K173" i="1" s="1"/>
  <c r="N173" i="1" s="1"/>
  <c r="H34" i="1"/>
  <c r="K34" i="1" s="1"/>
  <c r="N34" i="1" s="1"/>
  <c r="H28" i="1"/>
  <c r="K28" i="1" s="1"/>
  <c r="N28" i="1" s="1"/>
  <c r="H63" i="1"/>
  <c r="K63" i="1" s="1"/>
  <c r="N63" i="1" s="1"/>
  <c r="H42" i="1"/>
  <c r="K42" i="1" s="1"/>
  <c r="N42" i="1" s="1"/>
  <c r="H122" i="1"/>
  <c r="K122" i="1" s="1"/>
  <c r="N122" i="1" s="1"/>
  <c r="H43" i="1"/>
  <c r="K43" i="1" s="1"/>
  <c r="N43" i="1" s="1"/>
  <c r="H194" i="1"/>
  <c r="K194" i="1" s="1"/>
  <c r="N194" i="1" s="1"/>
  <c r="H35" i="1"/>
  <c r="K35" i="1" s="1"/>
  <c r="N35" i="1" s="1"/>
  <c r="H249" i="1"/>
  <c r="K249" i="1" s="1"/>
  <c r="N249" i="1" s="1"/>
  <c r="H25" i="1"/>
  <c r="K25" i="1" s="1"/>
  <c r="N25" i="1" s="1"/>
  <c r="H69" i="1"/>
  <c r="K69" i="1" s="1"/>
  <c r="N69" i="1" s="1"/>
  <c r="H67" i="1"/>
  <c r="K67" i="1" s="1"/>
  <c r="N67" i="1" s="1"/>
  <c r="H19" i="1"/>
  <c r="K19" i="1" s="1"/>
  <c r="N19" i="1" s="1"/>
  <c r="H255" i="1"/>
  <c r="K255" i="1" s="1"/>
  <c r="N255" i="1" s="1"/>
  <c r="H15" i="1"/>
  <c r="K15" i="1" s="1"/>
  <c r="N15" i="1" s="1"/>
  <c r="H127" i="1"/>
  <c r="K127" i="1" s="1"/>
  <c r="N127" i="1" s="1"/>
  <c r="H412" i="1"/>
  <c r="K412" i="1" s="1"/>
  <c r="N412" i="1" s="1"/>
  <c r="H68" i="1"/>
  <c r="K68" i="1" s="1"/>
  <c r="N68" i="1" s="1"/>
  <c r="H427" i="1"/>
  <c r="K427" i="1" s="1"/>
  <c r="N427" i="1" s="1"/>
  <c r="H341" i="1"/>
  <c r="K341" i="1" s="1"/>
  <c r="N341" i="1" s="1"/>
  <c r="H140" i="1"/>
  <c r="K140" i="1" s="1"/>
  <c r="N140" i="1" s="1"/>
  <c r="H431" i="1"/>
  <c r="K431" i="1" s="1"/>
  <c r="N431" i="1" s="1"/>
  <c r="H125" i="1"/>
  <c r="K125" i="1" s="1"/>
  <c r="N125" i="1" s="1"/>
  <c r="H44" i="1"/>
  <c r="K44" i="1" s="1"/>
  <c r="N44" i="1" s="1"/>
  <c r="H184" i="1"/>
  <c r="K184" i="1" s="1"/>
  <c r="N184" i="1" s="1"/>
  <c r="H179" i="1"/>
  <c r="K179" i="1" s="1"/>
  <c r="N179" i="1" s="1"/>
  <c r="H113" i="1"/>
  <c r="K113" i="1" s="1"/>
  <c r="N113" i="1" s="1"/>
  <c r="H155" i="1"/>
  <c r="K155" i="1" s="1"/>
  <c r="N155" i="1" s="1"/>
  <c r="H17" i="1"/>
  <c r="K17" i="1" s="1"/>
  <c r="N17" i="1" s="1"/>
  <c r="AL197" i="7"/>
  <c r="H382" i="1"/>
  <c r="K382" i="1" s="1"/>
  <c r="N382" i="1" s="1"/>
  <c r="H398" i="1"/>
  <c r="K398" i="1" s="1"/>
  <c r="N398" i="1" s="1"/>
  <c r="H170" i="1"/>
  <c r="K170" i="1" s="1"/>
  <c r="N170" i="1" s="1"/>
  <c r="H39" i="1"/>
  <c r="K39" i="1" s="1"/>
  <c r="N39" i="1" s="1"/>
  <c r="H391" i="1"/>
  <c r="K391" i="1" s="1"/>
  <c r="N391" i="1" s="1"/>
  <c r="H31" i="1"/>
  <c r="K31" i="1" s="1"/>
  <c r="N31" i="1" s="1"/>
  <c r="H403" i="1"/>
  <c r="K403" i="1" s="1"/>
  <c r="N403" i="1" s="1"/>
  <c r="H62" i="1"/>
  <c r="K62" i="1" s="1"/>
  <c r="N62" i="1" s="1"/>
  <c r="H426" i="1"/>
  <c r="K426" i="1" s="1"/>
  <c r="N426" i="1" s="1"/>
  <c r="H196" i="1"/>
  <c r="K196" i="1" s="1"/>
  <c r="N196" i="1" s="1"/>
  <c r="H36" i="1"/>
  <c r="K36" i="1" s="1"/>
  <c r="N36" i="1" s="1"/>
  <c r="H33" i="1"/>
  <c r="K33" i="1" s="1"/>
  <c r="N33" i="1" s="1"/>
  <c r="H21" i="1"/>
  <c r="K21" i="1" s="1"/>
  <c r="N21" i="1" s="1"/>
  <c r="H212" i="1"/>
  <c r="K212" i="1" s="1"/>
  <c r="N212" i="1" s="1"/>
  <c r="H428" i="1"/>
  <c r="K428" i="1" s="1"/>
  <c r="N428" i="1" s="1"/>
  <c r="H429" i="1"/>
  <c r="K429" i="1" s="1"/>
  <c r="N429" i="1" s="1"/>
  <c r="H430" i="1"/>
  <c r="K430" i="1" s="1"/>
  <c r="N430" i="1" s="1"/>
  <c r="H396" i="1"/>
  <c r="K396" i="1" s="1"/>
  <c r="N396" i="1" s="1"/>
  <c r="H404" i="1"/>
  <c r="K404" i="1" s="1"/>
  <c r="N404" i="1" s="1"/>
  <c r="H407" i="1"/>
  <c r="K407" i="1" s="1"/>
  <c r="N407" i="1" s="1"/>
  <c r="H20" i="1"/>
  <c r="K20" i="1" s="1"/>
  <c r="N20" i="1" s="1"/>
  <c r="H14" i="1"/>
  <c r="K14" i="1" s="1"/>
  <c r="N14" i="1" s="1"/>
  <c r="H381" i="1"/>
  <c r="K381" i="1" s="1"/>
  <c r="N381" i="1" s="1"/>
  <c r="H376" i="1"/>
  <c r="K376" i="1" s="1"/>
  <c r="N376" i="1" s="1"/>
  <c r="H392" i="1"/>
  <c r="K392" i="1" s="1"/>
  <c r="N392" i="1" s="1"/>
  <c r="H373" i="1"/>
  <c r="K373" i="1" s="1"/>
  <c r="N373" i="1" s="1"/>
  <c r="H447" i="1"/>
  <c r="K447" i="1" s="1"/>
  <c r="N447" i="1" s="1"/>
  <c r="H168" i="1"/>
  <c r="K168" i="1" s="1"/>
  <c r="N168" i="1" s="1"/>
  <c r="H397" i="1"/>
  <c r="K397" i="1" s="1"/>
  <c r="N397" i="1" s="1"/>
  <c r="H424" i="1"/>
  <c r="K424" i="1" s="1"/>
  <c r="N424" i="1" s="1"/>
  <c r="H379" i="1"/>
  <c r="K379" i="1" s="1"/>
  <c r="N379" i="1" s="1"/>
  <c r="H141" i="1"/>
  <c r="K141" i="1" s="1"/>
  <c r="N141" i="1" s="1"/>
  <c r="H449" i="1"/>
  <c r="K449" i="1" s="1"/>
  <c r="N449" i="1" s="1"/>
  <c r="H400" i="1"/>
  <c r="K400" i="1" s="1"/>
  <c r="N400" i="1" s="1"/>
  <c r="H405" i="1"/>
  <c r="K405" i="1" s="1"/>
  <c r="N405" i="1" s="1"/>
  <c r="H394" i="1"/>
  <c r="K394" i="1" s="1"/>
  <c r="N394" i="1" s="1"/>
  <c r="H188" i="1"/>
  <c r="H185" i="1"/>
  <c r="K185" i="1" s="1"/>
  <c r="N185" i="1" s="1"/>
  <c r="H186" i="1"/>
  <c r="K186" i="1" s="1"/>
  <c r="N186" i="1" s="1"/>
  <c r="H448" i="1"/>
  <c r="K448" i="1" s="1"/>
  <c r="N448" i="1" s="1"/>
  <c r="H432" i="1"/>
  <c r="K432" i="1" s="1"/>
  <c r="N432" i="1" s="1"/>
  <c r="H115" i="1"/>
  <c r="H26" i="1"/>
  <c r="K26" i="1" s="1"/>
  <c r="N26" i="1" s="1"/>
  <c r="H451" i="1"/>
  <c r="K451" i="1" s="1"/>
  <c r="N451" i="1" s="1"/>
  <c r="H204" i="1"/>
  <c r="K204" i="1" s="1"/>
  <c r="N204" i="1" s="1"/>
  <c r="H18" i="1"/>
  <c r="K18" i="1" s="1"/>
  <c r="N18" i="1" s="1"/>
  <c r="H450" i="1"/>
  <c r="K450" i="1" s="1"/>
  <c r="N450" i="1" s="1"/>
  <c r="H60" i="1"/>
  <c r="K60" i="1" s="1"/>
  <c r="N60" i="1" s="1"/>
  <c r="H197" i="1"/>
  <c r="K197" i="1" s="1"/>
  <c r="N197" i="1" s="1"/>
  <c r="H94" i="17"/>
  <c r="K94" i="17" s="1"/>
  <c r="N94" i="17" s="1"/>
  <c r="H40" i="17"/>
  <c r="K40" i="17" s="1"/>
  <c r="N40" i="17" s="1"/>
  <c r="H41" i="17"/>
  <c r="K41" i="17" s="1"/>
  <c r="N41" i="17" s="1"/>
  <c r="H425" i="1"/>
  <c r="K425" i="1" s="1"/>
  <c r="N425" i="1" s="1"/>
  <c r="H411" i="1"/>
  <c r="K411" i="1" s="1"/>
  <c r="N411" i="1" s="1"/>
  <c r="H420" i="1"/>
  <c r="K420" i="1" s="1"/>
  <c r="N420" i="1" s="1"/>
  <c r="H419" i="1"/>
  <c r="K419" i="1" s="1"/>
  <c r="N419" i="1" s="1"/>
  <c r="H418" i="1"/>
  <c r="K418" i="1" s="1"/>
  <c r="N418" i="1" s="1"/>
  <c r="H417" i="1"/>
  <c r="K417" i="1" s="1"/>
  <c r="N417" i="1" s="1"/>
  <c r="H395" i="1"/>
  <c r="K395" i="1" s="1"/>
  <c r="N395" i="1" s="1"/>
  <c r="H389" i="1"/>
  <c r="K389" i="1" s="1"/>
  <c r="N389" i="1" s="1"/>
  <c r="H388" i="1"/>
  <c r="K388" i="1" s="1"/>
  <c r="N388" i="1" s="1"/>
  <c r="H387" i="1"/>
  <c r="K387" i="1" s="1"/>
  <c r="N387" i="1" s="1"/>
  <c r="H378" i="1"/>
  <c r="K378" i="1" s="1"/>
  <c r="N378" i="1" s="1"/>
  <c r="H374" i="1"/>
  <c r="K374" i="1" s="1"/>
  <c r="N374" i="1" s="1"/>
  <c r="H380" i="1"/>
  <c r="K380" i="1" s="1"/>
  <c r="N380" i="1" s="1"/>
  <c r="H218" i="1"/>
  <c r="K218" i="1" s="1"/>
  <c r="N218" i="1" s="1"/>
  <c r="H201" i="1"/>
  <c r="K201" i="1" s="1"/>
  <c r="N201" i="1" s="1"/>
  <c r="H198" i="1"/>
  <c r="K198" i="1" s="1"/>
  <c r="N198" i="1" s="1"/>
  <c r="H190" i="1"/>
  <c r="H189" i="1"/>
  <c r="H191" i="1"/>
  <c r="K191" i="1" s="1"/>
  <c r="N191" i="1" s="1"/>
  <c r="H138" i="1"/>
  <c r="K138" i="1" s="1"/>
  <c r="N138" i="1" s="1"/>
  <c r="H132" i="1"/>
  <c r="K132" i="1" s="1"/>
  <c r="N132" i="1" s="1"/>
  <c r="H130" i="1"/>
  <c r="K130" i="1" s="1"/>
  <c r="N130" i="1" s="1"/>
  <c r="H129" i="1"/>
  <c r="K129" i="1" s="1"/>
  <c r="N129" i="1" s="1"/>
  <c r="H114" i="1"/>
  <c r="H99" i="1"/>
  <c r="K99" i="1" s="1"/>
  <c r="N99" i="1" s="1"/>
  <c r="H66" i="1"/>
  <c r="K66" i="1" s="1"/>
  <c r="N66" i="1" s="1"/>
  <c r="H64" i="1"/>
  <c r="K64" i="1" s="1"/>
  <c r="N64" i="1" s="1"/>
  <c r="H61" i="1"/>
  <c r="K61" i="1" s="1"/>
  <c r="N61" i="1" s="1"/>
  <c r="H24" i="1"/>
  <c r="K24" i="1" s="1"/>
  <c r="N24" i="1" s="1"/>
  <c r="H442" i="1"/>
  <c r="K442" i="1" s="1"/>
  <c r="N442" i="1" s="1"/>
  <c r="H441" i="1"/>
  <c r="K441" i="1" s="1"/>
  <c r="N441" i="1" s="1"/>
  <c r="H440" i="1"/>
  <c r="K440" i="1" s="1"/>
  <c r="N440" i="1" s="1"/>
  <c r="H103" i="17"/>
  <c r="K103" i="17" s="1"/>
  <c r="N103" i="17" s="1"/>
  <c r="H421" i="1"/>
  <c r="K421" i="1" s="1"/>
  <c r="N421" i="1" s="1"/>
  <c r="H423" i="1"/>
  <c r="K423" i="1" s="1"/>
  <c r="N423" i="1" s="1"/>
  <c r="H422" i="1"/>
  <c r="K422" i="1" s="1"/>
  <c r="N422" i="1" s="1"/>
  <c r="H409" i="1"/>
  <c r="K409" i="1" s="1"/>
  <c r="N409" i="1" s="1"/>
  <c r="H416" i="1"/>
  <c r="K416" i="1" s="1"/>
  <c r="N416" i="1" s="1"/>
  <c r="H386" i="1"/>
  <c r="K386" i="1" s="1"/>
  <c r="N386" i="1" s="1"/>
  <c r="H375" i="1"/>
  <c r="K375" i="1" s="1"/>
  <c r="N375" i="1" s="1"/>
  <c r="H288" i="1"/>
  <c r="K288" i="1" s="1"/>
  <c r="N288" i="1" s="1"/>
  <c r="H193" i="1"/>
  <c r="K193" i="1" s="1"/>
  <c r="N193" i="1" s="1"/>
  <c r="H164" i="1"/>
  <c r="K164" i="1" s="1"/>
  <c r="N164" i="1" s="1"/>
  <c r="H79" i="1"/>
  <c r="K79" i="1" s="1"/>
  <c r="N79" i="1" s="1"/>
  <c r="H73" i="1"/>
  <c r="K73" i="1" s="1"/>
  <c r="N73" i="1" s="1"/>
  <c r="H92" i="1"/>
  <c r="K92" i="1" s="1"/>
  <c r="N92" i="1" s="1"/>
  <c r="H53" i="1"/>
  <c r="K53" i="1" s="1"/>
  <c r="N53" i="1" s="1"/>
  <c r="H46" i="1"/>
  <c r="K46" i="1" s="1"/>
  <c r="N46" i="1" s="1"/>
  <c r="H343" i="1"/>
  <c r="K343" i="1" s="1"/>
  <c r="N343" i="1" s="1"/>
  <c r="H180" i="1"/>
  <c r="K180" i="1" s="1"/>
  <c r="N180" i="1" s="1"/>
  <c r="H151" i="1"/>
  <c r="K151" i="1" s="1"/>
  <c r="N151" i="1" s="1"/>
  <c r="H119" i="1"/>
  <c r="K119" i="1" s="1"/>
  <c r="N119" i="1" s="1"/>
  <c r="H402" i="1"/>
  <c r="K402" i="1" s="1"/>
  <c r="N402" i="1" s="1"/>
  <c r="H415" i="1"/>
  <c r="K415" i="1" s="1"/>
  <c r="N415" i="1" s="1"/>
  <c r="H390" i="1"/>
  <c r="K390" i="1" s="1"/>
  <c r="N390" i="1" s="1"/>
  <c r="H370" i="1"/>
  <c r="K370" i="1" s="1"/>
  <c r="N370" i="1" s="1"/>
  <c r="H213" i="1"/>
  <c r="K213" i="1" s="1"/>
  <c r="N213" i="1" s="1"/>
  <c r="H215" i="1"/>
  <c r="K215" i="1" s="1"/>
  <c r="N215" i="1" s="1"/>
  <c r="H178" i="1"/>
  <c r="K178" i="1" s="1"/>
  <c r="N178" i="1" s="1"/>
  <c r="H139" i="1"/>
  <c r="K139" i="1" s="1"/>
  <c r="N139" i="1" s="1"/>
  <c r="H94" i="1"/>
  <c r="K94" i="1" s="1"/>
  <c r="N94" i="1" s="1"/>
  <c r="H97" i="1"/>
  <c r="K97" i="1" s="1"/>
  <c r="N97" i="1" s="1"/>
  <c r="H37" i="1"/>
  <c r="K37" i="1" s="1"/>
  <c r="N37" i="1" s="1"/>
  <c r="H16" i="1"/>
  <c r="K16" i="1" s="1"/>
  <c r="N16" i="1" s="1"/>
  <c r="H23" i="1"/>
  <c r="K23" i="1" s="1"/>
  <c r="N23" i="1" s="1"/>
  <c r="H93" i="17"/>
  <c r="K93" i="17" s="1"/>
  <c r="N93" i="17" s="1"/>
  <c r="H216" i="1"/>
  <c r="K216" i="1" s="1"/>
  <c r="N216" i="1" s="1"/>
  <c r="H187" i="1"/>
  <c r="K187" i="1" s="1"/>
  <c r="N187" i="1" s="1"/>
  <c r="H169" i="1"/>
  <c r="K169" i="1" s="1"/>
  <c r="N169" i="1" s="1"/>
  <c r="H45" i="1"/>
  <c r="K45" i="1" s="1"/>
  <c r="N45" i="1" s="1"/>
  <c r="AL198" i="7"/>
  <c r="AL380" i="7"/>
  <c r="AL272" i="7"/>
  <c r="AM354" i="7"/>
  <c r="AN390" i="7"/>
  <c r="AN380" i="7"/>
  <c r="AL264" i="7"/>
  <c r="AN253" i="7"/>
  <c r="AL534" i="7"/>
  <c r="AL423" i="7"/>
  <c r="AL324" i="7"/>
  <c r="AL246" i="7"/>
  <c r="AL236" i="7"/>
  <c r="AL337" i="7"/>
  <c r="AN324" i="7"/>
  <c r="AN268" i="7"/>
  <c r="AN236" i="7"/>
  <c r="AN318" i="7"/>
  <c r="AP405" i="7"/>
  <c r="AL382" i="7"/>
  <c r="AN350" i="7"/>
  <c r="AP343" i="7"/>
  <c r="AN282" i="7"/>
  <c r="AL424" i="7"/>
  <c r="AL393" i="7"/>
  <c r="AN379" i="7"/>
  <c r="AN367" i="7"/>
  <c r="AL356" i="7"/>
  <c r="AL342" i="7"/>
  <c r="AL303" i="7"/>
  <c r="AL294" i="7"/>
  <c r="AL282" i="7"/>
  <c r="AL269" i="7"/>
  <c r="AN242" i="7"/>
  <c r="AM283" i="7"/>
  <c r="AL361" i="7"/>
  <c r="AN328" i="7"/>
  <c r="AM315" i="7"/>
  <c r="AN356" i="7"/>
  <c r="AL317" i="7"/>
  <c r="AL439" i="7"/>
  <c r="AN370" i="7"/>
  <c r="AN534" i="7"/>
  <c r="AO534" i="7"/>
  <c r="AM443" i="7"/>
  <c r="AN513" i="7"/>
  <c r="AO370" i="7"/>
  <c r="AL404" i="7"/>
  <c r="AN470" i="7"/>
  <c r="AP449" i="7"/>
  <c r="AM341" i="7"/>
  <c r="AN308" i="7"/>
  <c r="AL449" i="7"/>
  <c r="AN429" i="7"/>
  <c r="AO356" i="7"/>
  <c r="AN414" i="7"/>
  <c r="AP356" i="7"/>
  <c r="AO379" i="7"/>
  <c r="AN344" i="7"/>
  <c r="AN277" i="7"/>
  <c r="AN213" i="7"/>
  <c r="AL208" i="7"/>
  <c r="AP265" i="7"/>
  <c r="AN250" i="7"/>
  <c r="AN208" i="7"/>
  <c r="AO282" i="7"/>
  <c r="AP282" i="7"/>
  <c r="AK283" i="7"/>
  <c r="AN280" i="7"/>
  <c r="AL203" i="7"/>
  <c r="AK210" i="7"/>
  <c r="AM369" i="7"/>
  <c r="AL442" i="7"/>
  <c r="AN424" i="7"/>
  <c r="AN352" i="7"/>
  <c r="AL338" i="7"/>
  <c r="AL333" i="7"/>
  <c r="AL316" i="7"/>
  <c r="AP322" i="7"/>
  <c r="AO316" i="7"/>
  <c r="AP338" i="7"/>
  <c r="AP235" i="7"/>
  <c r="AL232" i="7"/>
  <c r="AM274" i="7"/>
  <c r="AO258" i="7"/>
  <c r="AP209" i="7"/>
  <c r="AP232" i="7"/>
  <c r="AL518" i="7"/>
  <c r="AM449" i="7"/>
  <c r="AO424" i="7"/>
  <c r="AL369" i="7"/>
  <c r="AL363" i="7"/>
  <c r="AO369" i="7"/>
  <c r="AP361" i="7"/>
  <c r="AN342" i="7"/>
  <c r="AN338" i="7"/>
  <c r="AN334" i="7"/>
  <c r="AN322" i="7"/>
  <c r="AN316" i="7"/>
  <c r="AL312" i="7"/>
  <c r="AK294" i="7"/>
  <c r="AN269" i="7"/>
  <c r="AN258" i="7"/>
  <c r="AN238" i="7"/>
  <c r="AN235" i="7"/>
  <c r="AN232" i="7"/>
  <c r="AK227" i="7"/>
  <c r="AP258" i="7"/>
  <c r="AL206" i="7"/>
  <c r="AN430" i="7"/>
  <c r="AM424" i="7"/>
  <c r="AN369" i="7"/>
  <c r="AL415" i="7"/>
  <c r="AL396" i="7"/>
  <c r="AN377" i="7"/>
  <c r="AL359" i="7"/>
  <c r="AP369" i="7"/>
  <c r="AM356" i="7"/>
  <c r="AO367" i="7"/>
  <c r="AO354" i="7"/>
  <c r="AL350" i="7"/>
  <c r="AN343" i="7"/>
  <c r="AN307" i="7"/>
  <c r="AM318" i="7"/>
  <c r="AM343" i="7"/>
  <c r="AP329" i="7"/>
  <c r="AM304" i="7"/>
  <c r="AN299" i="7"/>
  <c r="AL283" i="7"/>
  <c r="AP281" i="7"/>
  <c r="AL258" i="7"/>
  <c r="AL244" i="7"/>
  <c r="AL238" i="7"/>
  <c r="AM235" i="7"/>
  <c r="AN234" i="7"/>
  <c r="AL230" i="7"/>
  <c r="AN221" i="7"/>
  <c r="AP234" i="7"/>
  <c r="AM534" i="7"/>
  <c r="AO513" i="7"/>
  <c r="AO486" i="7"/>
  <c r="AM413" i="7"/>
  <c r="AL383" i="7"/>
  <c r="AO378" i="7"/>
  <c r="AO382" i="7"/>
  <c r="AO380" i="7"/>
  <c r="AK341" i="7"/>
  <c r="AL334" i="7"/>
  <c r="AN326" i="7"/>
  <c r="AK323" i="7"/>
  <c r="AL318" i="7"/>
  <c r="AK315" i="7"/>
  <c r="AM334" i="7"/>
  <c r="AO326" i="7"/>
  <c r="AP318" i="7"/>
  <c r="AO310" i="7"/>
  <c r="AM325" i="7"/>
  <c r="AO317" i="7"/>
  <c r="AM342" i="7"/>
  <c r="AL301" i="7"/>
  <c r="AN298" i="7"/>
  <c r="AN291" i="7"/>
  <c r="AN283" i="7"/>
  <c r="AM294" i="7"/>
  <c r="AP280" i="7"/>
  <c r="AO301" i="7"/>
  <c r="AN275" i="7"/>
  <c r="AL267" i="7"/>
  <c r="AN259" i="7"/>
  <c r="AL256" i="7"/>
  <c r="AO251" i="7"/>
  <c r="AL248" i="7"/>
  <c r="AN244" i="7"/>
  <c r="AL213" i="7"/>
  <c r="AN210" i="7"/>
  <c r="AP238" i="7"/>
  <c r="AP216" i="7"/>
  <c r="AO210" i="7"/>
  <c r="AO244" i="7"/>
  <c r="AP229" i="7"/>
  <c r="AP198" i="7"/>
  <c r="AN436" i="7"/>
  <c r="AM430" i="7"/>
  <c r="AL430" i="7"/>
  <c r="AP422" i="7"/>
  <c r="AL391" i="7"/>
  <c r="AM383" i="7"/>
  <c r="AN378" i="7"/>
  <c r="AP398" i="7"/>
  <c r="AP380" i="7"/>
  <c r="AL354" i="7"/>
  <c r="AO341" i="7"/>
  <c r="AN340" i="7"/>
  <c r="AN333" i="7"/>
  <c r="AL326" i="7"/>
  <c r="AN323" i="7"/>
  <c r="AN317" i="7"/>
  <c r="AN315" i="7"/>
  <c r="AO307" i="7"/>
  <c r="AO334" i="7"/>
  <c r="AP326" i="7"/>
  <c r="AP317" i="7"/>
  <c r="AP342" i="7"/>
  <c r="AP328" i="7"/>
  <c r="AM316" i="7"/>
  <c r="AN294" i="7"/>
  <c r="AP294" i="7"/>
  <c r="AM303" i="7"/>
  <c r="AP286" i="7"/>
  <c r="AM282" i="7"/>
  <c r="AP301" i="7"/>
  <c r="AN271" i="7"/>
  <c r="AM251" i="7"/>
  <c r="AN248" i="7"/>
  <c r="AN246" i="7"/>
  <c r="AL210" i="7"/>
  <c r="AP266" i="7"/>
  <c r="AM208" i="7"/>
  <c r="AP210" i="7"/>
  <c r="AL513" i="7"/>
  <c r="AK443" i="7"/>
  <c r="AP439" i="7"/>
  <c r="AK430" i="7"/>
  <c r="AN422" i="7"/>
  <c r="AP415" i="7"/>
  <c r="AK413" i="7"/>
  <c r="AP334" i="7"/>
  <c r="AK513" i="7"/>
  <c r="AO443" i="7"/>
  <c r="AP442" i="7"/>
  <c r="AO430" i="7"/>
  <c r="AN413" i="7"/>
  <c r="AO383" i="7"/>
  <c r="AK378" i="7"/>
  <c r="AK362" i="7"/>
  <c r="AM380" i="7"/>
  <c r="AL341" i="7"/>
  <c r="AL315" i="7"/>
  <c r="AK517" i="7"/>
  <c r="AM446" i="7"/>
  <c r="AN517" i="7"/>
  <c r="AL446" i="7"/>
  <c r="AO470" i="7"/>
  <c r="AP450" i="7"/>
  <c r="AL438" i="7"/>
  <c r="AN431" i="7"/>
  <c r="AN416" i="7"/>
  <c r="AN408" i="7"/>
  <c r="AO416" i="7"/>
  <c r="AL392" i="7"/>
  <c r="AO391" i="7"/>
  <c r="AN388" i="7"/>
  <c r="AL385" i="7"/>
  <c r="AL372" i="7"/>
  <c r="AM361" i="7"/>
  <c r="AP392" i="7"/>
  <c r="AP388" i="7"/>
  <c r="AO331" i="7"/>
  <c r="AN314" i="7"/>
  <c r="AN518" i="7"/>
  <c r="AL517" i="7"/>
  <c r="AM513" i="7"/>
  <c r="AP518" i="7"/>
  <c r="AM486" i="7"/>
  <c r="AL470" i="7"/>
  <c r="AN449" i="7"/>
  <c r="AK449" i="7"/>
  <c r="AK446" i="7"/>
  <c r="AN445" i="7"/>
  <c r="AP470" i="7"/>
  <c r="AO442" i="7"/>
  <c r="AN439" i="7"/>
  <c r="AL436" i="7"/>
  <c r="AO439" i="7"/>
  <c r="AN425" i="7"/>
  <c r="AM422" i="7"/>
  <c r="AK422" i="7"/>
  <c r="AL416" i="7"/>
  <c r="AL414" i="7"/>
  <c r="AP413" i="7"/>
  <c r="AL413" i="7"/>
  <c r="AP416" i="7"/>
  <c r="AP427" i="7"/>
  <c r="AL398" i="7"/>
  <c r="AN392" i="7"/>
  <c r="AN391" i="7"/>
  <c r="AN385" i="7"/>
  <c r="AN383" i="7"/>
  <c r="AN382" i="7"/>
  <c r="AL379" i="7"/>
  <c r="AN373" i="7"/>
  <c r="AL367" i="7"/>
  <c r="AO362" i="7"/>
  <c r="AN361" i="7"/>
  <c r="AO361" i="7"/>
  <c r="AM382" i="7"/>
  <c r="AP368" i="7"/>
  <c r="AM379" i="7"/>
  <c r="AP375" i="7"/>
  <c r="AM367" i="7"/>
  <c r="AN354" i="7"/>
  <c r="AP354" i="7"/>
  <c r="AN348" i="7"/>
  <c r="AL343" i="7"/>
  <c r="AN337" i="7"/>
  <c r="AN331" i="7"/>
  <c r="AN330" i="7"/>
  <c r="AO323" i="7"/>
  <c r="AL320" i="7"/>
  <c r="AN309" i="7"/>
  <c r="AP307" i="7"/>
  <c r="AP352" i="7"/>
  <c r="AO318" i="7"/>
  <c r="AP310" i="7"/>
  <c r="AM351" i="7"/>
  <c r="AO343" i="7"/>
  <c r="AP320" i="7"/>
  <c r="AK304" i="7"/>
  <c r="AL298" i="7"/>
  <c r="AN293" i="7"/>
  <c r="AL288" i="7"/>
  <c r="AP283" i="7"/>
  <c r="AM308" i="7"/>
  <c r="AO303" i="7"/>
  <c r="AP298" i="7"/>
  <c r="AP332" i="7"/>
  <c r="AM293" i="7"/>
  <c r="AM337" i="7"/>
  <c r="AM296" i="7"/>
  <c r="AO288" i="7"/>
  <c r="AL277" i="7"/>
  <c r="AO267" i="7"/>
  <c r="AN266" i="7"/>
  <c r="AP259" i="7"/>
  <c r="AK259" i="7"/>
  <c r="AN256" i="7"/>
  <c r="AN254" i="7"/>
  <c r="AP251" i="7"/>
  <c r="AM227" i="7"/>
  <c r="AL221" i="7"/>
  <c r="AO219" i="7"/>
  <c r="AK266" i="7"/>
  <c r="AO254" i="7"/>
  <c r="AM268" i="7"/>
  <c r="AM256" i="7"/>
  <c r="AP244" i="7"/>
  <c r="AP277" i="7"/>
  <c r="AK229" i="7"/>
  <c r="AO221" i="7"/>
  <c r="AO304" i="7"/>
  <c r="AN303" i="7"/>
  <c r="AL296" i="7"/>
  <c r="AL293" i="7"/>
  <c r="AN288" i="7"/>
  <c r="AO308" i="7"/>
  <c r="AP303" i="7"/>
  <c r="AP312" i="7"/>
  <c r="AM301" i="7"/>
  <c r="AO293" i="7"/>
  <c r="AP285" i="7"/>
  <c r="AP337" i="7"/>
  <c r="AP296" i="7"/>
  <c r="AP288" i="7"/>
  <c r="AN267" i="7"/>
  <c r="AL266" i="7"/>
  <c r="AM259" i="7"/>
  <c r="AO259" i="7"/>
  <c r="AL254" i="7"/>
  <c r="AL251" i="7"/>
  <c r="AO243" i="7"/>
  <c r="AO235" i="7"/>
  <c r="AN229" i="7"/>
  <c r="AP219" i="7"/>
  <c r="AN218" i="7"/>
  <c r="AP211" i="7"/>
  <c r="AM266" i="7"/>
  <c r="AP254" i="7"/>
  <c r="AP268" i="7"/>
  <c r="AP256" i="7"/>
  <c r="AP269" i="7"/>
  <c r="AM229" i="7"/>
  <c r="AP221" i="7"/>
  <c r="AP213" i="7"/>
  <c r="AM276" i="7"/>
  <c r="AM248" i="7"/>
  <c r="AM236" i="7"/>
  <c r="AL204" i="7"/>
  <c r="AL201" i="7"/>
  <c r="AN197" i="7"/>
  <c r="AM203" i="7"/>
  <c r="AP202" i="7"/>
  <c r="AM198" i="7"/>
  <c r="AM197" i="7"/>
  <c r="AM517" i="7"/>
  <c r="AO517" i="7"/>
  <c r="AN448" i="7"/>
  <c r="AO446" i="7"/>
  <c r="AM470" i="7"/>
  <c r="AK450" i="7"/>
  <c r="AN442" i="7"/>
  <c r="AM436" i="7"/>
  <c r="AL431" i="7"/>
  <c r="AO422" i="7"/>
  <c r="AP431" i="7"/>
  <c r="AM423" i="7"/>
  <c r="AN407" i="7"/>
  <c r="AM416" i="7"/>
  <c r="AP414" i="7"/>
  <c r="AP399" i="7"/>
  <c r="AM391" i="7"/>
  <c r="AK391" i="7"/>
  <c r="AL388" i="7"/>
  <c r="AL375" i="7"/>
  <c r="AN363" i="7"/>
  <c r="AO392" i="7"/>
  <c r="AP382" i="7"/>
  <c r="AM388" i="7"/>
  <c r="AP372" i="7"/>
  <c r="AM364" i="7"/>
  <c r="AP379" i="7"/>
  <c r="AP367" i="7"/>
  <c r="AL352" i="7"/>
  <c r="AO349" i="7"/>
  <c r="AL344" i="7"/>
  <c r="AL336" i="7"/>
  <c r="AK331" i="7"/>
  <c r="AL308" i="7"/>
  <c r="AN304" i="7"/>
  <c r="AN296" i="7"/>
  <c r="AP308" i="7"/>
  <c r="AP293" i="7"/>
  <c r="AL268" i="7"/>
  <c r="AL240" i="7"/>
  <c r="AL229" i="7"/>
  <c r="AM219" i="7"/>
  <c r="AL218" i="7"/>
  <c r="AP249" i="7"/>
  <c r="AP237" i="7"/>
  <c r="AO248" i="7"/>
  <c r="AP236" i="7"/>
  <c r="AO204" i="7"/>
  <c r="AN203" i="7"/>
  <c r="AN198" i="7"/>
  <c r="AP203" i="7"/>
  <c r="AO198" i="7"/>
  <c r="AP197" i="7"/>
  <c r="AL521" i="7"/>
  <c r="AN521" i="7"/>
  <c r="AL541" i="7"/>
  <c r="AO541" i="7"/>
  <c r="AP534" i="7"/>
  <c r="AO521" i="7"/>
  <c r="AL489" i="7"/>
  <c r="AM489" i="7"/>
  <c r="AL450" i="7"/>
  <c r="AL448" i="7"/>
  <c r="AM448" i="7"/>
  <c r="AM450" i="7"/>
  <c r="AN443" i="7"/>
  <c r="AN441" i="7"/>
  <c r="AM441" i="7"/>
  <c r="AL437" i="7"/>
  <c r="AK436" i="7"/>
  <c r="AM438" i="7"/>
  <c r="AL429" i="7"/>
  <c r="AL425" i="7"/>
  <c r="AN423" i="7"/>
  <c r="AL419" i="7"/>
  <c r="AO423" i="7"/>
  <c r="AK415" i="7"/>
  <c r="AL408" i="7"/>
  <c r="AM405" i="7"/>
  <c r="AK405" i="7"/>
  <c r="AM408" i="7"/>
  <c r="AM429" i="7"/>
  <c r="AM404" i="7"/>
  <c r="AM437" i="7"/>
  <c r="AP424" i="7"/>
  <c r="AM407" i="7"/>
  <c r="AM425" i="7"/>
  <c r="AM399" i="7"/>
  <c r="AK399" i="7"/>
  <c r="AL390" i="7"/>
  <c r="AL373" i="7"/>
  <c r="AM370" i="7"/>
  <c r="AL370" i="7"/>
  <c r="AN364" i="7"/>
  <c r="AN362" i="7"/>
  <c r="AP362" i="7"/>
  <c r="AM398" i="7"/>
  <c r="AO390" i="7"/>
  <c r="AO373" i="7"/>
  <c r="AM393" i="7"/>
  <c r="AO385" i="7"/>
  <c r="AK372" i="7"/>
  <c r="AP364" i="7"/>
  <c r="AM363" i="7"/>
  <c r="AN353" i="7"/>
  <c r="AN351" i="7"/>
  <c r="AN349" i="7"/>
  <c r="AP349" i="7"/>
  <c r="AN325" i="7"/>
  <c r="AO315" i="7"/>
  <c r="AN310" i="7"/>
  <c r="AM307" i="7"/>
  <c r="AL307" i="7"/>
  <c r="AP353" i="7"/>
  <c r="AM352" i="7"/>
  <c r="AO344" i="7"/>
  <c r="AK326" i="7"/>
  <c r="AK310" i="7"/>
  <c r="AO351" i="7"/>
  <c r="AP339" i="7"/>
  <c r="AM333" i="7"/>
  <c r="AP325" i="7"/>
  <c r="AM328" i="7"/>
  <c r="AP316" i="7"/>
  <c r="AL299" i="7"/>
  <c r="AO291" i="7"/>
  <c r="AN285" i="7"/>
  <c r="AM280" i="7"/>
  <c r="AP350" i="7"/>
  <c r="AP346" i="7"/>
  <c r="AM324" i="7"/>
  <c r="AM285" i="7"/>
  <c r="AL276" i="7"/>
  <c r="AK275" i="7"/>
  <c r="AN274" i="7"/>
  <c r="AM267" i="7"/>
  <c r="AP267" i="7"/>
  <c r="AN261" i="7"/>
  <c r="AL255" i="7"/>
  <c r="AL253" i="7"/>
  <c r="AN245" i="7"/>
  <c r="AN243" i="7"/>
  <c r="AL243" i="7"/>
  <c r="AN237" i="7"/>
  <c r="AO231" i="7"/>
  <c r="AO227" i="7"/>
  <c r="AL224" i="7"/>
  <c r="AL216" i="7"/>
  <c r="AM211" i="7"/>
  <c r="AO211" i="7"/>
  <c r="AM238" i="7"/>
  <c r="AP230" i="7"/>
  <c r="AP218" i="7"/>
  <c r="AP252" i="7"/>
  <c r="AM216" i="7"/>
  <c r="AP208" i="7"/>
  <c r="AP274" i="7"/>
  <c r="AM246" i="7"/>
  <c r="AM261" i="7"/>
  <c r="AM253" i="7"/>
  <c r="AP245" i="7"/>
  <c r="AK237" i="7"/>
  <c r="AO276" i="7"/>
  <c r="AP248" i="7"/>
  <c r="AP228" i="7"/>
  <c r="AM204" i="7"/>
  <c r="AP207" i="7"/>
  <c r="AM206" i="7"/>
  <c r="AM541" i="7"/>
  <c r="AM521" i="7"/>
  <c r="AN541" i="7"/>
  <c r="AP541" i="7"/>
  <c r="AP521" i="7"/>
  <c r="AM518" i="7"/>
  <c r="AN489" i="7"/>
  <c r="AK486" i="7"/>
  <c r="AP489" i="7"/>
  <c r="AN450" i="7"/>
  <c r="AN446" i="7"/>
  <c r="AO448" i="7"/>
  <c r="AP443" i="7"/>
  <c r="AM442" i="7"/>
  <c r="AL441" i="7"/>
  <c r="AO441" i="7"/>
  <c r="AN437" i="7"/>
  <c r="AO436" i="7"/>
  <c r="AM439" i="7"/>
  <c r="AO438" i="7"/>
  <c r="AM431" i="7"/>
  <c r="AP423" i="7"/>
  <c r="AM415" i="7"/>
  <c r="AL407" i="7"/>
  <c r="AO405" i="7"/>
  <c r="AN404" i="7"/>
  <c r="AO408" i="7"/>
  <c r="AP429" i="7"/>
  <c r="AO404" i="7"/>
  <c r="AP437" i="7"/>
  <c r="AM414" i="7"/>
  <c r="AO407" i="7"/>
  <c r="AP425" i="7"/>
  <c r="AO399" i="7"/>
  <c r="AN398" i="7"/>
  <c r="AN393" i="7"/>
  <c r="AK383" i="7"/>
  <c r="AM378" i="7"/>
  <c r="AL378" i="7"/>
  <c r="AN372" i="7"/>
  <c r="AK370" i="7"/>
  <c r="AL364" i="7"/>
  <c r="AM362" i="7"/>
  <c r="AM392" i="7"/>
  <c r="AO398" i="7"/>
  <c r="AP390" i="7"/>
  <c r="AP373" i="7"/>
  <c r="AK388" i="7"/>
  <c r="AP393" i="7"/>
  <c r="AP385" i="7"/>
  <c r="AM372" i="7"/>
  <c r="AO363" i="7"/>
  <c r="AL351" i="7"/>
  <c r="AM349" i="7"/>
  <c r="AL349" i="7"/>
  <c r="AL346" i="7"/>
  <c r="AM331" i="7"/>
  <c r="AL331" i="7"/>
  <c r="AL328" i="7"/>
  <c r="AL325" i="7"/>
  <c r="AM323" i="7"/>
  <c r="AL323" i="7"/>
  <c r="AL310" i="7"/>
  <c r="AN306" i="7"/>
  <c r="AO352" i="7"/>
  <c r="AP344" i="7"/>
  <c r="AP351" i="7"/>
  <c r="AO333" i="7"/>
  <c r="AP321" i="7"/>
  <c r="AM317" i="7"/>
  <c r="AO328" i="7"/>
  <c r="AP299" i="7"/>
  <c r="AP295" i="7"/>
  <c r="AP291" i="7"/>
  <c r="AN290" i="7"/>
  <c r="AL285" i="7"/>
  <c r="AL280" i="7"/>
  <c r="AO280" i="7"/>
  <c r="AM298" i="7"/>
  <c r="AM338" i="7"/>
  <c r="AP324" i="7"/>
  <c r="AO285" i="7"/>
  <c r="AM288" i="7"/>
  <c r="AO279" i="7"/>
  <c r="AN276" i="7"/>
  <c r="AO275" i="7"/>
  <c r="AL274" i="7"/>
  <c r="AL261" i="7"/>
  <c r="AN251" i="7"/>
  <c r="AL245" i="7"/>
  <c r="AM243" i="7"/>
  <c r="AP243" i="7"/>
  <c r="AL237" i="7"/>
  <c r="AK235" i="7"/>
  <c r="AN230" i="7"/>
  <c r="AL227" i="7"/>
  <c r="AN226" i="7"/>
  <c r="AK219" i="7"/>
  <c r="AN216" i="7"/>
  <c r="AL211" i="7"/>
  <c r="AM254" i="7"/>
  <c r="AO238" i="7"/>
  <c r="AP214" i="7"/>
  <c r="AO216" i="7"/>
  <c r="AP270" i="7"/>
  <c r="AM258" i="7"/>
  <c r="AO246" i="7"/>
  <c r="AM244" i="7"/>
  <c r="AM277" i="7"/>
  <c r="AM269" i="7"/>
  <c r="AP261" i="7"/>
  <c r="AP253" i="7"/>
  <c r="AP241" i="7"/>
  <c r="AM237" i="7"/>
  <c r="AM221" i="7"/>
  <c r="AM213" i="7"/>
  <c r="AP276" i="7"/>
  <c r="AM232" i="7"/>
  <c r="AN206" i="7"/>
  <c r="AO206" i="7"/>
  <c r="AP448" i="7"/>
  <c r="AP441" i="7"/>
  <c r="AN438" i="7"/>
  <c r="AP438" i="7"/>
  <c r="AN415" i="7"/>
  <c r="AN405" i="7"/>
  <c r="AP408" i="7"/>
  <c r="AP404" i="7"/>
  <c r="AP407" i="7"/>
  <c r="AN399" i="7"/>
  <c r="AP363" i="7"/>
  <c r="AP333" i="7"/>
  <c r="AP246" i="7"/>
  <c r="AP206" i="7"/>
  <c r="AM390" i="7"/>
  <c r="AM373" i="7"/>
  <c r="AM385" i="7"/>
  <c r="AM344" i="7"/>
  <c r="AM299" i="7"/>
  <c r="AO299" i="7"/>
  <c r="AM291" i="7"/>
  <c r="AK291" i="7"/>
  <c r="AM350" i="7"/>
  <c r="AP284" i="7"/>
  <c r="AM275" i="7"/>
  <c r="AP275" i="7"/>
  <c r="AN211" i="7"/>
  <c r="AM230" i="7"/>
  <c r="AM218" i="7"/>
  <c r="AM245" i="7"/>
  <c r="AO465" i="7"/>
  <c r="AM465" i="7"/>
  <c r="AK465" i="7"/>
  <c r="AL465" i="7"/>
  <c r="AO418" i="7"/>
  <c r="AL418" i="7"/>
  <c r="AM418" i="7"/>
  <c r="AN418" i="7"/>
  <c r="AP418" i="7"/>
  <c r="AO411" i="7"/>
  <c r="AN411" i="7"/>
  <c r="AM411" i="7"/>
  <c r="AL411" i="7"/>
  <c r="AK411" i="7"/>
  <c r="AO447" i="7"/>
  <c r="AL447" i="7"/>
  <c r="AM447" i="7"/>
  <c r="AN447" i="7"/>
  <c r="AK447" i="7"/>
  <c r="AO428" i="7"/>
  <c r="AL428" i="7"/>
  <c r="AM428" i="7"/>
  <c r="AN428" i="7"/>
  <c r="AK428" i="7"/>
  <c r="AO421" i="7"/>
  <c r="AM421" i="7"/>
  <c r="AK421" i="7"/>
  <c r="AL421" i="7"/>
  <c r="AO419" i="7"/>
  <c r="AM419" i="7"/>
  <c r="AK419" i="7"/>
  <c r="AN419" i="7"/>
  <c r="AO406" i="7"/>
  <c r="AN406" i="7"/>
  <c r="AM406" i="7"/>
  <c r="AL406" i="7"/>
  <c r="AK406" i="7"/>
  <c r="AO365" i="7"/>
  <c r="AL365" i="7"/>
  <c r="AM365" i="7"/>
  <c r="AN365" i="7"/>
  <c r="AK365" i="7"/>
  <c r="AO377" i="7"/>
  <c r="AM377" i="7"/>
  <c r="AK377" i="7"/>
  <c r="AL377" i="7"/>
  <c r="AO397" i="7"/>
  <c r="AN397" i="7"/>
  <c r="AM397" i="7"/>
  <c r="AL397" i="7"/>
  <c r="AK397" i="7"/>
  <c r="AP465" i="7"/>
  <c r="AN435" i="7"/>
  <c r="AK418" i="7"/>
  <c r="AL410" i="7"/>
  <c r="AP411" i="7"/>
  <c r="AP498" i="7"/>
  <c r="AK498" i="7"/>
  <c r="AM498" i="7"/>
  <c r="AL498" i="7"/>
  <c r="AN498" i="7"/>
  <c r="AO401" i="7"/>
  <c r="AK401" i="7"/>
  <c r="AM401" i="7"/>
  <c r="AL401" i="7"/>
  <c r="AN401" i="7"/>
  <c r="AO410" i="7"/>
  <c r="AM410" i="7"/>
  <c r="AK410" i="7"/>
  <c r="AN410" i="7"/>
  <c r="AO384" i="7"/>
  <c r="AN384" i="7"/>
  <c r="AM384" i="7"/>
  <c r="AL384" i="7"/>
  <c r="AK384" i="7"/>
  <c r="AO389" i="7"/>
  <c r="AL389" i="7"/>
  <c r="AM389" i="7"/>
  <c r="AN389" i="7"/>
  <c r="AK389" i="7"/>
  <c r="AO553" i="7"/>
  <c r="AN553" i="7"/>
  <c r="AM553" i="7"/>
  <c r="AL553" i="7"/>
  <c r="AK553" i="7"/>
  <c r="AO550" i="7"/>
  <c r="AN550" i="7"/>
  <c r="AM550" i="7"/>
  <c r="AL550" i="7"/>
  <c r="AK550" i="7"/>
  <c r="AK432" i="7"/>
  <c r="AL432" i="7"/>
  <c r="AM432" i="7"/>
  <c r="AP432" i="7"/>
  <c r="AN432" i="7"/>
  <c r="AO434" i="7"/>
  <c r="AL434" i="7"/>
  <c r="AM434" i="7"/>
  <c r="AN434" i="7"/>
  <c r="AK434" i="7"/>
  <c r="AO433" i="7"/>
  <c r="AM433" i="7"/>
  <c r="AK433" i="7"/>
  <c r="AN433" i="7"/>
  <c r="AO403" i="7"/>
  <c r="AL403" i="7"/>
  <c r="AM403" i="7"/>
  <c r="AN403" i="7"/>
  <c r="AK403" i="7"/>
  <c r="AO395" i="7"/>
  <c r="AK395" i="7"/>
  <c r="AM395" i="7"/>
  <c r="AP395" i="7"/>
  <c r="AL395" i="7"/>
  <c r="AO387" i="7"/>
  <c r="AK387" i="7"/>
  <c r="AM387" i="7"/>
  <c r="AL387" i="7"/>
  <c r="AN387" i="7"/>
  <c r="AK374" i="7"/>
  <c r="AP374" i="7"/>
  <c r="AM374" i="7"/>
  <c r="AL374" i="7"/>
  <c r="AN374" i="7"/>
  <c r="AK366" i="7"/>
  <c r="AL366" i="7"/>
  <c r="AM366" i="7"/>
  <c r="AP366" i="7"/>
  <c r="AN366" i="7"/>
  <c r="AO400" i="7"/>
  <c r="AN400" i="7"/>
  <c r="AM400" i="7"/>
  <c r="AL400" i="7"/>
  <c r="AK400" i="7"/>
  <c r="AO394" i="7"/>
  <c r="AL394" i="7"/>
  <c r="AM394" i="7"/>
  <c r="AN394" i="7"/>
  <c r="AK394" i="7"/>
  <c r="AO381" i="7"/>
  <c r="AL381" i="7"/>
  <c r="AM381" i="7"/>
  <c r="AN381" i="7"/>
  <c r="AK381" i="7"/>
  <c r="AO537" i="7"/>
  <c r="AN537" i="7"/>
  <c r="AM537" i="7"/>
  <c r="AL537" i="7"/>
  <c r="AK537" i="7"/>
  <c r="AO435" i="7"/>
  <c r="AM435" i="7"/>
  <c r="AK435" i="7"/>
  <c r="AL435" i="7"/>
  <c r="AL426" i="7"/>
  <c r="AN426" i="7"/>
  <c r="AM426" i="7"/>
  <c r="AO426" i="7"/>
  <c r="AP426" i="7"/>
  <c r="AO386" i="7"/>
  <c r="AL386" i="7"/>
  <c r="AM386" i="7"/>
  <c r="AN386" i="7"/>
  <c r="AK386" i="7"/>
  <c r="AO376" i="7"/>
  <c r="AL376" i="7"/>
  <c r="AM376" i="7"/>
  <c r="AN376" i="7"/>
  <c r="AK376" i="7"/>
  <c r="AO526" i="7"/>
  <c r="AN526" i="7"/>
  <c r="AM526" i="7"/>
  <c r="AL526" i="7"/>
  <c r="AK526" i="7"/>
  <c r="AO512" i="7"/>
  <c r="AM512" i="7"/>
  <c r="AK512" i="7"/>
  <c r="AN512" i="7"/>
  <c r="AO440" i="7"/>
  <c r="AM440" i="7"/>
  <c r="AK440" i="7"/>
  <c r="AN440" i="7"/>
  <c r="AP417" i="7"/>
  <c r="AK417" i="7"/>
  <c r="AM417" i="7"/>
  <c r="AL417" i="7"/>
  <c r="AN417" i="7"/>
  <c r="AO402" i="7"/>
  <c r="AM402" i="7"/>
  <c r="AK402" i="7"/>
  <c r="AN402" i="7"/>
  <c r="AO412" i="7"/>
  <c r="AM412" i="7"/>
  <c r="AK412" i="7"/>
  <c r="AL412" i="7"/>
  <c r="AK358" i="7"/>
  <c r="AP358" i="7"/>
  <c r="AM358" i="7"/>
  <c r="AL358" i="7"/>
  <c r="AN358" i="7"/>
  <c r="AO505" i="7"/>
  <c r="AP505" i="7"/>
  <c r="AM505" i="7"/>
  <c r="AL505" i="7"/>
  <c r="AK505" i="7"/>
  <c r="AO445" i="7"/>
  <c r="AM445" i="7"/>
  <c r="AK445" i="7"/>
  <c r="AL445" i="7"/>
  <c r="AO444" i="7"/>
  <c r="AN444" i="7"/>
  <c r="AM444" i="7"/>
  <c r="AL444" i="7"/>
  <c r="AK444" i="7"/>
  <c r="AO420" i="7"/>
  <c r="AL420" i="7"/>
  <c r="AM420" i="7"/>
  <c r="AN420" i="7"/>
  <c r="AK420" i="7"/>
  <c r="AO409" i="7"/>
  <c r="AK409" i="7"/>
  <c r="AM409" i="7"/>
  <c r="AP409" i="7"/>
  <c r="AN409" i="7"/>
  <c r="AO427" i="7"/>
  <c r="AM427" i="7"/>
  <c r="AK427" i="7"/>
  <c r="AN427" i="7"/>
  <c r="AO357" i="7"/>
  <c r="AL357" i="7"/>
  <c r="AM357" i="7"/>
  <c r="AN357" i="7"/>
  <c r="AK357" i="7"/>
  <c r="AP553" i="7"/>
  <c r="AP550" i="7"/>
  <c r="AP526" i="7"/>
  <c r="AP512" i="7"/>
  <c r="AP440" i="7"/>
  <c r="AO432" i="7"/>
  <c r="AP434" i="7"/>
  <c r="AR430" i="7"/>
  <c r="AN421" i="7"/>
  <c r="AO417" i="7"/>
  <c r="AP433" i="7"/>
  <c r="AP402" i="7"/>
  <c r="AP412" i="7"/>
  <c r="AP403" i="7"/>
  <c r="AN395" i="7"/>
  <c r="AP387" i="7"/>
  <c r="AO374" i="7"/>
  <c r="AO366" i="7"/>
  <c r="AO358" i="7"/>
  <c r="AP400" i="7"/>
  <c r="AP394" i="7"/>
  <c r="AP381" i="7"/>
  <c r="AP371" i="7"/>
  <c r="AP355" i="7"/>
  <c r="AO518" i="7"/>
  <c r="AP486" i="7"/>
  <c r="AO489" i="7"/>
  <c r="AO431" i="7"/>
  <c r="AO429" i="7"/>
  <c r="AO437" i="7"/>
  <c r="AO414" i="7"/>
  <c r="AO425" i="7"/>
  <c r="AN396" i="7"/>
  <c r="AN375" i="7"/>
  <c r="AN359" i="7"/>
  <c r="AO393" i="7"/>
  <c r="AK368" i="7"/>
  <c r="AO364" i="7"/>
  <c r="AK360" i="7"/>
  <c r="AK396" i="7"/>
  <c r="AK371" i="7"/>
  <c r="AK375" i="7"/>
  <c r="AK359" i="7"/>
  <c r="AL353" i="7"/>
  <c r="AL348" i="7"/>
  <c r="AN346" i="7"/>
  <c r="AN345" i="7"/>
  <c r="AL345" i="7"/>
  <c r="AL340" i="7"/>
  <c r="AN336" i="7"/>
  <c r="AN335" i="7"/>
  <c r="AP335" i="7"/>
  <c r="AL330" i="7"/>
  <c r="AN327" i="7"/>
  <c r="AP327" i="7"/>
  <c r="AL322" i="7"/>
  <c r="AN320" i="7"/>
  <c r="AN319" i="7"/>
  <c r="AP319" i="7"/>
  <c r="AL314" i="7"/>
  <c r="AN312" i="7"/>
  <c r="AN311" i="7"/>
  <c r="AL311" i="7"/>
  <c r="AL309" i="7"/>
  <c r="AL306" i="7"/>
  <c r="AK353" i="7"/>
  <c r="AK348" i="7"/>
  <c r="AK340" i="7"/>
  <c r="AK330" i="7"/>
  <c r="AK322" i="7"/>
  <c r="AK314" i="7"/>
  <c r="AK306" i="7"/>
  <c r="AK347" i="7"/>
  <c r="AK339" i="7"/>
  <c r="AK329" i="7"/>
  <c r="AO325" i="7"/>
  <c r="AK321" i="7"/>
  <c r="AK313" i="7"/>
  <c r="AO342" i="7"/>
  <c r="AK336" i="7"/>
  <c r="AK320" i="7"/>
  <c r="AN295" i="7"/>
  <c r="AK295" i="7"/>
  <c r="AL290" i="7"/>
  <c r="AN287" i="7"/>
  <c r="AK287" i="7"/>
  <c r="AK290" i="7"/>
  <c r="AK355" i="7"/>
  <c r="AO350" i="7"/>
  <c r="AK309" i="7"/>
  <c r="AK305" i="7"/>
  <c r="AK302" i="7"/>
  <c r="AO298" i="7"/>
  <c r="AK286" i="7"/>
  <c r="AK346" i="7"/>
  <c r="AO338" i="7"/>
  <c r="AK332" i="7"/>
  <c r="AO324" i="7"/>
  <c r="AK312" i="7"/>
  <c r="AK297" i="7"/>
  <c r="AK289" i="7"/>
  <c r="AK281" i="7"/>
  <c r="AO337" i="7"/>
  <c r="AK300" i="7"/>
  <c r="AO296" i="7"/>
  <c r="AK292" i="7"/>
  <c r="AK284" i="7"/>
  <c r="AN279" i="7"/>
  <c r="AL279" i="7"/>
  <c r="AN272" i="7"/>
  <c r="AL271" i="7"/>
  <c r="AP271" i="7"/>
  <c r="AN264" i="7"/>
  <c r="AN263" i="7"/>
  <c r="AL263" i="7"/>
  <c r="AP255" i="7"/>
  <c r="AK255" i="7"/>
  <c r="AL250" i="7"/>
  <c r="AN247" i="7"/>
  <c r="AP247" i="7"/>
  <c r="AL242" i="7"/>
  <c r="AN240" i="7"/>
  <c r="AL239" i="7"/>
  <c r="AP239" i="7"/>
  <c r="AL234" i="7"/>
  <c r="AN231" i="7"/>
  <c r="AP231" i="7"/>
  <c r="AL226" i="7"/>
  <c r="AN224" i="7"/>
  <c r="AN223" i="7"/>
  <c r="AP223" i="7"/>
  <c r="AN215" i="7"/>
  <c r="AL215" i="7"/>
  <c r="AK262" i="7"/>
  <c r="AK242" i="7"/>
  <c r="AK234" i="7"/>
  <c r="AO230" i="7"/>
  <c r="AK222" i="7"/>
  <c r="AO218" i="7"/>
  <c r="AK214" i="7"/>
  <c r="AO268" i="7"/>
  <c r="AK260" i="7"/>
  <c r="AO256" i="7"/>
  <c r="AK252" i="7"/>
  <c r="AK212" i="7"/>
  <c r="AO208" i="7"/>
  <c r="AK278" i="7"/>
  <c r="AO274" i="7"/>
  <c r="AK270" i="7"/>
  <c r="AK250" i="7"/>
  <c r="AK226" i="7"/>
  <c r="AK272" i="7"/>
  <c r="AK224" i="7"/>
  <c r="AO277" i="7"/>
  <c r="AK273" i="7"/>
  <c r="AO269" i="7"/>
  <c r="AK265" i="7"/>
  <c r="AO261" i="7"/>
  <c r="AK257" i="7"/>
  <c r="AO253" i="7"/>
  <c r="AK249" i="7"/>
  <c r="AO245" i="7"/>
  <c r="AK241" i="7"/>
  <c r="AK233" i="7"/>
  <c r="AK225" i="7"/>
  <c r="AK217" i="7"/>
  <c r="AO213" i="7"/>
  <c r="AK209" i="7"/>
  <c r="AK264" i="7"/>
  <c r="AK240" i="7"/>
  <c r="AO236" i="7"/>
  <c r="AK228" i="7"/>
  <c r="AO232" i="7"/>
  <c r="AK220" i="7"/>
  <c r="AK204" i="7"/>
  <c r="AN201" i="7"/>
  <c r="AN200" i="7"/>
  <c r="AP200" i="7"/>
  <c r="AK207" i="7"/>
  <c r="AO203" i="7"/>
  <c r="AK199" i="7"/>
  <c r="AK202" i="7"/>
  <c r="AK205" i="7"/>
  <c r="AO197" i="7"/>
  <c r="AK201" i="7"/>
  <c r="AP360" i="7"/>
  <c r="AP396" i="7"/>
  <c r="AP359" i="7"/>
  <c r="AO345" i="7"/>
  <c r="AO335" i="7"/>
  <c r="AP348" i="7"/>
  <c r="AP330" i="7"/>
  <c r="AP347" i="7"/>
  <c r="AP336" i="7"/>
  <c r="AP287" i="7"/>
  <c r="AP290" i="7"/>
  <c r="AP305" i="7"/>
  <c r="AP302" i="7"/>
  <c r="AP297" i="7"/>
  <c r="AP289" i="7"/>
  <c r="AP292" i="7"/>
  <c r="AP263" i="7"/>
  <c r="AL247" i="7"/>
  <c r="AN239" i="7"/>
  <c r="AL223" i="7"/>
  <c r="AP215" i="7"/>
  <c r="AP222" i="7"/>
  <c r="AP212" i="7"/>
  <c r="AP226" i="7"/>
  <c r="AP224" i="7"/>
  <c r="AP233" i="7"/>
  <c r="AP217" i="7"/>
  <c r="AP240" i="7"/>
  <c r="AO200" i="7"/>
  <c r="AP199" i="7"/>
  <c r="AL371" i="7"/>
  <c r="AN368" i="7"/>
  <c r="AN360" i="7"/>
  <c r="AM368" i="7"/>
  <c r="AM360" i="7"/>
  <c r="AM396" i="7"/>
  <c r="AM371" i="7"/>
  <c r="AM375" i="7"/>
  <c r="AM359" i="7"/>
  <c r="AL355" i="7"/>
  <c r="AN347" i="7"/>
  <c r="AM345" i="7"/>
  <c r="AP345" i="7"/>
  <c r="AN339" i="7"/>
  <c r="AM335" i="7"/>
  <c r="AL335" i="7"/>
  <c r="AL332" i="7"/>
  <c r="AN329" i="7"/>
  <c r="AM327" i="7"/>
  <c r="AL327" i="7"/>
  <c r="AN321" i="7"/>
  <c r="AM319" i="7"/>
  <c r="AL319" i="7"/>
  <c r="AN313" i="7"/>
  <c r="AM311" i="7"/>
  <c r="AP311" i="7"/>
  <c r="AL305" i="7"/>
  <c r="AM353" i="7"/>
  <c r="AM348" i="7"/>
  <c r="AM340" i="7"/>
  <c r="AM330" i="7"/>
  <c r="AM322" i="7"/>
  <c r="AM314" i="7"/>
  <c r="AM306" i="7"/>
  <c r="AM347" i="7"/>
  <c r="AM339" i="7"/>
  <c r="AM329" i="7"/>
  <c r="AM321" i="7"/>
  <c r="AM313" i="7"/>
  <c r="AM336" i="7"/>
  <c r="AM320" i="7"/>
  <c r="AN302" i="7"/>
  <c r="AL300" i="7"/>
  <c r="AN297" i="7"/>
  <c r="AM295" i="7"/>
  <c r="AO295" i="7"/>
  <c r="AL292" i="7"/>
  <c r="AN289" i="7"/>
  <c r="AM287" i="7"/>
  <c r="AO287" i="7"/>
  <c r="AN286" i="7"/>
  <c r="AL284" i="7"/>
  <c r="AL281" i="7"/>
  <c r="AM290" i="7"/>
  <c r="AM355" i="7"/>
  <c r="AM309" i="7"/>
  <c r="AM305" i="7"/>
  <c r="AM302" i="7"/>
  <c r="AM286" i="7"/>
  <c r="AM346" i="7"/>
  <c r="AM332" i="7"/>
  <c r="AM312" i="7"/>
  <c r="AM297" i="7"/>
  <c r="AM289" i="7"/>
  <c r="AM281" i="7"/>
  <c r="AM300" i="7"/>
  <c r="AM292" i="7"/>
  <c r="AM284" i="7"/>
  <c r="AM279" i="7"/>
  <c r="AP279" i="7"/>
  <c r="AN278" i="7"/>
  <c r="AN273" i="7"/>
  <c r="AM271" i="7"/>
  <c r="AK271" i="7"/>
  <c r="AN270" i="7"/>
  <c r="AN265" i="7"/>
  <c r="AM263" i="7"/>
  <c r="AK263" i="7"/>
  <c r="AN262" i="7"/>
  <c r="AL260" i="7"/>
  <c r="AN257" i="7"/>
  <c r="AM255" i="7"/>
  <c r="AO255" i="7"/>
  <c r="AL252" i="7"/>
  <c r="AN249" i="7"/>
  <c r="AM247" i="7"/>
  <c r="AK247" i="7"/>
  <c r="AN241" i="7"/>
  <c r="AM239" i="7"/>
  <c r="AK239" i="7"/>
  <c r="AN233" i="7"/>
  <c r="AM231" i="7"/>
  <c r="AL231" i="7"/>
  <c r="AL228" i="7"/>
  <c r="AN225" i="7"/>
  <c r="AM223" i="7"/>
  <c r="AK223" i="7"/>
  <c r="AN222" i="7"/>
  <c r="AL220" i="7"/>
  <c r="AN217" i="7"/>
  <c r="AM215" i="7"/>
  <c r="AK215" i="7"/>
  <c r="AN214" i="7"/>
  <c r="AL212" i="7"/>
  <c r="AN209" i="7"/>
  <c r="AM262" i="7"/>
  <c r="AM242" i="7"/>
  <c r="AM234" i="7"/>
  <c r="AM222" i="7"/>
  <c r="AM214" i="7"/>
  <c r="AM260" i="7"/>
  <c r="AM252" i="7"/>
  <c r="AM212" i="7"/>
  <c r="AM278" i="7"/>
  <c r="AM270" i="7"/>
  <c r="AM250" i="7"/>
  <c r="AM226" i="7"/>
  <c r="AM272" i="7"/>
  <c r="AM224" i="7"/>
  <c r="AM273" i="7"/>
  <c r="AM265" i="7"/>
  <c r="AM257" i="7"/>
  <c r="AM249" i="7"/>
  <c r="AM241" i="7"/>
  <c r="AM233" i="7"/>
  <c r="AM225" i="7"/>
  <c r="AM217" i="7"/>
  <c r="AM209" i="7"/>
  <c r="AM264" i="7"/>
  <c r="AM240" i="7"/>
  <c r="AM228" i="7"/>
  <c r="AM220" i="7"/>
  <c r="AN207" i="7"/>
  <c r="AL205" i="7"/>
  <c r="AN202" i="7"/>
  <c r="AM200" i="7"/>
  <c r="AL200" i="7"/>
  <c r="AN199" i="7"/>
  <c r="AM207" i="7"/>
  <c r="AM199" i="7"/>
  <c r="AM202" i="7"/>
  <c r="AM205" i="7"/>
  <c r="AM201" i="7"/>
  <c r="AO327" i="7"/>
  <c r="AO319" i="7"/>
  <c r="AO311" i="7"/>
  <c r="AP340" i="7"/>
  <c r="AP314" i="7"/>
  <c r="AP306" i="7"/>
  <c r="AP313" i="7"/>
  <c r="AP309" i="7"/>
  <c r="AP300" i="7"/>
  <c r="AP262" i="7"/>
  <c r="AP242" i="7"/>
  <c r="AP260" i="7"/>
  <c r="AP278" i="7"/>
  <c r="AP250" i="7"/>
  <c r="AP272" i="7"/>
  <c r="AP273" i="7"/>
  <c r="AP257" i="7"/>
  <c r="AP225" i="7"/>
  <c r="AP264" i="7"/>
  <c r="AP220" i="7"/>
  <c r="AP205" i="7"/>
  <c r="AP201" i="7"/>
  <c r="AN486" i="7"/>
  <c r="AN371" i="7"/>
  <c r="AL368" i="7"/>
  <c r="AL360" i="7"/>
  <c r="AN355" i="7"/>
  <c r="AL347" i="7"/>
  <c r="AN341" i="7"/>
  <c r="AL339" i="7"/>
  <c r="AN332" i="7"/>
  <c r="AL329" i="7"/>
  <c r="AL321" i="7"/>
  <c r="AL313" i="7"/>
  <c r="AN305" i="7"/>
  <c r="AL304" i="7"/>
  <c r="AL302" i="7"/>
  <c r="AN300" i="7"/>
  <c r="AL297" i="7"/>
  <c r="AN292" i="7"/>
  <c r="AL289" i="7"/>
  <c r="AL286" i="7"/>
  <c r="AN284" i="7"/>
  <c r="AN281" i="7"/>
  <c r="AL278" i="7"/>
  <c r="AL273" i="7"/>
  <c r="AL270" i="7"/>
  <c r="AL265" i="7"/>
  <c r="AL262" i="7"/>
  <c r="AN260" i="7"/>
  <c r="AL257" i="7"/>
  <c r="AN252" i="7"/>
  <c r="AL249" i="7"/>
  <c r="AL241" i="7"/>
  <c r="AL233" i="7"/>
  <c r="AN228" i="7"/>
  <c r="AN227" i="7"/>
  <c r="AL225" i="7"/>
  <c r="AL222" i="7"/>
  <c r="AN220" i="7"/>
  <c r="AN219" i="7"/>
  <c r="AL217" i="7"/>
  <c r="AL214" i="7"/>
  <c r="AN212" i="7"/>
  <c r="AL209" i="7"/>
  <c r="AL207" i="7"/>
  <c r="AN205" i="7"/>
  <c r="AN204" i="7"/>
  <c r="AL202" i="7"/>
  <c r="AL199" i="7"/>
  <c r="AR317" i="7" l="1"/>
  <c r="N443" i="1"/>
  <c r="AR413" i="7"/>
  <c r="AR338" i="7"/>
  <c r="AR436" i="7"/>
  <c r="AR268" i="7"/>
  <c r="AR429" i="7"/>
  <c r="AR446" i="7"/>
  <c r="AR354" i="7"/>
  <c r="AR356" i="7"/>
  <c r="AR325" i="7"/>
  <c r="AR438" i="7"/>
  <c r="AR369" i="7"/>
  <c r="AR316" i="7"/>
  <c r="AR380" i="7"/>
  <c r="AR283" i="7"/>
  <c r="AR364" i="7"/>
  <c r="AR276" i="7"/>
  <c r="AR398" i="7"/>
  <c r="AR383" i="7"/>
  <c r="AR443" i="7"/>
  <c r="AR449" i="7"/>
  <c r="AR258" i="7"/>
  <c r="AR315" i="7"/>
  <c r="AR343" i="7"/>
  <c r="AR277" i="7"/>
  <c r="AR486" i="7"/>
  <c r="AR235" i="7"/>
  <c r="AR370" i="7"/>
  <c r="AR236" i="7"/>
  <c r="AR378" i="7"/>
  <c r="AR310" i="7"/>
  <c r="AR323" i="7"/>
  <c r="AR379" i="7"/>
  <c r="AR448" i="7"/>
  <c r="AR404" i="7"/>
  <c r="AR450" i="7"/>
  <c r="AR391" i="7"/>
  <c r="AR308" i="7"/>
  <c r="AR334" i="7"/>
  <c r="AR301" i="7"/>
  <c r="AR294" i="7"/>
  <c r="AR251" i="7"/>
  <c r="AR341" i="7"/>
  <c r="AR304" i="7"/>
  <c r="AR424" i="7"/>
  <c r="AR200" i="7"/>
  <c r="AR231" i="7"/>
  <c r="AR342" i="7"/>
  <c r="AR489" i="7"/>
  <c r="AR441" i="7"/>
  <c r="AR399" i="7"/>
  <c r="AR423" i="7"/>
  <c r="AR442" i="7"/>
  <c r="AR534" i="7"/>
  <c r="AR293" i="7"/>
  <c r="AR319" i="7"/>
  <c r="AR279" i="7"/>
  <c r="AR274" i="7"/>
  <c r="AR393" i="7"/>
  <c r="AR425" i="7"/>
  <c r="AR431" i="7"/>
  <c r="AR408" i="7"/>
  <c r="AR415" i="7"/>
  <c r="AR352" i="7"/>
  <c r="AR318" i="7"/>
  <c r="AR230" i="7"/>
  <c r="AR367" i="7"/>
  <c r="AR282" i="7"/>
  <c r="AR269" i="7"/>
  <c r="AR206" i="7"/>
  <c r="AR266" i="7"/>
  <c r="AR237" i="7"/>
  <c r="AR311" i="7"/>
  <c r="AR208" i="7"/>
  <c r="AR204" i="7"/>
  <c r="AR227" i="7"/>
  <c r="AR198" i="7"/>
  <c r="AR197" i="7"/>
  <c r="AR203" i="7"/>
  <c r="AR228" i="7"/>
  <c r="AR253" i="7"/>
  <c r="AR245" i="7"/>
  <c r="AR418" i="7"/>
  <c r="AR439" i="7"/>
  <c r="AR307" i="7"/>
  <c r="AR470" i="7"/>
  <c r="AR244" i="7"/>
  <c r="AR328" i="7"/>
  <c r="AR388" i="7"/>
  <c r="AR326" i="7"/>
  <c r="AR416" i="7"/>
  <c r="AR303" i="7"/>
  <c r="AR210" i="7"/>
  <c r="AR299" i="7"/>
  <c r="AR373" i="7"/>
  <c r="AR288" i="7"/>
  <c r="AR351" i="7"/>
  <c r="AR392" i="7"/>
  <c r="AR267" i="7"/>
  <c r="AR382" i="7"/>
  <c r="AR248" i="7"/>
  <c r="AR229" i="7"/>
  <c r="AR422" i="7"/>
  <c r="AR331" i="7"/>
  <c r="AR385" i="7"/>
  <c r="AR349" i="7"/>
  <c r="AR259" i="7"/>
  <c r="AR513" i="7"/>
  <c r="AR517" i="7"/>
  <c r="AR296" i="7"/>
  <c r="AR298" i="7"/>
  <c r="AR350" i="7"/>
  <c r="AR518" i="7"/>
  <c r="AR333" i="7"/>
  <c r="AR254" i="7"/>
  <c r="AR362" i="7"/>
  <c r="AR361" i="7"/>
  <c r="AR247" i="7"/>
  <c r="AR335" i="7"/>
  <c r="AR261" i="7"/>
  <c r="AR324" i="7"/>
  <c r="AR437" i="7"/>
  <c r="AR426" i="7"/>
  <c r="AR410" i="7"/>
  <c r="AR428" i="7"/>
  <c r="AR344" i="7"/>
  <c r="AR390" i="7"/>
  <c r="AR238" i="7"/>
  <c r="AR219" i="7"/>
  <c r="AR372" i="7"/>
  <c r="AR541" i="7"/>
  <c r="AR213" i="7"/>
  <c r="AR256" i="7"/>
  <c r="AR218" i="7"/>
  <c r="AR337" i="7"/>
  <c r="AR414" i="7"/>
  <c r="AR498" i="7"/>
  <c r="AR291" i="7"/>
  <c r="AR363" i="7"/>
  <c r="AR407" i="7"/>
  <c r="AR232" i="7"/>
  <c r="AR221" i="7"/>
  <c r="AR246" i="7"/>
  <c r="AR243" i="7"/>
  <c r="AR521" i="7"/>
  <c r="AR223" i="7"/>
  <c r="AR427" i="7"/>
  <c r="AR420" i="7"/>
  <c r="AR216" i="7"/>
  <c r="AR327" i="7"/>
  <c r="AR240" i="7"/>
  <c r="AR445" i="7"/>
  <c r="AR358" i="7"/>
  <c r="AR417" i="7"/>
  <c r="AR386" i="7"/>
  <c r="AR397" i="7"/>
  <c r="AR419" i="7"/>
  <c r="AR421" i="7"/>
  <c r="AR447" i="7"/>
  <c r="AR275" i="7"/>
  <c r="AR211" i="7"/>
  <c r="AR280" i="7"/>
  <c r="AR345" i="7"/>
  <c r="AR312" i="7"/>
  <c r="AR405" i="7"/>
  <c r="AR209" i="7"/>
  <c r="AR272" i="7"/>
  <c r="AR214" i="7"/>
  <c r="AR302" i="7"/>
  <c r="AR550" i="7"/>
  <c r="AR285" i="7"/>
  <c r="AR233" i="7"/>
  <c r="AR252" i="7"/>
  <c r="AR234" i="7"/>
  <c r="AR300" i="7"/>
  <c r="AR297" i="7"/>
  <c r="AR355" i="7"/>
  <c r="AR336" i="7"/>
  <c r="AR306" i="7"/>
  <c r="AR340" i="7"/>
  <c r="AR396" i="7"/>
  <c r="AR400" i="7"/>
  <c r="AR215" i="7"/>
  <c r="AR239" i="7"/>
  <c r="AR263" i="7"/>
  <c r="AR271" i="7"/>
  <c r="AR201" i="7"/>
  <c r="AR199" i="7"/>
  <c r="AR264" i="7"/>
  <c r="AR225" i="7"/>
  <c r="AR249" i="7"/>
  <c r="AR265" i="7"/>
  <c r="AR224" i="7"/>
  <c r="AR270" i="7"/>
  <c r="AR212" i="7"/>
  <c r="AR255" i="7"/>
  <c r="AR289" i="7"/>
  <c r="AR332" i="7"/>
  <c r="AR320" i="7"/>
  <c r="AR321" i="7"/>
  <c r="AR347" i="7"/>
  <c r="AR330" i="7"/>
  <c r="AR371" i="7"/>
  <c r="AR368" i="7"/>
  <c r="AR357" i="7"/>
  <c r="AR409" i="7"/>
  <c r="AR505" i="7"/>
  <c r="AR440" i="7"/>
  <c r="AR512" i="7"/>
  <c r="AR376" i="7"/>
  <c r="AR435" i="7"/>
  <c r="AR394" i="7"/>
  <c r="AR395" i="7"/>
  <c r="AR433" i="7"/>
  <c r="AR432" i="7"/>
  <c r="AR384" i="7"/>
  <c r="AR401" i="7"/>
  <c r="AR377" i="7"/>
  <c r="AR406" i="7"/>
  <c r="AR202" i="7"/>
  <c r="AR220" i="7"/>
  <c r="AR217" i="7"/>
  <c r="AR250" i="7"/>
  <c r="AR260" i="7"/>
  <c r="AR222" i="7"/>
  <c r="AR262" i="7"/>
  <c r="AR292" i="7"/>
  <c r="AR281" i="7"/>
  <c r="AR286" i="7"/>
  <c r="AR309" i="7"/>
  <c r="AR287" i="7"/>
  <c r="AR313" i="7"/>
  <c r="AR339" i="7"/>
  <c r="AR322" i="7"/>
  <c r="AR353" i="7"/>
  <c r="AR375" i="7"/>
  <c r="AR444" i="7"/>
  <c r="AR412" i="7"/>
  <c r="AR402" i="7"/>
  <c r="AR526" i="7"/>
  <c r="AR537" i="7"/>
  <c r="AR381" i="7"/>
  <c r="AR374" i="7"/>
  <c r="AR387" i="7"/>
  <c r="AR434" i="7"/>
  <c r="AR389" i="7"/>
  <c r="AR365" i="7"/>
  <c r="AR411" i="7"/>
  <c r="AR205" i="7"/>
  <c r="AR207" i="7"/>
  <c r="AR241" i="7"/>
  <c r="AR257" i="7"/>
  <c r="AR273" i="7"/>
  <c r="AR226" i="7"/>
  <c r="AR278" i="7"/>
  <c r="AR242" i="7"/>
  <c r="AR284" i="7"/>
  <c r="AR346" i="7"/>
  <c r="AR305" i="7"/>
  <c r="AR290" i="7"/>
  <c r="AR295" i="7"/>
  <c r="AR329" i="7"/>
  <c r="AR314" i="7"/>
  <c r="AR348" i="7"/>
  <c r="AR359" i="7"/>
  <c r="AR360" i="7"/>
  <c r="AR366" i="7"/>
  <c r="AR403" i="7"/>
  <c r="AR553" i="7"/>
  <c r="AR465" i="7"/>
  <c r="K189" i="1"/>
  <c r="N189" i="1" s="1"/>
  <c r="K190" i="1"/>
  <c r="N190" i="1" s="1"/>
  <c r="K188" i="1"/>
  <c r="N188" i="1" s="1"/>
  <c r="K114" i="1"/>
  <c r="N114" i="1" s="1"/>
  <c r="K116" i="1"/>
  <c r="N116" i="1" s="1"/>
  <c r="K115" i="1"/>
  <c r="N115" i="1" s="1"/>
  <c r="N240" i="16"/>
  <c r="K35" i="8" l="1"/>
  <c r="N35" i="8"/>
</calcChain>
</file>

<file path=xl/comments1.xml><?xml version="1.0" encoding="utf-8"?>
<comments xmlns="http://schemas.openxmlformats.org/spreadsheetml/2006/main">
  <authors>
    <author>Autor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ojo tiene costo de 10+1 mirar gbp para presupuesto
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autorizo pablo por skype el 05-02-2025 483500
y despues lo baje a 463500 el 31-3 no dijo que si.. Pero bueno el que calla otorga
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ojo costo 10+1 mirar gbp para presupuesto
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ojo costo de 10+1
mirar gbp para presupuesto
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ojo costo 10 + 1 mirar gbp para presupuesto
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ojo costo 10+1 consultar gbp para costo
</t>
        </r>
      </text>
    </comment>
    <comment ref="C2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ojo costo 10+1 ver gbp para presupuesto
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pata ML 504050
en gbp real 535000</t>
        </r>
      </text>
    </comment>
    <comment ref="C60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autorizado 7-4 a las 19:26 skype</t>
        </r>
      </text>
    </comment>
    <comment ref="A83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en GBP LAB500</t>
        </r>
      </text>
    </comment>
    <comment ref="C135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costo gbp 177505.79
rebajado para ml a 160000 aut skipe 7/4 11:15</t>
        </r>
      </text>
    </comment>
    <comment ref="C19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costo gbp 192000
pablo whatsapp 20/4 20:44</t>
        </r>
      </text>
    </comment>
    <comment ref="C198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costo gbp 192000
pablo whatsapp 20/4 20:44</t>
        </r>
      </text>
    </comment>
    <comment ref="C203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aut 7-03 por skipe 11:20am
</t>
        </r>
      </text>
    </comment>
    <comment ref="C215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pablo autorizo el 5/02/2025 por skype
</t>
        </r>
      </text>
    </comment>
  </commentList>
</comments>
</file>

<file path=xl/sharedStrings.xml><?xml version="1.0" encoding="utf-8"?>
<sst xmlns="http://schemas.openxmlformats.org/spreadsheetml/2006/main" count="4689" uniqueCount="1686">
  <si>
    <t>CODIGO</t>
  </si>
  <si>
    <t>DESCRIPCION</t>
  </si>
  <si>
    <t>CATEGORIA</t>
  </si>
  <si>
    <t>MARCA</t>
  </si>
  <si>
    <t>LAB544</t>
  </si>
  <si>
    <t>AIRE ACONDICIONADO ALASKA 3450W F/C ASE35WCCS PNB045525  EAN:  7796885455266</t>
  </si>
  <si>
    <t>Aires acondicionados</t>
  </si>
  <si>
    <t>Alaska</t>
  </si>
  <si>
    <t>TV121</t>
  </si>
  <si>
    <t>TV LED SMART 50" RCA C50AND-F ANDROID EAN 7796941250859</t>
  </si>
  <si>
    <t>Televisores</t>
  </si>
  <si>
    <t>Rca</t>
  </si>
  <si>
    <t>LAB80AB</t>
  </si>
  <si>
    <t>LAVARROPAS CARGA FRONTAL WNQ80AB 8KG BLANCO  WHIRLPOOL  EAN:  7797750979924</t>
  </si>
  <si>
    <t>Lavarropas</t>
  </si>
  <si>
    <t>Whirlpool</t>
  </si>
  <si>
    <t>LAB0038</t>
  </si>
  <si>
    <t>MICROONDAS HITACHI HITPLUS CM256DG-F 25L EAN 7796941130038</t>
  </si>
  <si>
    <t>Microondas</t>
  </si>
  <si>
    <t>Hitachi</t>
  </si>
  <si>
    <t>TV2840</t>
  </si>
  <si>
    <t>TV LED 55" SHARP 4T-C55FL6L GVTPNE 40284 EAN 7796885402840</t>
  </si>
  <si>
    <t>SHARP</t>
  </si>
  <si>
    <t>LAB205</t>
  </si>
  <si>
    <t>LAVARROPAS DREAN NEXT 6.06 ECO 6 KILOS 600RPM EAN:  7795473028721</t>
  </si>
  <si>
    <t>Drean</t>
  </si>
  <si>
    <t>LAB129</t>
  </si>
  <si>
    <t>BATIDORA PLANETARIA POWERMIX  AB910 ROJO  LILIANA   EAN: 7793862007548</t>
  </si>
  <si>
    <t xml:space="preserve">Pequeños Electrodomesticos </t>
  </si>
  <si>
    <t>Liliana</t>
  </si>
  <si>
    <t>TV635</t>
  </si>
  <si>
    <t>TV LED TCL 55" L55P635 UHD EAN 7796941329098</t>
  </si>
  <si>
    <t>Tcl</t>
  </si>
  <si>
    <t>TV261</t>
  </si>
  <si>
    <t>TV 32" BGH B3222S5A PNB040261 EAN:  7796885402611</t>
  </si>
  <si>
    <t>Bgh</t>
  </si>
  <si>
    <t>LAB280F</t>
  </si>
  <si>
    <t>HELADERA CICLICA BLANCA HDR280F00B  DREAN  EAN:  7797102525588</t>
  </si>
  <si>
    <t>Heladeras</t>
  </si>
  <si>
    <t>LAB822</t>
  </si>
  <si>
    <t>TERMOTANQUE ELECTRICO 90 LITROS ESCORIAL  EAN:  7798013732539</t>
  </si>
  <si>
    <t>Termotanques</t>
  </si>
  <si>
    <t>Escorial</t>
  </si>
  <si>
    <t>LAB894</t>
  </si>
  <si>
    <t>FREEZER HORIZONTAL 414 LITROS WHB42D2 WHIRLPOOL  EAN: 7891129536449</t>
  </si>
  <si>
    <t>Freezer</t>
  </si>
  <si>
    <t>LAB082</t>
  </si>
  <si>
    <t>LAVARROPAS AUTOMATICO BGH CARGA FRONTAL 7KG BLANCO BWFA07W21AR -PNH179001</t>
  </si>
  <si>
    <t>LAB370F</t>
  </si>
  <si>
    <t>HELADERA DREAN CICLICA ALUMINIO C/DISPENSER HDR370F11S SILVER  EAN:  7797102525625</t>
  </si>
  <si>
    <t>LAB501</t>
  </si>
  <si>
    <t>HORNO ELECTRICO LILIANA MOD: AAO138 38L PROGRAMCOOK EAN 7793861011941</t>
  </si>
  <si>
    <t>Horno</t>
  </si>
  <si>
    <t>LAB821</t>
  </si>
  <si>
    <t>TERMOTANQUE ELECTRICO 55 LITROS ESCORIAL   EAN: 7798013732522</t>
  </si>
  <si>
    <t>LAB819</t>
  </si>
  <si>
    <t>TERMOTANQUE 80 LITROS MULTIGAS ESCORIAL  EAN:  7798013730559</t>
  </si>
  <si>
    <t>LAB925</t>
  </si>
  <si>
    <t>FREEZER VERTICAL ESLABON DE LUJO EVU22D1 142 LITROS CYCLE EAN:  7891129217485</t>
  </si>
  <si>
    <t>Eslabon de lujo</t>
  </si>
  <si>
    <t>LAB85AB</t>
  </si>
  <si>
    <t>HELADERA WRE85AB BLANCA INVERTER 588 LITROS WHIRLPOOL  EAN: 7891129557703</t>
  </si>
  <si>
    <t>LAB791</t>
  </si>
  <si>
    <t>COCINA DE GAS LICUADO ESCORIAL MOD: CANDOR S2 GL LINEA BLACK   EAN:  7798013732751</t>
  </si>
  <si>
    <t>Cocinas</t>
  </si>
  <si>
    <t>LAB113</t>
  </si>
  <si>
    <t>MICROONDAS PHILCO MPG8428N 28L DIGITAL C/GRILL EAN 7796962308423</t>
  </si>
  <si>
    <t>Philco</t>
  </si>
  <si>
    <t>LAB789</t>
  </si>
  <si>
    <t>COCINA DE GAS LICUADO ESCORIAL CANDOR S2 GL BLANCA EAN:  7798013732591</t>
  </si>
  <si>
    <t>CALE1150</t>
  </si>
  <si>
    <t>ESTUFA INFRAROJA  STI080 800W 2 VELAS STAR-TRAK  EAN:  798185861150</t>
  </si>
  <si>
    <t>Estufas y Calefactores Eléctricos</t>
  </si>
  <si>
    <t>Star-trak</t>
  </si>
  <si>
    <t>LABW26</t>
  </si>
  <si>
    <t>FREEZER VERTICAL WHIRLPOOL MODELO COMERCIAL WVU27D2 EAN:  7891129556812</t>
  </si>
  <si>
    <t>LAB851</t>
  </si>
  <si>
    <t>HORNO ELECTRICO FACILCOOK 32 LTS AO132 LILIANA EAN: 7793862011200</t>
  </si>
  <si>
    <t>horno</t>
  </si>
  <si>
    <t>LAB3055</t>
  </si>
  <si>
    <t>COCINA ESCORIAL MASTER S2 BLANCA  CLASSIC GAS NATURAL  EAN:  7798013733055</t>
  </si>
  <si>
    <t>LAB086</t>
  </si>
  <si>
    <t>COCINA ESCORIAL MASTER S2 NEGRA  CLASSIC GAS LICUADO  EAN:  7798013733086</t>
  </si>
  <si>
    <t>LAB3056</t>
  </si>
  <si>
    <t>COCINA ESCORIAL MASTER S2 BLANCA  CLASSIC GAS LICUADO  EAN:  7798013733062</t>
  </si>
  <si>
    <t>LAB790</t>
  </si>
  <si>
    <t>COCINA DE GAS NATURAL CANDOR S2 GN LINEA BLACK  ESCORIAL   EAN:  7798013732744</t>
  </si>
  <si>
    <t>LAB1506</t>
  </si>
  <si>
    <t>HELADERA WHIRLPOOL WRM56D2 462L EVOX EAN 7891129521506</t>
  </si>
  <si>
    <t>LAB079</t>
  </si>
  <si>
    <t>COCINA ESCORIAL MASTER S2 NEGRA  CLASSIC GAS NATURAL -EAN 7798013733079</t>
  </si>
  <si>
    <t>TV061</t>
  </si>
  <si>
    <t>Telefunken</t>
  </si>
  <si>
    <t>LAB56HK</t>
  </si>
  <si>
    <t>HELADERA TRM56HKDIM TOP MOUNT INOX 450 LITROS ARISTON  EAN:  7891129537699</t>
  </si>
  <si>
    <t>ARISTON</t>
  </si>
  <si>
    <t>LAB56HB</t>
  </si>
  <si>
    <t>HELADERA TRM56HBDIM TOP MOUNT BLANCA 450 LITROS ARISTON EAN:  7891129537682</t>
  </si>
  <si>
    <t>LAB636</t>
  </si>
  <si>
    <t>HORNO ELECTRICO BGH BHE30M23N 30L PNH048327 EAN: 7796885483276</t>
  </si>
  <si>
    <t>LAB588L</t>
  </si>
  <si>
    <t>HELADERA WRE85AK INVERTER INOXIDABLE 588 LITROS WHIRLPOOL  EAN:  7891129557666</t>
  </si>
  <si>
    <t>LAB788</t>
  </si>
  <si>
    <t>COCINA DE GAS NATURAL CANDOR S2 GN BLANCA   ESCORIAL  EAN:  7798013732584</t>
  </si>
  <si>
    <t>GAMA9449</t>
  </si>
  <si>
    <t>COJIN MASAJEADOR SHIATSU MULTIFUNCION PM-540 GAMA  EAN:  8023277099449</t>
  </si>
  <si>
    <t xml:space="preserve">Cuidado personal </t>
  </si>
  <si>
    <t>Gama</t>
  </si>
  <si>
    <t>TV4322</t>
  </si>
  <si>
    <t>SMART TV LED 43" BGH B4322FS5A PNE040262 EAN 77969885402628</t>
  </si>
  <si>
    <t>LAB856</t>
  </si>
  <si>
    <t>LAVAVAJILLA WHIRLPOOL WLV14BY25Z - 14 CUBIERTOS BLANCO EAN:  8003437234477</t>
  </si>
  <si>
    <t>Lavavajillas</t>
  </si>
  <si>
    <t>LAB845</t>
  </si>
  <si>
    <t>TERMOTANQUE 45 LITROS MULTIGAS ESCORIAL  EAN:  7798013730542</t>
  </si>
  <si>
    <t>LAB844</t>
  </si>
  <si>
    <t>COCINA ESCORIAL PALACE CRISTAL BLACK LX S2 GAS LICUADO EAN:  7798013732638</t>
  </si>
  <si>
    <t>LAB820</t>
  </si>
  <si>
    <t>TERMOTANQUE 120 LITROS MULTIGAS ESCORIAL  EAN:  7798013730566</t>
  </si>
  <si>
    <t>LAB2191</t>
  </si>
  <si>
    <t>BATIDORA DE MANO + BATIDOR HB1100X2AR1 MIDEA  EAN:  7797087512191</t>
  </si>
  <si>
    <t>Midea</t>
  </si>
  <si>
    <t>CALE0894</t>
  </si>
  <si>
    <t>ESTUFA ALOGENA STH125 1200W 3 VELAS STAR-TRAK  EAN:  7798185860894</t>
  </si>
  <si>
    <t>CALE1699</t>
  </si>
  <si>
    <t>CALOVENTOR BLACKSUN CCCFH450 LILIANA  EAN:  7793862011699</t>
  </si>
  <si>
    <t>LAB824</t>
  </si>
  <si>
    <t>COCINA ESCORIAL PALACE CRISTAL BLACK LX S2 GAS NATURAL -EAN 7798013732621</t>
  </si>
  <si>
    <t>LAB3221</t>
  </si>
  <si>
    <t>HORNO ELECTRICO BGH BHE35S22A 35L PNH048322 EAN: 7796885483221</t>
  </si>
  <si>
    <t>LAB3093</t>
  </si>
  <si>
    <t>COCINA ESCORIAL MASTER STYLE BLANCA MULTIGAS -EAN:  7798013733093</t>
  </si>
  <si>
    <t>TV2857</t>
  </si>
  <si>
    <t>TV LED 65" SHARP 4T-C65FL6L GVTPNE 40285 EAN 7796885402857</t>
  </si>
  <si>
    <t>LAB9955</t>
  </si>
  <si>
    <t>LAVARROPAS WHIRLPOOL WNQ90AS 9 KG TITANIUN EAN:  7797750979955</t>
  </si>
  <si>
    <t>LAB832</t>
  </si>
  <si>
    <t>COCINA ESCORIAL PALACE CRISTAL BLANCA LX S2 GAS NATURAL EAN 7798013732607</t>
  </si>
  <si>
    <t>LAB44AK</t>
  </si>
  <si>
    <t>HELADERA TRE44AKDIM INVERTER BOTTOM INOX 397LITROS ARISTON  EAN:  7891129539594</t>
  </si>
  <si>
    <t>TV99</t>
  </si>
  <si>
    <t>LAB2665</t>
  </si>
  <si>
    <t>HORNO ELECTRICO LILIANA TURBOCOOK AO460 46L EAN:  7793862012665</t>
  </si>
  <si>
    <t>CAR434</t>
  </si>
  <si>
    <t>CARTUCHO ALTERNATIVO EPSON T196 MAGENTA  GLOBAL  EAN:  NO TIENE</t>
  </si>
  <si>
    <t>Cartuchos de Tinta Original</t>
  </si>
  <si>
    <t>Global</t>
  </si>
  <si>
    <t>LAB861</t>
  </si>
  <si>
    <t>HELADERA RT35K5532SL 362 LITROS SILVER INVERTER INOXIDABLE SAMSUNG  EAN:  8806088534831</t>
  </si>
  <si>
    <t>Samsung</t>
  </si>
  <si>
    <t>CAB5661</t>
  </si>
  <si>
    <t>CABLE UTP CAT5E PACH CORD 0.5M  NETMAK  EAN:  7792641880044</t>
  </si>
  <si>
    <t>Cables</t>
  </si>
  <si>
    <t>Netmak</t>
  </si>
  <si>
    <t>LAB729</t>
  </si>
  <si>
    <t>ASPIRADORA ROBOT W300 WINCO   EAN:  4511413404164</t>
  </si>
  <si>
    <t>Winco</t>
  </si>
  <si>
    <t>LAB3030</t>
  </si>
  <si>
    <t>HORNO ELECTRICO BGH BHE55M19N 55L PNH048303 EAN: 7796885483030</t>
  </si>
  <si>
    <t>LAB3610</t>
  </si>
  <si>
    <t>BATIDORA DE MANO Y PEDESTAL HM3610 3.7L BLANCA OSTER  EAN:  053891143936</t>
  </si>
  <si>
    <t>Oster</t>
  </si>
  <si>
    <t>LAB09R3</t>
  </si>
  <si>
    <t>HELADERA WHIRLPOOL WRA09R3 RETRO 76 LITROS ROJA EAN:  7891129529823</t>
  </si>
  <si>
    <t>CAR289</t>
  </si>
  <si>
    <t>CARTUCHO ALTERNATIVO EPSON T1333 MAGENTA  GLOBAL  EAN:  NO TIENE</t>
  </si>
  <si>
    <t>TLC26</t>
  </si>
  <si>
    <t>CABLE USB A MICRO USB 0.25 METROS  TL-USBMUSB025  T-LINE  EAN: NO TIENE</t>
  </si>
  <si>
    <t>Tline</t>
  </si>
  <si>
    <t>LAB380S</t>
  </si>
  <si>
    <t>HELADERA DREAN HDR380N12M SILVER EAN:  7797102525731</t>
  </si>
  <si>
    <t>LAB1598</t>
  </si>
  <si>
    <t>LAVARROPAS LG INVER 8.5KG 1400RPM WM8516WE6 BLANCO EAN 7790653061598</t>
  </si>
  <si>
    <t>Lg</t>
  </si>
  <si>
    <t>LAB581</t>
  </si>
  <si>
    <t>HORNO MICROONDAS B228DB9 28 LITROS C/ GRILL BLANCO PNH048664  BGH  EAN:  7796885486642</t>
  </si>
  <si>
    <t>LAB3109</t>
  </si>
  <si>
    <t>COCINA ESCORIAL MASTER STYLE NEGRO MULTIGAS -EAN:  7798013733109</t>
  </si>
  <si>
    <t>TV069</t>
  </si>
  <si>
    <t>TV LED SMART 32" R32AND-F ANDROID RCA  EAN:  7796941250958</t>
  </si>
  <si>
    <t>CON8020</t>
  </si>
  <si>
    <t>CONSOLA GAMING 8BITS NOGA NG-FG02 2 JOYSTICK EAN 7798137718020</t>
  </si>
  <si>
    <t>Consolas de videojuegos</t>
  </si>
  <si>
    <t>Noga</t>
  </si>
  <si>
    <t>TLC37</t>
  </si>
  <si>
    <t>CABLE HDMI A MINI HDMI 3 METROS  TL-HDMMII30  T-LINE  EAN:  NO TIENE</t>
  </si>
  <si>
    <t>LAB320F</t>
  </si>
  <si>
    <t>HELADERA DREAN CICLICA PLATEADA HDR320F00S EAN 7797102525595</t>
  </si>
  <si>
    <t>LAB2522</t>
  </si>
  <si>
    <t>FREEZER FR2522 GP HC A2 KP BRIKET  EAN:  7798003342557</t>
  </si>
  <si>
    <t>Briket</t>
  </si>
  <si>
    <t>LAB823</t>
  </si>
  <si>
    <t>COCINA ESCORIAL PALACE CRISTAL BLANCA LX S2 GAS LICUADO EAN:  7798013732614</t>
  </si>
  <si>
    <t>LAB2600</t>
  </si>
  <si>
    <t>AIRE ACONDICIONADO TACA-2600 F/C 2236 FRIGORIAS BLANCO 220V TCL  EAN:  7796941323393</t>
  </si>
  <si>
    <t>LAB3207</t>
  </si>
  <si>
    <t>HORNO ELECTRICO BGH BHE17M20N 20L PNH048320 EAN: 7796885483207</t>
  </si>
  <si>
    <t>Bestway</t>
  </si>
  <si>
    <t>LAB12K2</t>
  </si>
  <si>
    <t>HELADERA WHIRLPOOL WRX12K2 117L EAN:  7891129530201</t>
  </si>
  <si>
    <t>ACC938</t>
  </si>
  <si>
    <t>TERMOMETRO INFRARROJO JXB-178  BERRCOM  EAN:  6947656112739</t>
  </si>
  <si>
    <t>Termómetros</t>
  </si>
  <si>
    <t>Berrcom</t>
  </si>
  <si>
    <t>MOT99</t>
  </si>
  <si>
    <t>MOTHER E1-6010 CON CPU INCORPORADO AMD GIGABYTE  EAN:  4719331808761</t>
  </si>
  <si>
    <t>Motherboards</t>
  </si>
  <si>
    <t>Gigabyte</t>
  </si>
  <si>
    <t>CALE1668</t>
  </si>
  <si>
    <t>CALEFACTOR RADIANTE FIBRA CARBONO CP2203 LILIANA  EAN:  7793862011668</t>
  </si>
  <si>
    <t>UPS16</t>
  </si>
  <si>
    <t>UPS TOWER +EST 2500 APTO GE</t>
  </si>
  <si>
    <t>Estabilizadores y UPS</t>
  </si>
  <si>
    <t>Atomlux</t>
  </si>
  <si>
    <t>PAD36</t>
  </si>
  <si>
    <t>PAD MOUSE GEL BLUE NM-PGEL-B NETMAK  EAN:  0700306603003</t>
  </si>
  <si>
    <t>PAD MOUSE</t>
  </si>
  <si>
    <t>GAMA0623</t>
  </si>
  <si>
    <t>BALANZA DE BAÑO FIT ULTRA GAMA  EAN:  8023277130623</t>
  </si>
  <si>
    <t>GAMA5874</t>
  </si>
  <si>
    <t>BALANZA DE VIDRIO SCG-430 GAMA  EAN:  8023277105874</t>
  </si>
  <si>
    <t>PAD37</t>
  </si>
  <si>
    <t>PAD MOUSE GEL RED NM-PGEL-R NETMAK  EAN:  0700306602990</t>
  </si>
  <si>
    <t>LAB846</t>
  </si>
  <si>
    <t>TERMOTANQUE GEISER 120 LITROS GAS NATURAL ESCORIAL  EAN:  7798013732577</t>
  </si>
  <si>
    <t>GAMA9502</t>
  </si>
  <si>
    <t>PLANCHITA CP 14 LED DUAL PLATE GOLD GAMA  EAN:  8023277149502</t>
  </si>
  <si>
    <t>AURI1650N</t>
  </si>
  <si>
    <t>AURICULAR NG-1650 NEGRO NOGANET  EAN:  7798137719201</t>
  </si>
  <si>
    <t>Auriculares</t>
  </si>
  <si>
    <t>Noganet</t>
  </si>
  <si>
    <t>FUB1240</t>
  </si>
  <si>
    <t>BATERIA FUB-1240 12V 4.0 A  FORZA  EAN:  798302201804</t>
  </si>
  <si>
    <t>Cargadores</t>
  </si>
  <si>
    <t>Forza</t>
  </si>
  <si>
    <t>CD01</t>
  </si>
  <si>
    <t>CD VIRGEN BULK X50 UNIDADES 700MB 52X GLOBAL</t>
  </si>
  <si>
    <t>CDs y DVDs Vírgenes</t>
  </si>
  <si>
    <t>TWINS2N</t>
  </si>
  <si>
    <t>AURICULARES BT  TWINS NG-BTWINS2 NEGRO NOGANET  EAN:  7798137714794</t>
  </si>
  <si>
    <t>CARRY5</t>
  </si>
  <si>
    <t>CARRY DISK EXTERNO P/SSD M2 SATA/NVME TIPO C  NETMAK  EAN:  0700306603690</t>
  </si>
  <si>
    <t>Discos rígidos y SSD</t>
  </si>
  <si>
    <t>GAMA6932</t>
  </si>
  <si>
    <t>BALANZA DE BAÑO SCF-2000 GAMA  EAN:  8023277106932</t>
  </si>
  <si>
    <t>LAB882</t>
  </si>
  <si>
    <t>BATIDORA PLANETARIA LILIANA AAB700 SPEEDCHEF EAN:  7793862009924</t>
  </si>
  <si>
    <t>TLC47</t>
  </si>
  <si>
    <t>CABLE USB PARA IMPRESORA 5 METROS TL-PRINT5   T-LINE</t>
  </si>
  <si>
    <t>GAMA9380</t>
  </si>
  <si>
    <t>PLANCHITA ELEGANCE LED PTC GOLD AF GAMA  EAN:  8023277149380</t>
  </si>
  <si>
    <t>LAB0979</t>
  </si>
  <si>
    <t>VENTILADOR DE PIE GIRATORIO 14" STPG14  STAR-TRAK EAN:  7798185860979</t>
  </si>
  <si>
    <t>Ventiladores</t>
  </si>
  <si>
    <t>CALE20</t>
  </si>
  <si>
    <t>CALOVENTOR SOLEIL 750/1500W COLOR NEGRO CPTC550 LILIANA  EAN:  7793862008156</t>
  </si>
  <si>
    <t>LAB6734</t>
  </si>
  <si>
    <t>HORNO MICROONDAS DAEWO D120M 20L MANUAL PNH048673 EAN 7796885486734</t>
  </si>
  <si>
    <t>Daewoo</t>
  </si>
  <si>
    <t>CALE39</t>
  </si>
  <si>
    <t>CALOVENTOR CFH510 DUAL HOT COLOR BLANCO LILIANA  EAN:  7793862009696</t>
  </si>
  <si>
    <t>CALE65</t>
  </si>
  <si>
    <t>CONVECTOR E-544 2000 WTS BLANCO  EIFFEL   EAN:  7798131920467</t>
  </si>
  <si>
    <t>Eiffel</t>
  </si>
  <si>
    <t>CAR168</t>
  </si>
  <si>
    <t>CARTUCHO ORIGINAL EPSON 196 CYAN  EAN:  010343902329</t>
  </si>
  <si>
    <t>Epson</t>
  </si>
  <si>
    <t>CAR290</t>
  </si>
  <si>
    <t xml:space="preserve">CARTUCHO ALTERNATIVO T1334 AMARILLO EPSON GLOBAL </t>
  </si>
  <si>
    <t>CAR236</t>
  </si>
  <si>
    <t>CARTUCHO ALTERNATIVO EPSON T0733 MAGENTA  GLOBAL  EAN:  NO TIENE</t>
  </si>
  <si>
    <t>AURI918RJ</t>
  </si>
  <si>
    <t>AURICULAR BT C/VINCHA ROJO NG-918BT NOGANET EAN 7798137719645</t>
  </si>
  <si>
    <t>CAR621</t>
  </si>
  <si>
    <t>CARTUCHO ALTERNATIVO EPSON T296 CYAN  GLOBAL  EAN:  NO TIENE</t>
  </si>
  <si>
    <t>ACC2485</t>
  </si>
  <si>
    <t>SMARTWATCH NOGA NG-SW09 NEGRO EAN 7798137722485</t>
  </si>
  <si>
    <t>Smartwatch</t>
  </si>
  <si>
    <t>GAMA6505</t>
  </si>
  <si>
    <t>BALANZA DE BAÑO SCF-5000 GAMA  EAN:  8023277106505</t>
  </si>
  <si>
    <t>ACC0511</t>
  </si>
  <si>
    <t>RELOJ SMARTWATCH NG-SW04 AMARILLO NOGANET EAN:  7798137720511</t>
  </si>
  <si>
    <t>LAB1068</t>
  </si>
  <si>
    <t>TURBO VENTILADOR STTG31-14 14" STAR-TRAK EAN:  7798185861068</t>
  </si>
  <si>
    <t>CAB12</t>
  </si>
  <si>
    <t>CABLE POWER FUENTE NM-C45 220V 1.5 METROS  NETMAK   EAN:  NO TIENE</t>
  </si>
  <si>
    <t>CAB369</t>
  </si>
  <si>
    <t>CABLE VGA M/M NM-C18 10 METROS NETMAK   EAN:  7792641882208</t>
  </si>
  <si>
    <t>AURI918R</t>
  </si>
  <si>
    <t>AURICULAR BT C/VINCHA ROSA NG-918BT NOGA EAN 7798137715487</t>
  </si>
  <si>
    <t>AURI1700N</t>
  </si>
  <si>
    <t>AURICULAR NG-1700 NEGRO NOGANET  EAN:  7798137719232</t>
  </si>
  <si>
    <t>GAMA0649</t>
  </si>
  <si>
    <t>SECADOR DE PELO GAMA VIAVENETO BLACK ION EAN:  8023277110649</t>
  </si>
  <si>
    <t>GAMA17</t>
  </si>
  <si>
    <t>PLANCHITA DE PELO GAMA CP14 DIGITAL DUAL PLATE 4D - 450°F/ 230° C -EAN:  8023277143418</t>
  </si>
  <si>
    <t>TALT26</t>
  </si>
  <si>
    <t>TONER ALT 533/413/383 UNIV MAG</t>
  </si>
  <si>
    <t>Toner Alternativo</t>
  </si>
  <si>
    <t>Cargar una Marca</t>
  </si>
  <si>
    <t>CAR228</t>
  </si>
  <si>
    <t>CARTUCHO ORIGINAL 60XL NEGRO CC641WL HP EAN:  883585983186</t>
  </si>
  <si>
    <t>Hp</t>
  </si>
  <si>
    <t>AURI1782</t>
  </si>
  <si>
    <t>AURICULAR IN EAR NG-GL1782 NOGANET  EAN: 7798137711595</t>
  </si>
  <si>
    <t>CAR900</t>
  </si>
  <si>
    <t>CARTUCHO ALTERNATIVO T117 NEGRO  GLOBAL  EAN:  NO TIENE</t>
  </si>
  <si>
    <t>ACC2508</t>
  </si>
  <si>
    <t>SMARTWATCH NOGA NG-SW09 AZUL EAN 7798137722508</t>
  </si>
  <si>
    <t>ACC2515</t>
  </si>
  <si>
    <t>SMARTWATCH NOGA NG-SW09 GRIS EAN 7798137722515</t>
  </si>
  <si>
    <t>Acer</t>
  </si>
  <si>
    <t>GAMA1050</t>
  </si>
  <si>
    <t>SECADOR DE PELO G-EVO EVOLUZIONE 3800 TIT ION GAMA  EAN:  8023277101050</t>
  </si>
  <si>
    <t>TIN504C</t>
  </si>
  <si>
    <t>BOTELLA TINTA ORIGINAL 504 CYAN  EPSON  EAN:  010343938755</t>
  </si>
  <si>
    <t>TINTAS</t>
  </si>
  <si>
    <t>CALE03</t>
  </si>
  <si>
    <t>PLASMA VITROCERAMICO 1000W ENERGY SAFE /BLANCO-</t>
  </si>
  <si>
    <t>Energysafe</t>
  </si>
  <si>
    <t>CALE36</t>
  </si>
  <si>
    <t>CONVECTOR E-544 2000 WTS ROJO EIFFEL  EAN:  7798131920467</t>
  </si>
  <si>
    <t>PIL38</t>
  </si>
  <si>
    <t>BATERIA DE LITIO NM-CR2032 BLISTER X5 NETMAK  EAN:  0700306601498</t>
  </si>
  <si>
    <t>Pilas</t>
  </si>
  <si>
    <t>LAB3283</t>
  </si>
  <si>
    <t>HORNO ELECTRICO BGH BHE40M23N 40L PNH048328 EAN: 7796885483283</t>
  </si>
  <si>
    <t>LAB800</t>
  </si>
  <si>
    <t>TURBO VENTILADOR INDUSTRIAL 32" VTI32 LILIANA  EAN:  7793862011088</t>
  </si>
  <si>
    <t>CAR234</t>
  </si>
  <si>
    <t>CARTUCHO ALTERNATIVO T0731N NEGRO EPSON GLOBAL</t>
  </si>
  <si>
    <t>TLC35</t>
  </si>
  <si>
    <t>CABLE HDMI A VGA 1.5 METROS  TL-HDMIVGA  T-LINE  EAN:  NO TIENE</t>
  </si>
  <si>
    <t>TLC14</t>
  </si>
  <si>
    <t>CABLE MINI PLUG 3.5 M/M A 2 RCA 1.8 METROS TL-MP2RCA18  T-LINE</t>
  </si>
  <si>
    <t>UPS15</t>
  </si>
  <si>
    <t>UPS ATOMLUX MOD: UPS500TOWER TOWER+ESTABILIZACOR CON SOFT500VA</t>
  </si>
  <si>
    <t>CAR623</t>
  </si>
  <si>
    <t>CARTUCHO ALTERNATIVO EPSON T296 AMARILLO  GLOBAL  EAN:  NO TIENE</t>
  </si>
  <si>
    <t>TON750</t>
  </si>
  <si>
    <t>CARTUCHO TONER ALTERNATIVO 750 BROTHER  GLOBAL  EAN:  NO TIENE</t>
  </si>
  <si>
    <t>AURI1783</t>
  </si>
  <si>
    <t>AURICULAR IN EAR FULL LED NG-1783 NOGANET  EAN: 7798137711601</t>
  </si>
  <si>
    <t>CAR358</t>
  </si>
  <si>
    <t>CARTUCHO ALTERNATIVO HP 920XL NEGRO EVERTEC</t>
  </si>
  <si>
    <t>Evertec</t>
  </si>
  <si>
    <t>CARG734</t>
  </si>
  <si>
    <t>CARGADOR INALAMBRICO ATRIL QI CAR-011  INTCO  EAN:  NO TIENE</t>
  </si>
  <si>
    <t>Intco</t>
  </si>
  <si>
    <t>CAM22</t>
  </si>
  <si>
    <t>CAMARA INSTAX MINI 9 AZUL FUJIFILM  EAN:  074101033090</t>
  </si>
  <si>
    <t>Camaras</t>
  </si>
  <si>
    <t>Fujifilm</t>
  </si>
  <si>
    <t>CAR14</t>
  </si>
  <si>
    <t>CARTUCHO ALTERNATIVO HP 93 COLOR GLOBAL</t>
  </si>
  <si>
    <t>ACC0504</t>
  </si>
  <si>
    <t>RELOJ SMARTWATCH NG-SW04 CELESTE NOGANET  EAN:  7798137720504</t>
  </si>
  <si>
    <t>CALE12</t>
  </si>
  <si>
    <t>TURBOFORZADOR INFRARROJO RAPIHOT CIGF200 BLANCO LILIANA  EAN:  7793862008194</t>
  </si>
  <si>
    <t>CALE1174BLANCO</t>
  </si>
  <si>
    <t>CALOVENTOR 2 POCISIONES BLANCO STC122-B  STAR-TRAK  EAN:  7798185861174</t>
  </si>
  <si>
    <t>AURI1700B</t>
  </si>
  <si>
    <t>AURICULAR NG-1700 BLANCO NOGANET  EAN:  7798137719249</t>
  </si>
  <si>
    <t>ACC208</t>
  </si>
  <si>
    <t>PROTECTOR DE TENSION P1000@ ATOMLUX  EAN:  7796682000324</t>
  </si>
  <si>
    <t>GLADIUS</t>
  </si>
  <si>
    <t>PAD MOUSE GLADIUS NETMAK  EAN:  0700306602402</t>
  </si>
  <si>
    <t>CAR142</t>
  </si>
  <si>
    <t>CARTUCHO ALTERNATIVO HP 75XL COLOR  GLOBAL  EAN:  NO TIENE</t>
  </si>
  <si>
    <t>TONER380</t>
  </si>
  <si>
    <t>TONER ALTERNATIVO 530A-410A-380A UNIVERSAL GLOBAL</t>
  </si>
  <si>
    <t>CAR319</t>
  </si>
  <si>
    <t>CARTUCHO ORIGINAL 133 MAGENTA  EPSON  EAN:  010343876958</t>
  </si>
  <si>
    <t>CAR318</t>
  </si>
  <si>
    <t>CARTUCHO ORIGINAL EPSON 133 CYAN  EAN:  010343876941</t>
  </si>
  <si>
    <t>CARG735</t>
  </si>
  <si>
    <t>CARGADOR INALAMBRICO CAR-39  INTCO  EAN:  NO TIENE</t>
  </si>
  <si>
    <t>LAB0962</t>
  </si>
  <si>
    <t>VENTILADOR DE PIE STPG20 20" STAR-TRAK EAN:  7798185860962</t>
  </si>
  <si>
    <t>TP1583</t>
  </si>
  <si>
    <t>ACCESS POINT CPE220 OUTDOOR 12DBI TP-LINK  EAN:  6935364091583</t>
  </si>
  <si>
    <t>Routers</t>
  </si>
  <si>
    <t>Tplink</t>
  </si>
  <si>
    <t>LAB1120</t>
  </si>
  <si>
    <t>VENTILADOR GIRATORIO STG41-14 14"  STAR-TRAK EAN:  7798185861020</t>
  </si>
  <si>
    <t>PAD49</t>
  </si>
  <si>
    <t>MOUSE PAD RGB NM-LUMINOSA  NETMAK  EAN:  700306602440</t>
  </si>
  <si>
    <t>Mouse</t>
  </si>
  <si>
    <t>AURI24B</t>
  </si>
  <si>
    <t>AURICULAR TWS BT NG-BTWINS24 BLANCO NOGANET EAN:  7798137718921</t>
  </si>
  <si>
    <t>GAMA0150</t>
  </si>
  <si>
    <t>SECADOR DE PELO G-EVO EVOLUZIONE ULTRA LIGHT RED GAMA  EAN:  8023277120150</t>
  </si>
  <si>
    <t>TLC36</t>
  </si>
  <si>
    <t>CABLE HDMI A 3 RCA 1.5 METROS TL-HDMIRCA  T-LINE</t>
  </si>
  <si>
    <t>FUE05</t>
  </si>
  <si>
    <t>FUENTE ATX 550W 24 PINS NOGANET  EAN:  NO TIENE</t>
  </si>
  <si>
    <t>Fuentes PC</t>
  </si>
  <si>
    <t>GAMA3845</t>
  </si>
  <si>
    <t>PLANCHITA BELLA LED CERAMIC SHINE GAMA  EAN:  8023277143845</t>
  </si>
  <si>
    <t>LAB1198</t>
  </si>
  <si>
    <t>VENTILADOR STP31-18 18" 3 EN 1 STAR-TRAK EAN:  7798185861198</t>
  </si>
  <si>
    <t>ARENA</t>
  </si>
  <si>
    <t>PAD MAUSE NM-ARENA NETMAK  EAN:  0700306602389</t>
  </si>
  <si>
    <t>PAD35</t>
  </si>
  <si>
    <t>PAD MOUSE GEL BLACK NM-PGEL NETMAK  EAN:  0700306603010</t>
  </si>
  <si>
    <t>LAB1075</t>
  </si>
  <si>
    <t>TURBO VENTILADOR STTG31-20 20" STAR-TRAK EAN:  7798185861075</t>
  </si>
  <si>
    <t>CALE33</t>
  </si>
  <si>
    <t>ESTUFA INFRAROJA GIRATORIA E-531 4 VELAS 1600W EIFFEL  EAN:  7798131921013</t>
  </si>
  <si>
    <t>PAR440</t>
  </si>
  <si>
    <t>PARLANTE PORTATIL BLUETOOTH LED NGL-440BT 12" USB/TF -FM MIC TWINS NOGANET  EAN: 7798137717191</t>
  </si>
  <si>
    <t>Parlantes</t>
  </si>
  <si>
    <t>TLC30</t>
  </si>
  <si>
    <t>CABLE DE RED 1 METRO TL-PATCH10  T-LINE  EAN:  NO TIENE</t>
  </si>
  <si>
    <t>CAR169</t>
  </si>
  <si>
    <t>CARTUCHO ORIGINAL EPSON 196 MAGENTA  EAN:  010343902336</t>
  </si>
  <si>
    <t>COO15</t>
  </si>
  <si>
    <t>COOLER CNPS2X AMD/1150/1151  ZALMAN  EAN:  8809213765445</t>
  </si>
  <si>
    <t>Zalman</t>
  </si>
  <si>
    <t>TALT29</t>
  </si>
  <si>
    <t>CARTUCHO TONER ALTERNATIVO HP Q6511 GLOBAL  EAN:  NO TIENE</t>
  </si>
  <si>
    <t>CARG50</t>
  </si>
  <si>
    <t>CARGADOR INALAMBRICO NG-Q03 10  NOGANET  EAN:  7798137717849</t>
  </si>
  <si>
    <t>CAR215</t>
  </si>
  <si>
    <t>CARTUCHO ORIGINAL HP 22XL COLOR  EAN:  884420013310</t>
  </si>
  <si>
    <t>CALE31</t>
  </si>
  <si>
    <t>ESTUFA HALÓGENA FIJA 2 VELAS 800W E-511  EIFFEL  EAN:  7798131920931</t>
  </si>
  <si>
    <t>CAR211</t>
  </si>
  <si>
    <t>CARTUCHO ORIGINAL 75 COLOR HP  EAN:  808736847056</t>
  </si>
  <si>
    <t>CAB500</t>
  </si>
  <si>
    <t>CABLE ALARGUE USB 2.0 1.8MT NM-C09 1.8  NETMAK   EAN:  7792641880099</t>
  </si>
  <si>
    <t>LAB1952</t>
  </si>
  <si>
    <t>CALOVENTOR 2 POCISIONES ROSA STC122-R  STAR-TRAK  EAN:  7798185861952</t>
  </si>
  <si>
    <t>CALE1938</t>
  </si>
  <si>
    <t>CALOVENTOR VERTICAL VIOLETA STC122-V  STAR-TRAK  EAN:  7798185861938</t>
  </si>
  <si>
    <t>TALT45</t>
  </si>
  <si>
    <t>CARTUCHO TONER ALTERNATIVO HP CF287A GLOBAL  EAN:  NO TIENE</t>
  </si>
  <si>
    <t>AURI90B</t>
  </si>
  <si>
    <t>AURICULAR BT IN EAR TWA-90B BLANCO AIWA  EAN:  7798111354794</t>
  </si>
  <si>
    <t>AIWA</t>
  </si>
  <si>
    <t>GAMA9601</t>
  </si>
  <si>
    <t>DEPILADORA OASIS GOLD GAMA  EAN:  8023277149601</t>
  </si>
  <si>
    <t>AURI0054</t>
  </si>
  <si>
    <t>AURICULAR NGX-BTWINS 4 GAMING ROSA  NOGANET  EAN:  7798137720054</t>
  </si>
  <si>
    <t>AURI24RJ</t>
  </si>
  <si>
    <t>AURICULAR TWS BT NG-BTWINS24 ROJO NOGANET  EAN:  7798137718914</t>
  </si>
  <si>
    <t>FIT04</t>
  </si>
  <si>
    <t>PULSERA BT FITNESS NG-SB01 NEGRO   NOGANET   EAN:  7798137714763</t>
  </si>
  <si>
    <t>TLC09</t>
  </si>
  <si>
    <t>CABLE HDMI FLAT 4K 2.5 METROS T-LINE  EAN: NO TIENE</t>
  </si>
  <si>
    <t>CAR160</t>
  </si>
  <si>
    <t>CARTUCHO ALTERNATIVO HP 93 COLOR GLOBAL EAN:  NO TIENE</t>
  </si>
  <si>
    <t>EST011</t>
  </si>
  <si>
    <t>ESTABILIZADOR DE TENSION R500@ ATOMLUX  EAN:  7796682099427</t>
  </si>
  <si>
    <t>CAR473</t>
  </si>
  <si>
    <t>CARTUCHO ORIGINAL 296 AMARILLO EPSON  EAN:  010343922020</t>
  </si>
  <si>
    <t>CALE57</t>
  </si>
  <si>
    <t>ESTUFA INFRAROJA FIJA E-533 4 VELAS 1600W  EIFFEL  EAN:  7798131921020</t>
  </si>
  <si>
    <t>AURI1650B</t>
  </si>
  <si>
    <t>AURICULAR NG-1650 BLANCO NOGANET  EAN:  7798137719218</t>
  </si>
  <si>
    <t>TRU144</t>
  </si>
  <si>
    <t>MOUSE GAMING VERTICAL REXX GXT 144  NEGRO 10000DPI  TRUST   EAN:  8713439229912</t>
  </si>
  <si>
    <t>Trust</t>
  </si>
  <si>
    <t>GAMA10</t>
  </si>
  <si>
    <t>SECADOR DE PELO MISTRAL CERAMIC ION GAMA  EAN:  8023277145726</t>
  </si>
  <si>
    <t>PAD50</t>
  </si>
  <si>
    <t>PAD MOUSE GAMER HORIZON NOGANET  EAN: 7798137718396</t>
  </si>
  <si>
    <t>TON211</t>
  </si>
  <si>
    <t>TONER ORIGINAL PB211 PANTUM  EAN: 6936358015462</t>
  </si>
  <si>
    <t>Pantum</t>
  </si>
  <si>
    <t>CEL510</t>
  </si>
  <si>
    <t>CELULAR YOLO ROJO 3G 5" QUAD CORE QUANTUM  EAN:  7798243635501</t>
  </si>
  <si>
    <t>Celulares</t>
  </si>
  <si>
    <t>Quantum</t>
  </si>
  <si>
    <t>CAR268</t>
  </si>
  <si>
    <t>CARTUCHO ALTERNATIVO HP 56 NEGRO GLOBAL  EAN:  NO TIENE</t>
  </si>
  <si>
    <t>TON512</t>
  </si>
  <si>
    <t>CARTUCHO TONER ALTERNATIVO HP CF512A AMARILLO  GLOBAL  EAN:  NO TIENE</t>
  </si>
  <si>
    <t>TON513</t>
  </si>
  <si>
    <t>CARTUCHO TONER ALTERNATIVO HP CF513A MAGENTA  GLOBAL  EAN:  NO TIENE</t>
  </si>
  <si>
    <t>FUN85</t>
  </si>
  <si>
    <t>FUNDA PARA TABLET CON TECLADO 7" NEGRA NETMAK  EAN:  700306601252</t>
  </si>
  <si>
    <t>Accesorios</t>
  </si>
  <si>
    <t>CAR353</t>
  </si>
  <si>
    <t>CARTUCHO ALTERNATIVO HP 564XL NEGRO EVERTEC  EAN:  6954093112734</t>
  </si>
  <si>
    <t>AURI0030</t>
  </si>
  <si>
    <t>AURICULAR NGX-BTWINS 3 NOGANET EAN:  7798137720030</t>
  </si>
  <si>
    <t>TIN673Y</t>
  </si>
  <si>
    <t>BOTELLA TINTA ORIGINAL 673 AMARILLO  EPSON  EAN:  010343888296</t>
  </si>
  <si>
    <t>CAR471</t>
  </si>
  <si>
    <t xml:space="preserve">CARTUCHO ORIGINAL T296220 CYAN EPSON  EAN: </t>
  </si>
  <si>
    <t>CAB361</t>
  </si>
  <si>
    <t>CABLE VGA M/M NM-C18 5MT NETMAK   EAN:  7792641882192</t>
  </si>
  <si>
    <t>EST500</t>
  </si>
  <si>
    <t>ESTABILIZADOR 220 VCA PROTECCION P/INTERNET H500  T-LINE  EAN:  7796682099205</t>
  </si>
  <si>
    <t>AURI8372</t>
  </si>
  <si>
    <t>AURICULAR NOGA NG-BTWINS 21 EAN 7798137718372</t>
  </si>
  <si>
    <t>TLC41</t>
  </si>
  <si>
    <t>CABLE HDMI A MINI HDMI 1.5mts</t>
  </si>
  <si>
    <t>TLC11</t>
  </si>
  <si>
    <t xml:space="preserve">CABLE VGA CON FILTRO 2 METROS T-LINE  EAN:  NO TIENE </t>
  </si>
  <si>
    <t>CARG727</t>
  </si>
  <si>
    <t>FUENTE ACER 19V 3.42A 5.5*1.7  BELSIC   EAN:  NO TIENE</t>
  </si>
  <si>
    <t>Belsic</t>
  </si>
  <si>
    <t>CAR522</t>
  </si>
  <si>
    <t>CARTUCHO ALTERNATIVO EPSON T196 MAGENTA GLOBAL  EAN:  NO TIENE</t>
  </si>
  <si>
    <t>CAB135</t>
  </si>
  <si>
    <t>ADAPTADOR VGA (H) A VGA (H)  NM-VGAH  NETMAK  EAN:  7792641881003</t>
  </si>
  <si>
    <t>Adaptadores</t>
  </si>
  <si>
    <t>GAMA3984</t>
  </si>
  <si>
    <t>RIZADOR NEW TOUR RGSTD-N 25MM GAMA   EAN:  8023277123984</t>
  </si>
  <si>
    <t>ACC106</t>
  </si>
  <si>
    <t>REPRODUCTOR MP3 PARA AUTO NG-26 NOGANET  EAN:  7798137701367</t>
  </si>
  <si>
    <t>Accesorios para Vehiculos</t>
  </si>
  <si>
    <t>DVD49</t>
  </si>
  <si>
    <t>CD PRINTABLE BULK X50 UNIDADES 700MB 52X GLOBAL</t>
  </si>
  <si>
    <t>BUL2</t>
  </si>
  <si>
    <t>CD PRINTABLE BULK X 100 UNIDADES 700MB 52X IMATION</t>
  </si>
  <si>
    <t>Imation</t>
  </si>
  <si>
    <t>LAB1682</t>
  </si>
  <si>
    <t>TOSTADORA ELECTRICA NEGRA BT-PM2BAR1 MIDEA  EAN:  7797087371682</t>
  </si>
  <si>
    <t>TIN504Y</t>
  </si>
  <si>
    <t>BOTELLA TINTA ORIGINAL EPSON 504 AMARILLA  EAN:</t>
  </si>
  <si>
    <t>CAB368</t>
  </si>
  <si>
    <t>CABLE VGA M/M NM-C18 3 METROS  NETMAK EAN:  7792641882185</t>
  </si>
  <si>
    <t>CAR147</t>
  </si>
  <si>
    <t>CARTUCHO ALTERNATIVO HP 94 NEGRO POWERTEC / EVERTEC</t>
  </si>
  <si>
    <t>FUE60</t>
  </si>
  <si>
    <t>FUENTE HUB NG-360 USB 6 PUERTOS NOGANET  EAN: 7798137712790</t>
  </si>
  <si>
    <t>CAR2061</t>
  </si>
  <si>
    <t>CARTUCHO EPSON T2061 NEGRO ORIGINAL P/ XP2101</t>
  </si>
  <si>
    <t>CAB232</t>
  </si>
  <si>
    <t>CABLE VGA M/M 1,5 METROS NM-C18  NETMAK  EAN:  7792641880181</t>
  </si>
  <si>
    <t>CAR521</t>
  </si>
  <si>
    <t>CARTUCHO ALTERNATIVO EPSON 196 CYAN  GLOBAL / NETMAK   EAN:  NO TIENE</t>
  </si>
  <si>
    <t>GAMA1840</t>
  </si>
  <si>
    <t>PLANCHITA SLICE- XU GAMA  EAN:  8023277151840</t>
  </si>
  <si>
    <t>TIN026</t>
  </si>
  <si>
    <t>BOTELLA TINTA ALTERNATIVA EPSON 673 CYAN CLARO 100ML GLOBAL  EAN:  NO TIENE</t>
  </si>
  <si>
    <t>CAB502</t>
  </si>
  <si>
    <t>CABLE VGA M/M 5 METROS NM-C18 5  NETMAK   EAN:  7792641882192</t>
  </si>
  <si>
    <t>FUE23</t>
  </si>
  <si>
    <t>CARGADOR FUENTE UNIVERSAL 90w NM-1287  NETMAK  EAN:  700306601399</t>
  </si>
  <si>
    <t>CAR326</t>
  </si>
  <si>
    <t>CARTUCHO ORIGINAL EPSON 196 AMARILLO EAN:  010343902343</t>
  </si>
  <si>
    <t>PAD1228</t>
  </si>
  <si>
    <t>PAD MAUSE NETMAK LISO AZUL NM-M1228</t>
  </si>
  <si>
    <t>GAMA5894</t>
  </si>
  <si>
    <t>CORTA PELO RACE R642 GAMA  EAN:  8023277145894</t>
  </si>
  <si>
    <t>TIN02</t>
  </si>
  <si>
    <t>BOTELLA TINTA ORIGINAL EPSON T664 CYAN 70ML L2220 L365 L375 L38 EAN:  01034388530</t>
  </si>
  <si>
    <t>Tinta Original</t>
  </si>
  <si>
    <t>CAR520</t>
  </si>
  <si>
    <t>CARTUCHO ALTERNATIVO EPSON T197 NEGRO  GLOBAL  EAN:  NO TIENE</t>
  </si>
  <si>
    <t>TAB109</t>
  </si>
  <si>
    <t>TABLET I MOBIL 9" QUAD CORE HD CAMARA F 2MP TR 5MP 1GB RAM ANDROID 5.1  EAN:  NO TIENE</t>
  </si>
  <si>
    <t>Tablets</t>
  </si>
  <si>
    <t>Imobil</t>
  </si>
  <si>
    <t>CALE34</t>
  </si>
  <si>
    <t>CALOVENTOR E-541 2000 WTS  EIFFEL  EAN:  7798131921037</t>
  </si>
  <si>
    <t>GAMA9816</t>
  </si>
  <si>
    <t>SECADOR DE PELO HELIOS- CX GFAMA  EAN:  8023277149816</t>
  </si>
  <si>
    <t>ALT2062</t>
  </si>
  <si>
    <t>CARTUCHO ALTERNATIVO EPSON T2062 CYAN  GLOBAL  EAN:  NO TIENE</t>
  </si>
  <si>
    <t>COMBO407</t>
  </si>
  <si>
    <t>KIT TEC/MOUSE/AURI/PAD NKB-407 NOGANET  EAN: 7798137716699</t>
  </si>
  <si>
    <t xml:space="preserve">Kit teclado y Mouse </t>
  </si>
  <si>
    <t>ACC0481</t>
  </si>
  <si>
    <t>RELOJ SMARTWATCH NG-SW04 VERDE  NOGANET EAN:  7798137720481</t>
  </si>
  <si>
    <t>CAR90</t>
  </si>
  <si>
    <t>CARTUCHO ALTERNATIVO LEX16 NEGRO LEXMARK  GLOBAL  EAN:  NO TIENE</t>
  </si>
  <si>
    <t>CAR345</t>
  </si>
  <si>
    <t>CARTUCHO ORIGINAL 920XL AMARILLO HP  EAN:  884420772446</t>
  </si>
  <si>
    <t>CAR344</t>
  </si>
  <si>
    <t>CARTUCHO ORIGINAL 920XL MAGENTA HP EAN:  884420772439</t>
  </si>
  <si>
    <t>CALE29</t>
  </si>
  <si>
    <t>ESTUFA DE CUARZO VERTICAL 1.200W E-501 EIFFEL  EAN:  7798131920917</t>
  </si>
  <si>
    <t>CAR239</t>
  </si>
  <si>
    <t>CARTUCHO ALTERNATIVO EPSON T1351 NEGRO  GLOBAL  EAN:  NO TIENE</t>
  </si>
  <si>
    <t>ACC3423</t>
  </si>
  <si>
    <t>GAMEPAD BT PS4 AMARILLO NM-P401Y NETMAK   EAN:  0700306603423</t>
  </si>
  <si>
    <t>Joysticks</t>
  </si>
  <si>
    <t>CAR235</t>
  </si>
  <si>
    <t>CARTUCHO ALTERNATIVO T0732N CYAN EPSON GLOBAL</t>
  </si>
  <si>
    <t>CAB219</t>
  </si>
  <si>
    <t>CABLE DE RED UTP NM-C04 1  1 METRO NETMAK  EAN:  7792641882062</t>
  </si>
  <si>
    <t>CALE1082BLANCO</t>
  </si>
  <si>
    <t>CALOVENTOR VERTICAL BLANCO STC111-B STAR-TRAK  EAN:  7798185861082</t>
  </si>
  <si>
    <t>LAB1846</t>
  </si>
  <si>
    <t>VENTILADOR STP31-10N 10" ROSA STAR-TRAK EAN:  7798185861846</t>
  </si>
  <si>
    <t>CON57</t>
  </si>
  <si>
    <t>CONSOLA GAMER 8 BIT NM-CLASS NETMAK EAN:  0700306601467</t>
  </si>
  <si>
    <t>FUN200</t>
  </si>
  <si>
    <t>FUNDA TABLET 7" NG-8528V NEGRA NOGANET  EAN:  7798137706393</t>
  </si>
  <si>
    <t>CAR349</t>
  </si>
  <si>
    <t>CARTUCHO ALTERNATIVO HP 675 XL NEGRO GLOBAL  EAN: NO TIENE</t>
  </si>
  <si>
    <t>FUN87</t>
  </si>
  <si>
    <t>FUNDA P/TABLET 7" MICROCASE</t>
  </si>
  <si>
    <t>Microcase</t>
  </si>
  <si>
    <t>FUE67</t>
  </si>
  <si>
    <t>FUENTE PARA PC ATX600W NOGA ATX-600NB NEGRA</t>
  </si>
  <si>
    <t>CARG04</t>
  </si>
  <si>
    <t>CARGADOR UNIVERSAL NOTEBOOK 96</t>
  </si>
  <si>
    <t>CAB143</t>
  </si>
  <si>
    <t>CABLE FLAT USB-MICRO USB NM-C88 NETMAK  EAN:  NO TIENE</t>
  </si>
  <si>
    <t>JUE8282</t>
  </si>
  <si>
    <t>LANZADOR DE AGUA WATER PUMP ROSA MOD: 8282 -BASE-X SPLASH -EAN:  7453077202748</t>
  </si>
  <si>
    <t xml:space="preserve">JUGUETES </t>
  </si>
  <si>
    <t>BASE-X SPLASH</t>
  </si>
  <si>
    <t>SOPV3</t>
  </si>
  <si>
    <t>SOPORTE NG-HOLD V3 PARA SMARTPHONE UNIVERSAL NOGANET  EAN: 7798137719287</t>
  </si>
  <si>
    <t xml:space="preserve">Soportes </t>
  </si>
  <si>
    <t>CKIT02</t>
  </si>
  <si>
    <t>CAR KIT BT SILVER NOGANET  EAN: 7798137713117</t>
  </si>
  <si>
    <t>CAR476</t>
  </si>
  <si>
    <t>CARTUCHO ALTERNATIVO HP 901 XL NEGRO  GLOBAL  EAN:  NO TIENE</t>
  </si>
  <si>
    <t>CAB08</t>
  </si>
  <si>
    <t>CABLE DE AUDIO 2 RCA A 2 RCA   2 METROS NM-C32  NETMAK  EAN:  7792641880327</t>
  </si>
  <si>
    <t>CAR475</t>
  </si>
  <si>
    <t>CARTUCHO ALTERNATIVO HP 46 XL COLOR  GLOBAL  EAN:  NO TIENE</t>
  </si>
  <si>
    <t>CAR474</t>
  </si>
  <si>
    <t>CARTUCHO ALTERNATIVO HP 46 XL NEGRO  GLOBAL EAN:  NO TIENE</t>
  </si>
  <si>
    <t>JUE8118</t>
  </si>
  <si>
    <t>MOCHILA DE AGUA TIBURON MOD: 8118 AZUL -BASE-X SPLASH -EAN:  7453077239416</t>
  </si>
  <si>
    <t>GAMA0609</t>
  </si>
  <si>
    <t>BALANZA DE BAÑO FIT CARE GAMA  EAN:  8023277130609</t>
  </si>
  <si>
    <t>CAB237</t>
  </si>
  <si>
    <t>ADAPTADOR OTG USB 3,0 NM-TC3  NETMAK  EAN:  7792641881836</t>
  </si>
  <si>
    <t>AURI6934</t>
  </si>
  <si>
    <t>AURICULAR HEADSET SL-HSWG902  GRIS GAMER SMARTLIFE  EAN: 7798081286934</t>
  </si>
  <si>
    <t>Smartlife</t>
  </si>
  <si>
    <t>TEL6070</t>
  </si>
  <si>
    <t>TELEFONO DE MESA KX-TSC6070CID WINCO  EAN:  6954851260066</t>
  </si>
  <si>
    <t>PAR3454</t>
  </si>
  <si>
    <t>PARLANTE BT NM-N57  NETMAK EAN:  0700306603454</t>
  </si>
  <si>
    <t>CAB265</t>
  </si>
  <si>
    <t>CABLE HDMI M/M 1.4 15 METROS NOGANET  EAN:  7798137697677</t>
  </si>
  <si>
    <t>CAR663</t>
  </si>
  <si>
    <t>CARTUCHO ALTERNATIVO HP 662XL COLOR  GLOBAL  EAN:  NO TIENE</t>
  </si>
  <si>
    <t>CAR240</t>
  </si>
  <si>
    <t>CARTUCHO ORIGINAL 122 TRICOLOR CH562HL HP  EAN:  8496298355</t>
  </si>
  <si>
    <t>NORDIC</t>
  </si>
  <si>
    <t>PAD MAUSE NM-NORDIC NETMAK  EAN:  0770306602365</t>
  </si>
  <si>
    <t>AURI9028AZ</t>
  </si>
  <si>
    <t>AURICULAR ST-9028 AZUL Y NEGRO NOGANET  EAN:  7798137719027</t>
  </si>
  <si>
    <t>AURI9028NJ</t>
  </si>
  <si>
    <t>AURICULAR ST-9028 NARANJA Y NEGRO NOGANET  EAN:  7798137719010</t>
  </si>
  <si>
    <t>PAD42</t>
  </si>
  <si>
    <t>PAD MOUSE LISO NM-M1226 NEGRO  NETMAK</t>
  </si>
  <si>
    <t>CAR325</t>
  </si>
  <si>
    <t>CARTUCHO ORIGINAL 133 AMARILLO EPSON EAN:  010343876965</t>
  </si>
  <si>
    <t>CAB371</t>
  </si>
  <si>
    <t>CABLE ALARGUE USB M/H 10 METROS  NM-C09 10  NETMAK  EAN: NO TIENE</t>
  </si>
  <si>
    <t>FUN206</t>
  </si>
  <si>
    <t>FUNDA TABLET 7" BG-8117U PROTECT SERIES NOGANET  EAN:  7798137706768</t>
  </si>
  <si>
    <t>TONER1105</t>
  </si>
  <si>
    <t>CARTUCHO TONER ALTERNATIVO HP W1105/1106/1107 SIN CHIP  GLOBAL  EAN:  NO TIENE</t>
  </si>
  <si>
    <t>POWER06</t>
  </si>
  <si>
    <t>CARGADOR PORTATIL 2600mHA TRV EAN:  7798026131305</t>
  </si>
  <si>
    <t>Trv</t>
  </si>
  <si>
    <t>CARHP96</t>
  </si>
  <si>
    <t>CARTUCHO ALTERNATIVO HP 96 NEGRO  GLOBAL  EAN:  NO TIENE</t>
  </si>
  <si>
    <t>CAR288</t>
  </si>
  <si>
    <t>CARTUCHO ALT T1332 CYAN EPSON</t>
  </si>
  <si>
    <t>TALT05</t>
  </si>
  <si>
    <t>CARTUCHO TONER ALTERNATIVO CB540 NEGRO EVERTEC</t>
  </si>
  <si>
    <t>COMBO233</t>
  </si>
  <si>
    <t>COMBO TECLADO + MOUSE GAMER NKB-233 NOGANET EAN: 7798137718754</t>
  </si>
  <si>
    <t>TINGT52M</t>
  </si>
  <si>
    <t>BOTELLA TINTA ORIGINAL HP GT52 MAGENTA M0H55AL  EAN:  190780132548</t>
  </si>
  <si>
    <t>MEM300</t>
  </si>
  <si>
    <t>MEMORIA MICRO SD HC 64 GB CON ADAPTADOR VERBATIM  EAN:  023942440840</t>
  </si>
  <si>
    <t>Tarjetas de Memoria</t>
  </si>
  <si>
    <t>Verbatim</t>
  </si>
  <si>
    <t>CAR307</t>
  </si>
  <si>
    <t>CARTUCHO ORIGINAL 733 MAGENTA EPSON  EAN: 010343858886</t>
  </si>
  <si>
    <t>CAR350</t>
  </si>
  <si>
    <t>CARTUCHO ALTERNATIVO HP 675XL COLOR  GLOBAL  EAN:  NO TIENE</t>
  </si>
  <si>
    <t>GOD42</t>
  </si>
  <si>
    <t>CUBREVOLANTE GOODYEAR MOD: GYS-WC138-PU</t>
  </si>
  <si>
    <t>Goodyear</t>
  </si>
  <si>
    <t>CAR8727</t>
  </si>
  <si>
    <t>CARTUCHO ALTERNATIVO HP 8727A NEGRO  GLOBAL  EAN:  NO TIENE</t>
  </si>
  <si>
    <t>TON511</t>
  </si>
  <si>
    <t>CARTUCHO TONER ALTERNATIVO HP CF511A CYAN  GLOBAL  EAN:  NO TIENE</t>
  </si>
  <si>
    <t>AURI0658</t>
  </si>
  <si>
    <t>AURICULAR NOGA NGX-BTWINS 5 GAMING EAN 7798137720658</t>
  </si>
  <si>
    <t>CAR237</t>
  </si>
  <si>
    <t>CARTUCHO ALTERNATIVO EPSON T0734N AMARILLO  GLOBAL  EAN:  NO TIENE</t>
  </si>
  <si>
    <t>TONER280</t>
  </si>
  <si>
    <t>TONER ALTERNATIVO HP 280A/505A</t>
  </si>
  <si>
    <t>ALTERNATIVO</t>
  </si>
  <si>
    <t>TLC18</t>
  </si>
  <si>
    <t>CABLE MINI PLUG A MINI PLUG 3.5mm 2 METROS M / M  TL3535M2  T-LINE</t>
  </si>
  <si>
    <t>CAR101</t>
  </si>
  <si>
    <t>CARTUCHO ALTERNATIVO HP 56A NEGRO  GLOBAL  EAN:  NO TIENE</t>
  </si>
  <si>
    <t>TLC27</t>
  </si>
  <si>
    <t>CABLE USB A MICRO USB 0.50 METROS TL-USBMUSB050  T-LINE</t>
  </si>
  <si>
    <t>AURI125N</t>
  </si>
  <si>
    <t>AURICULAR BT NG-55 FIT NEGRO NOGANET  EAN:  7798137703743</t>
  </si>
  <si>
    <t>FUE53</t>
  </si>
  <si>
    <t>FUENTE/ CARGADOR 500MA MP3/4 NG-345  NOGANET  EAN:  7798137385000</t>
  </si>
  <si>
    <t>ACC1740</t>
  </si>
  <si>
    <t>ADAPTADOR USB INALAMBRICO NM-CS154  NETMAK  EAN:  0700306601740</t>
  </si>
  <si>
    <t>CAR671</t>
  </si>
  <si>
    <t>CARTUCHO ALTERNATIVO HP 670XL CYAN  GLOBAL  EAN:  NO TIENE</t>
  </si>
  <si>
    <t>CAR672</t>
  </si>
  <si>
    <t>CARTUCHO ALTERNATIVO HP 670XL MAGENTA  GLOBAL  EAN:  NO TIENE</t>
  </si>
  <si>
    <t>ACC279</t>
  </si>
  <si>
    <t>CABLE DE RED 2 METROS NM-C04 2   NETMAK  EAN:  7792641882079</t>
  </si>
  <si>
    <t>CAR336</t>
  </si>
  <si>
    <t>CARTUCHO ALTERNATIVO HP 122 XL COLOR GLOBAL EAN:  NO TIENE</t>
  </si>
  <si>
    <t>PAD03</t>
  </si>
  <si>
    <t>PAD GAMER G1 LED NARANJA / CELESTE NOGANET  EAN: 7798137709103</t>
  </si>
  <si>
    <t>AURI203B</t>
  </si>
  <si>
    <t>AURICULAR EARBUD SL-EBP203 BLANCO SMARTLIFE   EAN:  7798081286859</t>
  </si>
  <si>
    <t>CAB95</t>
  </si>
  <si>
    <t>ADAPTADOR MICRO USB 5P A 11P   NM-C87 NETMAK   EAN:  NO TIENE</t>
  </si>
  <si>
    <t>TLC22</t>
  </si>
  <si>
    <t>CABLE USB IMPRESORA 3 METROS TL-PRINT3  T-LINE</t>
  </si>
  <si>
    <t>ACC741</t>
  </si>
  <si>
    <t>CANDADO PARA NOTEBOOK CON LLAVE NG-628  NOGANET  EAN:  7798137385758</t>
  </si>
  <si>
    <t>ACC732</t>
  </si>
  <si>
    <t>CANDADO PARA NOTEBOOK NG-608BL  NOGANET EAN:  7798137388155</t>
  </si>
  <si>
    <t>JUE8162</t>
  </si>
  <si>
    <t>MOCHILA DE AGUA ARMA MOD: 8162 -BASE-X ARMY -EAN:  7450077082875</t>
  </si>
  <si>
    <t>AURI502</t>
  </si>
  <si>
    <t>AURICULAR NG-BTWINS 5S CELESTE NOGANET  EAN:  7798137717894</t>
  </si>
  <si>
    <t>PLAY13</t>
  </si>
  <si>
    <t>JOYSTICK NG-3004 PLATEADO PS2  NOGANET  EAN:  7798137700438</t>
  </si>
  <si>
    <t>ACL08</t>
  </si>
  <si>
    <t>CLEAR COVER GALAXY S8 GOLD SAMSUNG  EAN:  8806088689104</t>
  </si>
  <si>
    <t>ACCB09</t>
  </si>
  <si>
    <t>RECEPTOR BT INALAMBRICO NG-B09 NOGANET  EAN: 7798137714893</t>
  </si>
  <si>
    <t>TALT03</t>
  </si>
  <si>
    <t>CARTUCHO TONER ALTERNATIVO HP 2612 GLOBAL  EAN:  NO TIENE</t>
  </si>
  <si>
    <t>CAB309</t>
  </si>
  <si>
    <t>CABLE HDMI M/M V1.4 5M NM-C47 5  NETMAK  EAN:  7792641882475</t>
  </si>
  <si>
    <t>CAB271</t>
  </si>
  <si>
    <t>CABLE EXTENSION USB 2.0 5 METROS NOGANET  EAN:  7798137709523</t>
  </si>
  <si>
    <t>LAB2934</t>
  </si>
  <si>
    <t>LIMPIADOR FACIAL WECF05250PI  BESSENCE EAN:  7799111032934</t>
  </si>
  <si>
    <t>Bessence</t>
  </si>
  <si>
    <t>FIT06</t>
  </si>
  <si>
    <t>PULSERA BT FITNESS NG-SB01 CELESTE NOGANET  EAN: 7798137716439</t>
  </si>
  <si>
    <t>CAB233</t>
  </si>
  <si>
    <t>EXTENSOR HDMI CAT5 5E/6 NM-C56  NETMAK  EAN:  NO TIENE</t>
  </si>
  <si>
    <t>CARRY2</t>
  </si>
  <si>
    <t>CARRY DISK EXTERNO NM-CARRY2  NETMAK  EAN:  NO TIENE</t>
  </si>
  <si>
    <t>AURI703AZ</t>
  </si>
  <si>
    <t>AURICULAR GAMER ST-703 AZUL C/MIC Y C/VOL NOGANET  EAN: 7798137719096</t>
  </si>
  <si>
    <t>TLC42</t>
  </si>
  <si>
    <t>SPLITER HDMI 3 BOCAS  TL-SHDMI3  T-LINE  EAN:  NO TIENE</t>
  </si>
  <si>
    <t>Sistemas De Monitoreo</t>
  </si>
  <si>
    <t>TONER1</t>
  </si>
  <si>
    <t>CARTUCHO TONER ALTERNATIVO SAMSUNG D111S  GLOBAL  EAN:  NO TIENE</t>
  </si>
  <si>
    <t>CAR673</t>
  </si>
  <si>
    <t>CARTUCHO ALTERNATIVO HP 670XL AMARILLO  GLOBAL  EAN:  NO TIENE</t>
  </si>
  <si>
    <t>CAR199</t>
  </si>
  <si>
    <t>CARTUCHO ORIGINAL EPSON 195 AMARILLO  EAN:  010343902305</t>
  </si>
  <si>
    <t>CAR197</t>
  </si>
  <si>
    <t>CARTUCHO ORIGINAL EPSON 195 CYAN  EAN:</t>
  </si>
  <si>
    <t>CAR410</t>
  </si>
  <si>
    <t>CARTUCHO ALTERNATIVO 6625A COLOR  GLOBAL  EAN:  NO TIENE</t>
  </si>
  <si>
    <t>TWINS2</t>
  </si>
  <si>
    <t>AURICULARES BT  TWINS NG-BTWINS2 BLANCO NOGANET  EAN:  7798137713889</t>
  </si>
  <si>
    <t>AURI24N</t>
  </si>
  <si>
    <t>AURICULAR BT NG-BTWINS24 NEGRO NOGANET EAN:  7798137718891</t>
  </si>
  <si>
    <t>MOU05NG</t>
  </si>
  <si>
    <t>MOUSE INALAMBRICO NGM-05 NEGRO Y GRIS NOGANET  EAN:  7798137718938</t>
  </si>
  <si>
    <t>TLC15</t>
  </si>
  <si>
    <t>CABLE PLUG 3.5 HEMBRA A 2 RCA MACHO 0.4 METROS TL-MP2RCA04  T-LINE</t>
  </si>
  <si>
    <t>CAR427</t>
  </si>
  <si>
    <t>CARTUCHO ALTERNATIVO HP 951XL MAGENTA</t>
  </si>
  <si>
    <t>CAB011</t>
  </si>
  <si>
    <t>ADAPTADOR MICHDMI-HDMI 09-011  INTCO  EAN:  NO TIENE</t>
  </si>
  <si>
    <t>CAB563</t>
  </si>
  <si>
    <t>ADAPTADOR RA-USB1 MICRO USB TC 3.0  REMAX</t>
  </si>
  <si>
    <t>Remax</t>
  </si>
  <si>
    <t>PAD26</t>
  </si>
  <si>
    <t>PAD MOUSE RED DESING (23*19CM) NM-PADR NETMAK</t>
  </si>
  <si>
    <t>AURI5548</t>
  </si>
  <si>
    <t>AURICULAR SPORT FIT NG-BT322 BLANCO NOGANET  EAN:  7798137715548</t>
  </si>
  <si>
    <t>TALT43</t>
  </si>
  <si>
    <t>CARTUCHO TONER ALTERNATIVO HP CF226A GLOBAL  EAN:  NO TIENE</t>
  </si>
  <si>
    <t>TALT06</t>
  </si>
  <si>
    <t>CARTUCHO TONER ALTERNATIVO HP CB541A CYAN  EVERTEC  EAN:  6954093112628</t>
  </si>
  <si>
    <t>HUB15</t>
  </si>
  <si>
    <t>HUB USB NM-AC01 4 PUERTOS NETMAK  EAN:  7792641895017</t>
  </si>
  <si>
    <t>UBS USB</t>
  </si>
  <si>
    <t>LAB144</t>
  </si>
  <si>
    <t>LED DE PARED CON SENSOR DE MOVIMIETNO 17455  GENERAL ELECTRICS  EAN:  043180174550</t>
  </si>
  <si>
    <t>Herramientas</t>
  </si>
  <si>
    <t>General electric</t>
  </si>
  <si>
    <t>TRU07</t>
  </si>
  <si>
    <t>MOUSE ZIVA 2000 DPI TRUST 21512  EAN:  8713439215120</t>
  </si>
  <si>
    <t>CARG358N</t>
  </si>
  <si>
    <t>CARGADOR DE CELULAR NGA-358 NEGRO  NOGANET  EAN:  7798137720078</t>
  </si>
  <si>
    <t>CAR620</t>
  </si>
  <si>
    <t>CARTUCHO ALTERNATIVO EPSON T297 NEGRO  GLOBAL  EAN:  NO TIENE</t>
  </si>
  <si>
    <t>CAB017B</t>
  </si>
  <si>
    <t>ADAPTADOR DVI MACHO 24+5  A HDMI HEMBRA 09-017B  INTCO  EAN:  NO TIENE</t>
  </si>
  <si>
    <t>EST164</t>
  </si>
  <si>
    <t>FUNDA PORTA TABLET 7" GALAXY TAB 2 SFOL-107 NEGRO  CASE LOGIC  EAN:  085854227452</t>
  </si>
  <si>
    <t>Case logic</t>
  </si>
  <si>
    <t>JUE8274</t>
  </si>
  <si>
    <t>MOCHILA DE AGUA GRANADA MOD: 8274 -BASE-X SPLASH ARMY -EAN:  7453077202977</t>
  </si>
  <si>
    <t>ACC283</t>
  </si>
  <si>
    <t>ADAPTADOR HDMI (H) A MINI+MICRO HD  NM-C8  NETMAK  EAN:  7792641880013</t>
  </si>
  <si>
    <t>TON1103</t>
  </si>
  <si>
    <t>CARTUCHO TONER ALTERNATIVO HP 103A W1103A GLOBAL EAN:  NO TIENE</t>
  </si>
  <si>
    <t>PAD02</t>
  </si>
  <si>
    <t>PAD MOUSE CON GEL AZUL  EAN:  NO TIENE</t>
  </si>
  <si>
    <t>CAB118</t>
  </si>
  <si>
    <t>CABLE PLUG 3.5 a 2 RCA 1.8 METROS NOGANET  EAN:  NO TIENE</t>
  </si>
  <si>
    <t>JUE8305</t>
  </si>
  <si>
    <t>LANZADOR DE AGUA WATER PUMP MPD: 8305 ROSA -BASE-X SPLASH  EAN:  7450077090733</t>
  </si>
  <si>
    <t>MIC17</t>
  </si>
  <si>
    <t>MICROFONO INALAMBRICO NM-MC8 + PILA  NETMAK  EAN:  NO TIENE</t>
  </si>
  <si>
    <t>Microfonos</t>
  </si>
  <si>
    <t>AURI477</t>
  </si>
  <si>
    <t>AURICULAR RITMO NM-RTM-P ROSA  NETMAK  EAN:  700306601122</t>
  </si>
  <si>
    <t>AURI268</t>
  </si>
  <si>
    <t>AURICULAR SPORT FIT NG-SF322 NEGRO NOGANET  EAN: 7798137715531</t>
  </si>
  <si>
    <t>AURI272</t>
  </si>
  <si>
    <t>AURICULAR SPORT FIT NG-SF322 VERDE NOGANET  EAN: 7798137715579</t>
  </si>
  <si>
    <t>TLC13</t>
  </si>
  <si>
    <t>CABLE VGA CON FILTRO 5 METROS T-LINE  EAN:  NO TIENE</t>
  </si>
  <si>
    <t>MOU611V</t>
  </si>
  <si>
    <t>MOUSE OPTICO USB NG-611U VIOLETA NOGANET  EAN: 7798137699060</t>
  </si>
  <si>
    <t>GRAS04</t>
  </si>
  <si>
    <t>JERINGA GRASA DISIPADORA TERMICA 5 cc NETMAK   EAN:  NO TIENE</t>
  </si>
  <si>
    <t>MOU611AZ</t>
  </si>
  <si>
    <t>MOUSE OPTICO USB NG-611U AZUL  NOGANET  EAN:  7798137697615</t>
  </si>
  <si>
    <t>TRU06</t>
  </si>
  <si>
    <t>MOUSE GAMING GXT 101GAV 4800DPI TRUST  EAN:  8713439210446</t>
  </si>
  <si>
    <t>CAB211</t>
  </si>
  <si>
    <t>CABLE HDMI NM-C47 3  3 METROS NETMAK  EAN:  7792641882468</t>
  </si>
  <si>
    <t>CAB373B</t>
  </si>
  <si>
    <t>CABLE MINIPLUG NM-C66 AZUL 3.5 A 3.5 REFORZADO NETMAK  EAN:</t>
  </si>
  <si>
    <t>CARG726</t>
  </si>
  <si>
    <t>FUENTE DELL 19.5V 6.5 *4.4  BELSIC  EAN:  NO TIENE</t>
  </si>
  <si>
    <t>FUN101</t>
  </si>
  <si>
    <t>FUNA SILICONA TABLET 7" COLOR VERDE  EAN:  NO TIENE</t>
  </si>
  <si>
    <t>CAR327</t>
  </si>
  <si>
    <t>CARTUCHO ORIGINAL EPSON 133 NEGRO EAN:</t>
  </si>
  <si>
    <t>ALT504C</t>
  </si>
  <si>
    <t>BOTELLA TINTA ALTERNATIVA EPSON 504/544 70 CM3 CYAN EVERTEC</t>
  </si>
  <si>
    <t>ALT504Y</t>
  </si>
  <si>
    <t>BOTELLA TINTA ALTERNATIVA EPSON 504/544 AMARILLA 70 CM3 EVERTEC</t>
  </si>
  <si>
    <t>ALT504M</t>
  </si>
  <si>
    <t>BOTELLA TINTA ALTERNATIVA EPSON 504/544 MAGENTA 70CM3 EVERTEC</t>
  </si>
  <si>
    <t>TLC19</t>
  </si>
  <si>
    <t>CABLE MINI PLUG 3.5 M/H  1 METRO TL-3535H1  T-LINE</t>
  </si>
  <si>
    <t>TALT08</t>
  </si>
  <si>
    <t>CARTUCHO TONER ALTERNATIVO HP CB543A  MAGENTA  EVERTEC  EAN:</t>
  </si>
  <si>
    <t>PIL83</t>
  </si>
  <si>
    <t>PILA AAA ZINC 1,5V ULTRA HEAVY DUTY  EUROENERGY   EAN:  7798081286316</t>
  </si>
  <si>
    <t>EUROENERGY</t>
  </si>
  <si>
    <t>CAB253</t>
  </si>
  <si>
    <t>CABLE ADAPTADOR PARA PS4 A MIC NOGANET  EAN:  NO TIENE</t>
  </si>
  <si>
    <t>TIN027</t>
  </si>
  <si>
    <t>BOTELLA TINTA ALTERNATIVA EPSON 673 MAGENTA CLARO 100ML GLOBAL  EAN:  NO TIENE</t>
  </si>
  <si>
    <t>GRAS03</t>
  </si>
  <si>
    <t>JERINGA GRASA DISIPADORA TERMICA 10 cc NETMAK   EAN:  NO TIENE</t>
  </si>
  <si>
    <t>JUE8304</t>
  </si>
  <si>
    <t>LANZADOR DE AGUA WATER PUMP 8304 AMARILLO -BASE-X SPLASH  EAN:  7450077090672</t>
  </si>
  <si>
    <t>TALT16</t>
  </si>
  <si>
    <t>CARTUCHO TONER ALTERNATIVO HP CE312 AMARILLO GLOBAL  EAN:  NO TIENE</t>
  </si>
  <si>
    <t>ALT2063</t>
  </si>
  <si>
    <t>CARTUCHO ALTERNATIVO EPSON T2063 MAGENTA GLOBAL  EAN:  NO TIENE</t>
  </si>
  <si>
    <t>TALT04</t>
  </si>
  <si>
    <t>CARTUCHO TONER ALTERNATIVO 280  GLOBAL  EAN:  NO TIENE</t>
  </si>
  <si>
    <t>TIN031</t>
  </si>
  <si>
    <t>BOTELLA TINTA ALTERNATIVA HP CYAN GT52 /53 70 ML INKDYECHPGT GLOBAL  EAN:  NO TIENE</t>
  </si>
  <si>
    <t>TALT07</t>
  </si>
  <si>
    <t>CARTUCHO TONER ALTERNATIVO HP CB542A AMARILLO  EVERTEC</t>
  </si>
  <si>
    <t>CAB564</t>
  </si>
  <si>
    <t>ADAPTADOR RA-USB1 MICRO USB TC 3.0  REMAX  EAN:  6954851256809</t>
  </si>
  <si>
    <t>ACC1565</t>
  </si>
  <si>
    <t>MASCARA FACIAL</t>
  </si>
  <si>
    <t>Seguridad</t>
  </si>
  <si>
    <t>CAB505</t>
  </si>
  <si>
    <t>CABLE MINI PLUG 3.5  A 3 RCA 1,5 METROS NM-C29  NETMAK   EAN:  7792641880297</t>
  </si>
  <si>
    <t>FUN204</t>
  </si>
  <si>
    <t>FUNDA TABLET 7" BLANCA NG-8708UBL  NOGANET  EAN:  NO TIENE</t>
  </si>
  <si>
    <t>ACC280</t>
  </si>
  <si>
    <t>CABLE DE RED 3Mts NETMAK</t>
  </si>
  <si>
    <t>TIN021</t>
  </si>
  <si>
    <t>BOTELLA TINTA ALTERNATIVA EPSON 664 AMARILLA 70ML GLOBAL  EAN:  NO TIENE</t>
  </si>
  <si>
    <t>TIN029</t>
  </si>
  <si>
    <t>BOTELLA TINTA ALTERNATIVA HP MAGENTA GT52/ 53 70 ML GLOBAL EAN:  NO TIENE</t>
  </si>
  <si>
    <t>GLASS08</t>
  </si>
  <si>
    <t>VIDRIO TEMP PRIV MOT X PLAY</t>
  </si>
  <si>
    <t>CEL18</t>
  </si>
  <si>
    <t>FUNDA TPU SAMSUNG J7 NEO</t>
  </si>
  <si>
    <t>GLASS01</t>
  </si>
  <si>
    <t>VIDRIO TEMP J1 MINI PRIME</t>
  </si>
  <si>
    <t>GLASS09</t>
  </si>
  <si>
    <t>VIDRIO TEMP PRIV SAMS A5</t>
  </si>
  <si>
    <t>GLASS10</t>
  </si>
  <si>
    <t>VIDRIO TEMP PRIV SAM J5</t>
  </si>
  <si>
    <t>no agregar cuota - cuota simple</t>
  </si>
  <si>
    <t>no agregar cuota</t>
  </si>
  <si>
    <t>3 a 12 cuotas con interes bajo 4%</t>
  </si>
  <si>
    <t>3 cuotas al mismo precio que publiques 8.40%</t>
  </si>
  <si>
    <t>6 cuotas al mismo precio que publiques 14%</t>
  </si>
  <si>
    <t>9 cuotas al mismo precio que publiques 18%</t>
  </si>
  <si>
    <t>12 cuotas al mismo precio que publiques 24%</t>
  </si>
  <si>
    <t>3 cuotas simple al mismo precio que publiques 7.30%</t>
  </si>
  <si>
    <t>6 cuotas simple al mismo precio que publiques 13.85%</t>
  </si>
  <si>
    <t>venta x fuera de ML .com</t>
  </si>
  <si>
    <t>venta x fuera de ML FACTURADO</t>
  </si>
  <si>
    <t>cargo por venta ML %</t>
  </si>
  <si>
    <t>cargo por venta + iva ML %</t>
  </si>
  <si>
    <t>TIPO DE PUBLICACION</t>
  </si>
  <si>
    <t>TOT INTERES PUBLICACION</t>
  </si>
  <si>
    <t>PUBLICAR EN ML      A $</t>
  </si>
  <si>
    <t>COSTO GBP</t>
  </si>
  <si>
    <t>envio</t>
  </si>
  <si>
    <t>Cuotas    + IVA %</t>
  </si>
  <si>
    <t>Margen</t>
  </si>
  <si>
    <t>envio                   + iva</t>
  </si>
  <si>
    <t>CLASICA</t>
  </si>
  <si>
    <t>PREMIIUM</t>
  </si>
  <si>
    <t>DISPONIBLE</t>
  </si>
  <si>
    <t>STOCK FISICO</t>
  </si>
  <si>
    <t>COSTO</t>
  </si>
  <si>
    <t>VALOR DISPO</t>
  </si>
  <si>
    <t>VALOR FISCO</t>
  </si>
  <si>
    <t>TV126</t>
  </si>
  <si>
    <t>LAB1832</t>
  </si>
  <si>
    <t>ESTUFA A CUARZO DOBLE POSICION STQZ21 STAR-TRAK  EAN:  7798185861754</t>
  </si>
  <si>
    <t>CAB144</t>
  </si>
  <si>
    <t>CABLE VGA M A 2 VGA H NM-C39 NETMAK</t>
  </si>
  <si>
    <t>CALE1723</t>
  </si>
  <si>
    <t>TLC28</t>
  </si>
  <si>
    <t>CABLE USB/MICRO USB DATOS 1 METRO T-LINE</t>
  </si>
  <si>
    <t>CAB146</t>
  </si>
  <si>
    <t>CABLE EXTENSION VGA M/H 1,8 METROS NM-C79 NETMAK</t>
  </si>
  <si>
    <t>CAB14</t>
  </si>
  <si>
    <t>CABLE RCA A 3 RCA 3 METROS NM-C33 NETMAK</t>
  </si>
  <si>
    <t>LED SMART TV RCA 43" R43AND ANDROID EAN: 7796941251016</t>
  </si>
  <si>
    <t>RCA</t>
  </si>
  <si>
    <t>GAMA02</t>
  </si>
  <si>
    <t>DEPILADORA SKINPRO GO2 GAMA EAN: 8023277129139</t>
  </si>
  <si>
    <t>GAMA</t>
  </si>
  <si>
    <t>FUNDA TPU GALAXY J7 NEO SAMSUNG</t>
  </si>
  <si>
    <t>Neo</t>
  </si>
  <si>
    <t>LAB934</t>
  </si>
  <si>
    <t>LAB3147</t>
  </si>
  <si>
    <t>LAB933</t>
  </si>
  <si>
    <t>CALEFON CE-14L GN GRIS GRAFITO- 14 LITROS ESCORIAL EAN: 7798013733031</t>
  </si>
  <si>
    <t>CALEFON CE-14L SMART BLANCO GAS NATURAL EAN 7798013733147</t>
  </si>
  <si>
    <t>CALEFON ESCORIAL CE-14L -GN BLANCO -14 LITROS (ALT 58 CM, ANCHO 37 CM, PROF 23 CM) -EAN 7798013733017</t>
  </si>
  <si>
    <t>CALEFONES; TERMOTANQUES Y CALENTADORES</t>
  </si>
  <si>
    <t>HELADERA ESLABON DE LUJO ERD34AB BLANCA CON FREEZER 326L EAN: 7797750979535</t>
  </si>
  <si>
    <t>LAB994</t>
  </si>
  <si>
    <t>LAB995</t>
  </si>
  <si>
    <t>HELADERA ESLABON DE LUJO ERD29AB BLANCA CON FREEZER 273L EAN 7797750979542</t>
  </si>
  <si>
    <t>CEL1689</t>
  </si>
  <si>
    <t>TELEFONO CELULAR SPARK TECNO BG7 EAN 4894947011689</t>
  </si>
  <si>
    <t>margen de ganancia</t>
  </si>
  <si>
    <t>TIPO DE PUBLICACION                         USAR LISTA DESPLEGABLE</t>
  </si>
  <si>
    <t>Cuotas + IVA %</t>
  </si>
  <si>
    <t>.COM X FUERA</t>
  </si>
  <si>
    <t>FACTURADO X FUERA</t>
  </si>
  <si>
    <t>ENVIO</t>
  </si>
  <si>
    <t>PUBLICAR ML</t>
  </si>
  <si>
    <t>elegir si prefiere cuotas</t>
  </si>
  <si>
    <t>según categoria</t>
  </si>
  <si>
    <t>heladeras/freezer /cocina/lavarropas</t>
  </si>
  <si>
    <t xml:space="preserve">monitores </t>
  </si>
  <si>
    <t>termotanque / calefon</t>
  </si>
  <si>
    <t xml:space="preserve">aires </t>
  </si>
  <si>
    <t>cables /hdmi /usb / etc</t>
  </si>
  <si>
    <t>cargadores</t>
  </si>
  <si>
    <t>JUEGOS DE MESA</t>
  </si>
  <si>
    <t>sillas gamer</t>
  </si>
  <si>
    <t>TECNO</t>
  </si>
  <si>
    <t>FREEZER GAFA FGHI400B-XL 400LT EAN: 7791758120104</t>
  </si>
  <si>
    <t>LAB0104</t>
  </si>
  <si>
    <t>mouse / teclado / PARLANTES</t>
  </si>
  <si>
    <t>GAFA</t>
  </si>
  <si>
    <t>TV329</t>
  </si>
  <si>
    <t>TV 32" PHILIPS 32PHD6918/77 EAN 8718863037515</t>
  </si>
  <si>
    <t>TV0260</t>
  </si>
  <si>
    <t>TV 43" AOC ROKU 43S5135/77G EAN 8718863900260</t>
  </si>
  <si>
    <t>TV9892</t>
  </si>
  <si>
    <t>TV PHILIPS 65" AMBILIGHT 65PUD7908/77 EAN 8718863039892</t>
  </si>
  <si>
    <t>COSTO SISTEMA</t>
  </si>
  <si>
    <t>GANANCIA</t>
  </si>
  <si>
    <t>FAC</t>
  </si>
  <si>
    <t>.COM</t>
  </si>
  <si>
    <t>PRECIOS</t>
  </si>
  <si>
    <t>FACTURADO</t>
  </si>
  <si>
    <t>PORCETAJES</t>
  </si>
  <si>
    <t>CANTIDAD</t>
  </si>
  <si>
    <t>PRECIO PROMEDIO</t>
  </si>
  <si>
    <t>CANTIDAD A FACTURAR</t>
  </si>
  <si>
    <t>CANTIDAD .COM</t>
  </si>
  <si>
    <t>TOTAL PEDIDO</t>
  </si>
  <si>
    <t>PHILIPS</t>
  </si>
  <si>
    <t>TV81</t>
  </si>
  <si>
    <t>TV SMART 55" RCA G55P6UHD-F GOOGLE 4K EAN: 7796941251047</t>
  </si>
  <si>
    <t>VALOR INICIAL</t>
  </si>
  <si>
    <t>VALOR FINAL</t>
  </si>
  <si>
    <t>PORCENTAJE</t>
  </si>
  <si>
    <t>TV0253</t>
  </si>
  <si>
    <t>TV 32" AOC ROKU TV 32S5135/77G EAN 8718863900253</t>
  </si>
  <si>
    <t>LAB9501</t>
  </si>
  <si>
    <t>FREEZER GAFA FGHI100B-S EAN 7791758119501</t>
  </si>
  <si>
    <t>LAB2689</t>
  </si>
  <si>
    <t>HORNO ELECTRICO WHITENBLACK WBA0WB25 25L EAN: 7793862012689</t>
  </si>
  <si>
    <t>LAB5920</t>
  </si>
  <si>
    <t>AIRE ACOND SAMSUNG 6100W INVERTER AR24BSHQAKYBG EAN: 8806094615920</t>
  </si>
  <si>
    <t>LAB5601</t>
  </si>
  <si>
    <t>AIRE ACONDICIONADO BGH 6500W FRIO/CALOR PNB045601 EAN: 7796885456027</t>
  </si>
  <si>
    <t>LAB5747</t>
  </si>
  <si>
    <t>AIRE ACONDICIONADO BGH INVERTER 6500 PNB045574 EAN: 7796885455747</t>
  </si>
  <si>
    <t>LAB5890</t>
  </si>
  <si>
    <t>AIRE ACONDICIONADO SAMSUNG INVERTER 4900W AR18BSHQAWKYBG EAN 8806094615890</t>
  </si>
  <si>
    <t>LAB524</t>
  </si>
  <si>
    <t>AIRE ACONDICIONADO SPLIT 2700W F/C ALASKA ASE26WCCS/ ACS26WWCCS EAN: 7796885455242</t>
  </si>
  <si>
    <t>LAB5627</t>
  </si>
  <si>
    <t>AIRE ACONDICONADO BGH 2550W BSE26WCHU PNB045627 EAN 7796885016153</t>
  </si>
  <si>
    <t>LAB5629</t>
  </si>
  <si>
    <t>AIRE ACONDICONADO BGH 3200W BSE35WCHU PNB045629 EAN 779685456300</t>
  </si>
  <si>
    <t>AOC</t>
  </si>
  <si>
    <t>PHILLIPS</t>
  </si>
  <si>
    <t>PAD MOUSE NM-ARENA NETMAK  EAN:  0700306602389</t>
  </si>
  <si>
    <t>LAB310FG</t>
  </si>
  <si>
    <t>FREEZER GAFA FGHI300B-L EAN</t>
  </si>
  <si>
    <t>gafa</t>
  </si>
  <si>
    <t>LAB9504</t>
  </si>
  <si>
    <t>FREEZER GAFA FGHI100B-S EAN 7791758119504</t>
  </si>
  <si>
    <t>MOTHER E1-6010N CON CPU INCORPORADO AMD GIGABYTE  EAN:  4719331808761</t>
  </si>
  <si>
    <t>iibb caba</t>
  </si>
  <si>
    <t>cred y deb</t>
  </si>
  <si>
    <t>ibb tucuman</t>
  </si>
  <si>
    <t>sirtac</t>
  </si>
  <si>
    <t>tasa lIberacion</t>
  </si>
  <si>
    <t>margen %</t>
  </si>
  <si>
    <t>WEB</t>
  </si>
  <si>
    <t>GAMA03</t>
  </si>
  <si>
    <t>DEPILADORA OASIS LOOK CARGA USB GAMA EAN: 8023277144415</t>
  </si>
  <si>
    <t>REAL ML 1p</t>
  </si>
  <si>
    <t>real ml 3 p</t>
  </si>
  <si>
    <t>real ml 6p</t>
  </si>
  <si>
    <t>real ml 9 p</t>
  </si>
  <si>
    <t>LAB465</t>
  </si>
  <si>
    <t>BATIDORA PLANETARIA TURBOBAT AB914N  LILIANA  EAN:  7793862009139</t>
  </si>
  <si>
    <t>estufas</t>
  </si>
  <si>
    <t>LAB898</t>
  </si>
  <si>
    <t>SECARROPAS POR VENTILACION 7KG PHSC071B  PHILCO EAN:  7798192365511</t>
  </si>
  <si>
    <t>LAB635</t>
  </si>
  <si>
    <t>accesorios</t>
  </si>
  <si>
    <t>LAB3260</t>
  </si>
  <si>
    <t>LAB1709</t>
  </si>
  <si>
    <t>LAB5110</t>
  </si>
  <si>
    <t>LAB45289</t>
  </si>
  <si>
    <t>LAB304</t>
  </si>
  <si>
    <t>LAB895</t>
  </si>
  <si>
    <t>LAB313</t>
  </si>
  <si>
    <t>GENERADOR ELECTRICO GE-PH3000 PHILCO  EAN:  7798105024054</t>
  </si>
  <si>
    <t>LAB314</t>
  </si>
  <si>
    <t>GENERADOR ELECTRICO PH6000 PHILCO  EAN:  7798105024061</t>
  </si>
  <si>
    <t>LAB2382</t>
  </si>
  <si>
    <t>GAMA16</t>
  </si>
  <si>
    <t>PLANCHITA DE PELO GAMA CP14 DIGITAL 4D TITANIO -450°F /230°C - EAN:  8023277143234</t>
  </si>
  <si>
    <t>TV6522</t>
  </si>
  <si>
    <t>LAB4165</t>
  </si>
  <si>
    <t>MICROONDAS ATMA ROTATIVO 20L MATRB20UAP EAN 7799111674165</t>
  </si>
  <si>
    <t>COCINA A VAPOR NATUREL AV930 LILIANA EAN: 7793862008712</t>
  </si>
  <si>
    <t>SIN IVA</t>
  </si>
  <si>
    <t>PARA</t>
  </si>
  <si>
    <t>ANA</t>
  </si>
  <si>
    <t>HORNO GRILL MIDEA 40L EAN: 7797087512382</t>
  </si>
  <si>
    <t xml:space="preserve">FREEZER HORIZONTAL WHIRLPOOL 220 LTS - WHA22D2 EAN </t>
  </si>
  <si>
    <t>AIRE ACONDICIONADO 2600W F/C RE2600FC RCA EAN: 7796941230622</t>
  </si>
  <si>
    <t>AIRE ACONDICIONADO BGH 5000W BSHE52WCU PNB045610 EAN 7796885456102</t>
  </si>
  <si>
    <t>AIRE ACONDICIONADO 3500W INVERTER PNNB045569 / B04570 BSIC35WCGT BGH EAN: 7796885455709</t>
  </si>
  <si>
    <t>AIRE ACONDICIONADO BGH INVERTER 5300 PNB045571 EAN: 7796885455723</t>
  </si>
  <si>
    <t>TV5733</t>
  </si>
  <si>
    <t>TV PHILIPS 32" ANDROID TV 32PHD6927/77 EAN 8718863035733</t>
  </si>
  <si>
    <t>TV SMART BGH 65" ANDROID B6523US6G EAN: 7796885402772</t>
  </si>
  <si>
    <t>LAB5607</t>
  </si>
  <si>
    <t>AIRE ACONDICIONADO BGH SILENT AIR 3300W BS35WCAU PNB045607/8 EAN 7796885456089</t>
  </si>
  <si>
    <t>SUB CATEGORIA</t>
  </si>
  <si>
    <t>ID</t>
  </si>
  <si>
    <t>bgh</t>
  </si>
  <si>
    <t>gama</t>
  </si>
  <si>
    <t>atma</t>
  </si>
  <si>
    <t>midea</t>
  </si>
  <si>
    <t>philco</t>
  </si>
  <si>
    <t>lavado</t>
  </si>
  <si>
    <t>generador</t>
  </si>
  <si>
    <t>LAB855</t>
  </si>
  <si>
    <t>LAVAVAJILLA WHIRLPOOL MOD WSFO3T2X - 10 CUBIERTOS ACERO INOXIDABLE -7 PROGRAMAS DE LAVADO (ANCHO 45CM, PROF 59CM,ALTURA 85CM)</t>
  </si>
  <si>
    <t>LAB39CK</t>
  </si>
  <si>
    <t>fac</t>
  </si>
  <si>
    <t>.cpm</t>
  </si>
  <si>
    <t>LAB2150</t>
  </si>
  <si>
    <t>AIRE ACONDICIONADO LG ART COOL 6450W INV S4-W24K2RPE EAN</t>
  </si>
  <si>
    <t>TV8512</t>
  </si>
  <si>
    <t>TV LED PHILIPS 50" 4K 50PUD7408/77 GOOGLE TV EAN 8718863038512</t>
  </si>
  <si>
    <t>TV2106</t>
  </si>
  <si>
    <t>TV LED LG 43" 4K 43UR8750 EAN 7790653062106</t>
  </si>
  <si>
    <t>TV2120</t>
  </si>
  <si>
    <t>TV NANOCELL LG 55" 4K 55NANO77SRA EAN 7790653062120</t>
  </si>
  <si>
    <t>TV2153</t>
  </si>
  <si>
    <t>TV NEOQLED SAMSUNG 65" 4K QN65QN85 EAN 8806094042153</t>
  </si>
  <si>
    <t>LAB2281</t>
  </si>
  <si>
    <t>LAVARROPAS LG CARGA FRONTAL 8.5KG GRIS WM85VVC5S6P EAN 7790653062281</t>
  </si>
  <si>
    <t>TV8062</t>
  </si>
  <si>
    <t>TV LED ANDROID PHILIPS 43" 4K 43PUD7408/77 EAN 8718863038062</t>
  </si>
  <si>
    <t>LAB9998</t>
  </si>
  <si>
    <t>LAVARROPAS LG CARGA FRONTAL 8.5KG BLANCO WM85WVC5S6P EAN</t>
  </si>
  <si>
    <t>TV043</t>
  </si>
  <si>
    <t>TV LED LG 43" FHD 43LM6350 EAN 7790653060447</t>
  </si>
  <si>
    <t>LAB9346</t>
  </si>
  <si>
    <t>LAVARROPAS DREAN 8.14 PG ECO GRIS EAN 7795473029346</t>
  </si>
  <si>
    <t>TV8862</t>
  </si>
  <si>
    <t>TV LED TCL 32" FHD L32S5400-F ANDROID EAN 7796941328862</t>
  </si>
  <si>
    <t>TV9999</t>
  </si>
  <si>
    <t>TV LED MOTOROLA 55" 4K 91MT55G22 ANDROID EAN</t>
  </si>
  <si>
    <t>LAB864</t>
  </si>
  <si>
    <t>TV3585</t>
  </si>
  <si>
    <t>TV LED SAMSUNG 32" HD UN32T4300 EAN 880609483585</t>
  </si>
  <si>
    <t>LAB35</t>
  </si>
  <si>
    <t>CAVA DE VINO 12 BOTELLAS WHIRLPOOL WZC12ABDIM (ANCHO 28 CM, ALTO 63.3 CM, PROF 51 CM)</t>
  </si>
  <si>
    <t>LAB4219</t>
  </si>
  <si>
    <t>MICROONDAS ATMA 94MATDGB28UAP 28 LTS NEGRO EAN 7799111674219</t>
  </si>
  <si>
    <t>lg</t>
  </si>
  <si>
    <t>tcl</t>
  </si>
  <si>
    <t xml:space="preserve">cava </t>
  </si>
  <si>
    <t>BATIDORA PLANETARIA POWERMIX  AB910 ROJO LILIANA EAN: 7793862007548</t>
  </si>
  <si>
    <t>LAB6290</t>
  </si>
  <si>
    <t>LAB7000</t>
  </si>
  <si>
    <t>SECARROPAS COLUMBIA HTS5503 TURQUESA 5.5KG EAN 7797003956290</t>
  </si>
  <si>
    <t>LAVARROPAS COLUMBIA LSC7000 7KG S/BOMBA DES EAN: 7797003070002</t>
  </si>
  <si>
    <t>LAB6065</t>
  </si>
  <si>
    <t>AIRE ACONDICIONADO BGH 2650 BSC26WCAU PNB 045606 EAN 7796885456065</t>
  </si>
  <si>
    <t>columbia</t>
  </si>
  <si>
    <t>gbh</t>
  </si>
  <si>
    <t>LAB3511</t>
  </si>
  <si>
    <t>AIRE ACONDICIONADO DAEWO 3450 DWSC35WCCT PNB045546 EAN 7796885455464</t>
  </si>
  <si>
    <t>ACC5168</t>
  </si>
  <si>
    <t>SILLA GAMER BEAST BLANCA NM-BEAST-W NETMAK EAN0700306605175</t>
  </si>
  <si>
    <t>ACC5175</t>
  </si>
  <si>
    <t>SILLA GAMER BEAST NEGRA NM-BEAST-N NETMAK EAN 0700306605168</t>
  </si>
  <si>
    <t>ACC4444</t>
  </si>
  <si>
    <t>SILLA GAMER BEAST ROJA NM-BEAST-R NETMAK EAN 0700306604444</t>
  </si>
  <si>
    <t>LAB1212</t>
  </si>
  <si>
    <t>AIRE ACONDICIONADO SAMSUNG INVERTER 3150 W AR12BSHQAWK2BG EAN: 8806094615869</t>
  </si>
  <si>
    <t>PHIL201</t>
  </si>
  <si>
    <t>FREEZER DE POZO PHCH201B 200LTS BLANCO PHILCO EAN:7798192366723</t>
  </si>
  <si>
    <t>TV9043</t>
  </si>
  <si>
    <t>TV TCL QLED 75" GOGGLE TV 75C655-F EAN 7796941329043</t>
  </si>
  <si>
    <t>TV120</t>
  </si>
  <si>
    <t>TV LED SMART 40" C40AND ANDROID  RCA  EAN:  7796941251078</t>
  </si>
  <si>
    <t>rca</t>
  </si>
  <si>
    <t>LAB1110</t>
  </si>
  <si>
    <t>PAVA ELECTRICA 1.8 L NETMAK NM-PAV01 ACERO INOX CORTE MATE EAN 0700306602556</t>
  </si>
  <si>
    <t>pavas electricas</t>
  </si>
  <si>
    <t>acc pc</t>
  </si>
  <si>
    <t>netmak</t>
  </si>
  <si>
    <t>LAB6245</t>
  </si>
  <si>
    <t>AIRE ACONDICIONADO ALASKA 3300W ASE35WCAU PNB045646 EAN 7796885016245</t>
  </si>
  <si>
    <t>TV8886</t>
  </si>
  <si>
    <t>TV LED TCL 43" L43S5400 ANDROID TV EAN 7796941328886</t>
  </si>
  <si>
    <t>LAB3729</t>
  </si>
  <si>
    <t>AIRE ACONDICIONADO DE VENTANA BGH BC35WFQ 3400W FRIO SOLO EAN: 7796885453729</t>
  </si>
  <si>
    <t>AIRE ACONDICIONADO ALASKA 2650W ASE26WCAU EAN 7796885016238</t>
  </si>
  <si>
    <t>LAB6238</t>
  </si>
  <si>
    <t>LAB6110</t>
  </si>
  <si>
    <t>HELADERA DREAN CICLICA HDR400F00S EAN 7797102526110</t>
  </si>
  <si>
    <t>AIRE ACONDICIONADO ALASKA 3500 INVERTER PNB 045631 EAN 7796885016177</t>
  </si>
  <si>
    <t>LAB6177</t>
  </si>
  <si>
    <t>LAB400N</t>
  </si>
  <si>
    <t>HELADERA DREAN CICLICA NEGRA C/DISP HDR400F11N EAN 7797102525656</t>
  </si>
  <si>
    <t>LAB6184</t>
  </si>
  <si>
    <t>AIRE ACONDICIONADO ALASKA 5300 INVERTER ASIE53WCGT EAN 7796885016184</t>
  </si>
  <si>
    <t>LAVARROPAS CARGA FRONTAL SILVER BGH 6K -1000 RPM-  AB BWF106S24AR</t>
  </si>
  <si>
    <t>tv</t>
  </si>
  <si>
    <t>celular</t>
  </si>
  <si>
    <t xml:space="preserve">NOTEBOOK </t>
  </si>
  <si>
    <t>tablet</t>
  </si>
  <si>
    <t>consolas de juego</t>
  </si>
  <si>
    <t>esto fue hasta el 12-12 -2024</t>
  </si>
  <si>
    <t>3 cuotas al mismo precio que publiques 5.90%</t>
  </si>
  <si>
    <t>LAB5663</t>
  </si>
  <si>
    <t>HELADERA BAJO MESADADA DREAN HDR120F00B BLANCA EAN 7797102525663</t>
  </si>
  <si>
    <t>AIRE ACONDICIONADO BGH INVERTER 5300 PNB045571 EAN:  7796885455723</t>
  </si>
  <si>
    <t>TAB5618</t>
  </si>
  <si>
    <t>LAB4080</t>
  </si>
  <si>
    <t>MICROONDAS ATMA DIGITAL 20L NEGRO MATDB20UAP EAN 07799111674080</t>
  </si>
  <si>
    <t>CONSOLA GAMER NETMAK 8 BIT CON 500 JUEGOS 2 JOY EAN 0700306601467</t>
  </si>
  <si>
    <t>GAMEPAD ANDROID NETMAK NM-NITRO C/SOPORTE 5 EN 1 EAN 0700306605861</t>
  </si>
  <si>
    <t>ACC5861</t>
  </si>
  <si>
    <t>JUE1467</t>
  </si>
  <si>
    <t>MINI CONSOLA NETMAK NM-M8 4K HDMI TV 20000 JUEGOS 2 JOY EAN 0700306605038</t>
  </si>
  <si>
    <t>JUE5038</t>
  </si>
  <si>
    <t>MINI CONSOLA NETMAK NM-S900 4K HDMI TV 16BIT 5000 JUEGOS 2 JOY EAN 0700306605045</t>
  </si>
  <si>
    <t>JUE5045</t>
  </si>
  <si>
    <t>PARLANTE NETMAK DOBLE 4" BT NM-CYRUS EAN 0700306605311</t>
  </si>
  <si>
    <t>PAR5311</t>
  </si>
  <si>
    <t>PARLANTE NETMAK FLOW PORTABLE 10W AZUL EAN 0700306602266</t>
  </si>
  <si>
    <t>PARLANTE NETMAK FLOW PORTABLE 10W GRIS EAN 0700306602259</t>
  </si>
  <si>
    <t>PARLANTE NETMAK FLOW PORTABLE 10W NEGRO EAN 0700306602273</t>
  </si>
  <si>
    <t>TABLET NETMAK 10" 4/64GB ANDROID 14 NM-XPLORER EAN 0700306605618</t>
  </si>
  <si>
    <t>PAR2266</t>
  </si>
  <si>
    <t>PAR2259</t>
  </si>
  <si>
    <t>PAR2273</t>
  </si>
  <si>
    <t>AIRE ACONDICIONADO BGH 6300W BSHE65WCU PNB045611 EAN 7796885456126</t>
  </si>
  <si>
    <t>LAB6126</t>
  </si>
  <si>
    <t>BGH</t>
  </si>
  <si>
    <t>LAB3160</t>
  </si>
  <si>
    <t>LAB710</t>
  </si>
  <si>
    <t>LAB3009</t>
  </si>
  <si>
    <t>LAB2187</t>
  </si>
  <si>
    <t>LAB605</t>
  </si>
  <si>
    <t>HORNO ELECTRICO BGH BHE65M19N 65L PNB048316 EAN 7796885483160</t>
  </si>
  <si>
    <t>HORNO ELECTRICO 65 LITROS BHE65M19 PIH048222 BGH EAN: 7796885482224</t>
  </si>
  <si>
    <t>HORNO ELECTRICO BGH BHE25M19N 25L PNB048300 EAN 7796885483009</t>
  </si>
  <si>
    <t>HORNO ELECTRICO BGH BHE40M19 40L PNB048218 EAN 7796885482187</t>
  </si>
  <si>
    <t>HORNO ELECTRICO BGH BHE40M19N 40L PNH048302 EAN: 7796885483023</t>
  </si>
  <si>
    <t>LAVARROPAS CARGA FRONTAL DARK SILVER INVERTER BGH 8K -1400 RPM- AB BWF108S24AR</t>
  </si>
  <si>
    <t>LAB108S</t>
  </si>
  <si>
    <t>LAB3022</t>
  </si>
  <si>
    <t>HELADERA CICLICA TOP MOUNT INOX PHILCO PHCT302X 298LTS</t>
  </si>
  <si>
    <t>3 cuota simple 7.10%</t>
  </si>
  <si>
    <t>6 cuota simple 13.50%</t>
  </si>
  <si>
    <t>3 cuo. a tu cargo 8%</t>
  </si>
  <si>
    <t>6 cuo. a tu cargo 13.10%</t>
  </si>
  <si>
    <t>12 cuo. a tu cargo 22.70%</t>
  </si>
  <si>
    <t>9 cuo. a tu cargo 17.9%</t>
  </si>
  <si>
    <t>3 a 12 cuo. con int bajo 4%</t>
  </si>
  <si>
    <t>TV119</t>
  </si>
  <si>
    <t>TV LED ANDROID 32" RCA R32AND-F</t>
  </si>
  <si>
    <t>LAB8317</t>
  </si>
  <si>
    <t>HORNO ELECTRICO BGH BHE64M20AN PNH048317</t>
  </si>
  <si>
    <t>LAB8301</t>
  </si>
  <si>
    <t>HORNO ELECTRICO BGH BHE30M19N PNH048301</t>
  </si>
  <si>
    <t>LAB8207</t>
  </si>
  <si>
    <t>LAB8329</t>
  </si>
  <si>
    <t>HORNO ELECTRICO BGH BHE55M23N 55L PNH048329</t>
  </si>
  <si>
    <t>HORNO ELECTRICO BGH BHE25M19 PIH048219</t>
  </si>
  <si>
    <t>HORNO ELECTRICO BGH BHE55M23N 55L PNH04832</t>
  </si>
  <si>
    <t>LAB8326</t>
  </si>
  <si>
    <t>HORNO ELECTRICO BGH BHE25M23N PNH048326</t>
  </si>
  <si>
    <t>LAB8323</t>
  </si>
  <si>
    <t>HORNO ELECTRICO BGH BHE45S22 PNH048323</t>
  </si>
  <si>
    <t>LAB8322</t>
  </si>
  <si>
    <t>HORNO ELECTRICO BGH BHE35S22A PNH048322</t>
  </si>
  <si>
    <t>LAB8324</t>
  </si>
  <si>
    <t>HORNO ELECTRICO BGH BHE60S22 PNH048324</t>
  </si>
  <si>
    <t>LAB8335</t>
  </si>
  <si>
    <t>HORNO ELEC TRAMONTINA SILVER COOK 55L PNH048335</t>
  </si>
  <si>
    <t>LAB8321</t>
  </si>
  <si>
    <t>HORNO ELECTRICO BGH BHE35S22 PNH048321</t>
  </si>
  <si>
    <t>TV655</t>
  </si>
  <si>
    <t>LAB3500</t>
  </si>
  <si>
    <t>AIRE ACONDICIONADO PORTATIL TCL TAC-3500FCPA/MZ</t>
  </si>
  <si>
    <t>TV 65" QLED 4K RCA QL65TH100-F GOOGLE TV SMART EAN 7796941251108</t>
  </si>
  <si>
    <t>Atma</t>
  </si>
  <si>
    <t>real ml 12 p</t>
  </si>
  <si>
    <t>int 9 p</t>
  </si>
  <si>
    <t>int 6 p</t>
  </si>
  <si>
    <t>int 3 p</t>
  </si>
  <si>
    <t>oferta efectivo</t>
  </si>
  <si>
    <t>transferencia</t>
  </si>
  <si>
    <t>3 PAGOS</t>
  </si>
  <si>
    <t xml:space="preserve">AL MISMO </t>
  </si>
  <si>
    <t>PRECIO</t>
  </si>
  <si>
    <t>6 PAGOS</t>
  </si>
  <si>
    <t>9 PAGOS</t>
  </si>
  <si>
    <t>DEBITO</t>
  </si>
  <si>
    <t>NO MP</t>
  </si>
  <si>
    <t>bancaria</t>
  </si>
  <si>
    <t>int 12 p</t>
  </si>
  <si>
    <t>12 PAGOS</t>
  </si>
  <si>
    <t>HORNO ELECTRICO BGH BHE17M20N 16L PNH048320 EAN: 7796885483207</t>
  </si>
  <si>
    <t>HORNO ELECTRICO 65 LITROS BHE65M19 PIH048222 BGH EAN:  7796885482224</t>
  </si>
  <si>
    <t>AIRE ACONDICIONADO SPLIT 2700W F/C ALASKA ASE26WCCS/ ACS26WWCCS  EAN:  7796885455242</t>
  </si>
  <si>
    <t>CREDITO 1 pago</t>
  </si>
  <si>
    <t>3 cuota simple 6.55%</t>
  </si>
  <si>
    <t>6 cuota simple 12.48%</t>
  </si>
  <si>
    <t>PRECIO DE LISTA</t>
  </si>
  <si>
    <t xml:space="preserve">TV LED TCL 65" GOOGLE TV 65P755-F EAN 7796941329005 </t>
  </si>
  <si>
    <t>TV9005</t>
  </si>
  <si>
    <t>samsung</t>
  </si>
  <si>
    <t>HELADERA WRM39CK 340 LITROSWHIRLPOOL EAN: 7891129521155</t>
  </si>
  <si>
    <t>SUBCATEGORIA</t>
  </si>
  <si>
    <t>ELECTRODOMESTICOS Y AIRES ACOND</t>
  </si>
  <si>
    <t>TV-AUDIO-VIDEO</t>
  </si>
  <si>
    <t>TECNOLOGIA Y CELULARES</t>
  </si>
  <si>
    <t>MAS CATEGORIAS</t>
  </si>
  <si>
    <t>INFORMATICA</t>
  </si>
  <si>
    <t>3 cuo. a tu cargo 7.40%</t>
  </si>
  <si>
    <t>6 cuo. a tu cargo 11.9%</t>
  </si>
  <si>
    <t>9 cuo. a tu cargo 16.5%</t>
  </si>
  <si>
    <t>12 cuo. a tu cargo 21%</t>
  </si>
  <si>
    <t>enova</t>
  </si>
  <si>
    <t>lavavajillas</t>
  </si>
  <si>
    <t>LAB6B</t>
  </si>
  <si>
    <t>LAVARROPAS CARGA FRONTAL EWMF-B6 6 KG BLANCO ENOVA EAN: 7798181991929</t>
  </si>
  <si>
    <t>LAB943</t>
  </si>
  <si>
    <t>HELADERA PHILCO NO FROST TOP MOUNT INOX 94PHNT367XD</t>
  </si>
  <si>
    <t>LAVAVAJILLA PHILCO 14 CUB PHLJ14X INOX EAN 7799111672260</t>
  </si>
  <si>
    <t>LAB2260</t>
  </si>
  <si>
    <t>LAVAVAJILLA PHILCO 14 CUB PHLJ14B BLANCO EAN 7799111672253</t>
  </si>
  <si>
    <t>LAB2253B</t>
  </si>
  <si>
    <t>LAVAVAJILLA PHILCO 5 CUB PHLJ05B BLANCO EAN 7799111672277</t>
  </si>
  <si>
    <t>LAB2277</t>
  </si>
  <si>
    <t>LAB548</t>
  </si>
  <si>
    <t>AIRE ACONDICIONADO BGH 3450W F/C BSE35WCCR PNB 045459/045460   EAN:  7796885454603</t>
  </si>
  <si>
    <t>LAB8500</t>
  </si>
  <si>
    <t>microondas / mixer</t>
  </si>
  <si>
    <t>cp</t>
  </si>
  <si>
    <t>localida</t>
  </si>
  <si>
    <t>precio</t>
  </si>
  <si>
    <t>LAB893</t>
  </si>
  <si>
    <t>LAVARROPAS ESLABON DE LUJO CARGA SUPERIOR 7KG EWH07BB</t>
  </si>
  <si>
    <t xml:space="preserve">LAVARROPAS ESLABON DE LUJO CARGA SUPERIOR 7KG EWH07BB </t>
  </si>
  <si>
    <t>HELADERA PHILCO SIDE BY SIDE INOX 94phsb450x</t>
  </si>
  <si>
    <t>lab450X</t>
  </si>
  <si>
    <t>smartwatch /impresoras</t>
  </si>
  <si>
    <t>ACC867</t>
  </si>
  <si>
    <t>ACC994</t>
  </si>
  <si>
    <t>Contadora De Billetes Portátil Con Display Digital A Pilas Aa Marca Global Electronics</t>
  </si>
  <si>
    <t>AIRE ACONDICIONADO BGH SILENT AIR 3300W BS35WCAT PNB045607/8 EAN 7796885456089</t>
  </si>
  <si>
    <t>CONTADORA DE BILLETES GLOBAL BILLCOUNTER-1 - CARGA SUPERIOR CON DOBLE VISOR Y DETECCION DE BILLETES</t>
  </si>
  <si>
    <t xml:space="preserve">Contadora de billetes </t>
  </si>
  <si>
    <t>LAB08W</t>
  </si>
  <si>
    <t>LAVARROPAS BGH INVERTER BWFA08W24AR 8K -1400 RPM -BLANCO PIH034058</t>
  </si>
  <si>
    <t>LAB106SS</t>
  </si>
  <si>
    <t>LAVARROPAS CARGA FRONTAL DARK SILVER INVERTER BGH 6K -1000 RPM- AB BWF106S24AR</t>
  </si>
  <si>
    <t>LAB083</t>
  </si>
  <si>
    <t>LAVARROPAS BGH 6KG BLANCO INVERTER -1000 RPM BWFI06W24AR PIH034063</t>
  </si>
  <si>
    <t>NOTE8059</t>
  </si>
  <si>
    <t>Notebooks</t>
  </si>
  <si>
    <t>LAB106Ss</t>
  </si>
  <si>
    <t>IVA</t>
  </si>
  <si>
    <t>lavarropas</t>
  </si>
  <si>
    <t>TV3232</t>
  </si>
  <si>
    <t>TV5050</t>
  </si>
  <si>
    <t>COMBO5000</t>
  </si>
  <si>
    <t>COMBO SECARROPAS COLUMBIA HTS5503 5.5KG + LAVARROPAS COLUMBIA LSC7000 7KG S/BOMBA</t>
  </si>
  <si>
    <t>Columbia</t>
  </si>
  <si>
    <t>LAB6510</t>
  </si>
  <si>
    <t>LAVARROPAS AUTOMATICO PHILCO PHLF6510P2 CARGA FRONTAL 6.5KG PLATA</t>
  </si>
  <si>
    <t>Hyundai</t>
  </si>
  <si>
    <t>PAR3010</t>
  </si>
  <si>
    <t>TORRE AIWA AW-T3010 BLUETOOTH EAN</t>
  </si>
  <si>
    <t>PAR3012</t>
  </si>
  <si>
    <t>TORRE AIWA AW-T3012 BLUETOOTH EAN</t>
  </si>
  <si>
    <t>LAB100I</t>
  </si>
  <si>
    <t>PAR2023</t>
  </si>
  <si>
    <t>TORRE AIWA AW-T2023 BLUETOOTH 2X10W PMPO EAN</t>
  </si>
  <si>
    <t>PAR4367</t>
  </si>
  <si>
    <t>LAB310I</t>
  </si>
  <si>
    <t xml:space="preserve">SANDWICHERA AIWA AWK-SW300I 3 EN 1 EAN </t>
  </si>
  <si>
    <t>LAB200N</t>
  </si>
  <si>
    <t>CAFETERA EXPRESO AIWA AWK-CE200N C/ESPUMADOR EAN</t>
  </si>
  <si>
    <t>LAB200R</t>
  </si>
  <si>
    <t>LAB100N</t>
  </si>
  <si>
    <t>CAFETERA EXPRESO AIWA AWK-CE100N C/ESPUMADOR EAN</t>
  </si>
  <si>
    <t>LAB35B</t>
  </si>
  <si>
    <t>FREIDORA DE AIRE AIWA AW-FA35B 1200W BLANCA EAN</t>
  </si>
  <si>
    <t>LAB35N</t>
  </si>
  <si>
    <t>FREIDORA DE AIRE AIWA AW-FA35B 1200W NEGRA EAN</t>
  </si>
  <si>
    <t>LAB15L</t>
  </si>
  <si>
    <t>CAFETERA DE FILTRO AIWA AWK-CFD15L 1.5L EAN</t>
  </si>
  <si>
    <t>LAB451N</t>
  </si>
  <si>
    <t>PAR580</t>
  </si>
  <si>
    <t xml:space="preserve">PARLANTE PORTATILA AIWA AW-PP580 EAN </t>
  </si>
  <si>
    <t>LAB244N</t>
  </si>
  <si>
    <t>FREIDORA DE AIRE AIWA AW-FA244 4+4L 1200W NEGRA EAN</t>
  </si>
  <si>
    <t>LAB202A</t>
  </si>
  <si>
    <t xml:space="preserve">ANAFE DOBLE AIWA AWK-AN202 EAN </t>
  </si>
  <si>
    <t>LAB125N</t>
  </si>
  <si>
    <t>CAFETERA DE FILTRO AIWA AWK-CF125N 1.25L EAN</t>
  </si>
  <si>
    <t>LAB800B</t>
  </si>
  <si>
    <t xml:space="preserve">TOSTADORA ELECTRICA AIWA AWK-TO800B 800W BLANCA EAN </t>
  </si>
  <si>
    <t>LAB800N</t>
  </si>
  <si>
    <t xml:space="preserve">TOSTADORA ELECTRICA AIWA AWK-TO800N 800W NEGRA EAN </t>
  </si>
  <si>
    <t>PAR806F</t>
  </si>
  <si>
    <t>TORRE AIWA AW-T806F-PB BLUETOOTH 6500W EAN</t>
  </si>
  <si>
    <t>LAB02G</t>
  </si>
  <si>
    <t>AURI301N</t>
  </si>
  <si>
    <t>AURI301B</t>
  </si>
  <si>
    <t xml:space="preserve">LAB075N </t>
  </si>
  <si>
    <t xml:space="preserve">CAFETERA DE FILTRO AIWA AWK-CF075N 0.75L EAN </t>
  </si>
  <si>
    <t>PAR2022</t>
  </si>
  <si>
    <t>TORRE AIWA AW-T2022 BLUETOOTH 8500W EAN</t>
  </si>
  <si>
    <t>LAB01N</t>
  </si>
  <si>
    <t>PAR210</t>
  </si>
  <si>
    <t>PARLANTE PORTATIL AIWA AW-PP210 NEGRO 20W EAN 7798111355180</t>
  </si>
  <si>
    <t>PAR4343</t>
  </si>
  <si>
    <t>LAB816D</t>
  </si>
  <si>
    <t>YOGURTERA AIWA DIGITAL-TIMER AW-YG816 1.6L EAN</t>
  </si>
  <si>
    <t>LAB700B</t>
  </si>
  <si>
    <t xml:space="preserve">TOSTADORA ELECTRICA AIWA AWK-TO700B 700 W BLANCA EAN </t>
  </si>
  <si>
    <t>LAB700N</t>
  </si>
  <si>
    <t>AURI501C</t>
  </si>
  <si>
    <t>AURICULAR AIWA AVA-BT501C BLUETOOTH EAN 7798111355395</t>
  </si>
  <si>
    <t>AURI80B</t>
  </si>
  <si>
    <t>AURICULAR AIWA IN EAR TWA-80B BLANCO EAN 7798111354787</t>
  </si>
  <si>
    <t>LAB101A</t>
  </si>
  <si>
    <t xml:space="preserve">ANAFE INDIVIDUAL AIWA AWK-AN101 EAN </t>
  </si>
  <si>
    <t>AURI90N</t>
  </si>
  <si>
    <t>PAR2016A</t>
  </si>
  <si>
    <t>PARLANTE AIWA AW-PP2016 1X6 5W PMPO EAN 7798111354701</t>
  </si>
  <si>
    <t>LAB508B</t>
  </si>
  <si>
    <t>LAB508C</t>
  </si>
  <si>
    <t>LAB508N</t>
  </si>
  <si>
    <t>LAB508R</t>
  </si>
  <si>
    <t>LAB715M</t>
  </si>
  <si>
    <t>YOGURTERA AIWA MANUAL ON/OFF AW-YG715 1.5L EAN</t>
  </si>
  <si>
    <t>AURI101N</t>
  </si>
  <si>
    <t>AURICULAR SUZUKI IN EAR STW-101N NEGRO EAN 7798111354879</t>
  </si>
  <si>
    <t>LAB01R</t>
  </si>
  <si>
    <t>PAR4299</t>
  </si>
  <si>
    <t>SMART TV HYUDAI HYLED-50UHD7A 50" HD LED 7798169447233</t>
  </si>
  <si>
    <t>SMART TV HYUDAI HYLED-32HD7A 32" HD LED 7798169447219</t>
  </si>
  <si>
    <t>ANAFE INDIVIDUAL AIWA AWK-AN101 EAN</t>
  </si>
  <si>
    <t>ANAFE DOBLE AIWA AWK-AN202 EAN</t>
  </si>
  <si>
    <t>TORRE AW-T2008PB AIWA EAN: 7798111354367</t>
  </si>
  <si>
    <t>PARLANTE BT AW-P1510D AIWA EAN: 7798111354343</t>
  </si>
  <si>
    <t>PAR265</t>
  </si>
  <si>
    <t>PARLANTE GAMER 2.0 BT NG-265P</t>
  </si>
  <si>
    <t>PARLANTE BT AW-P240-SN PMPO 2500W AIWA EAN: 7798111354299</t>
  </si>
  <si>
    <t>PARLANTE PORTATILA AIWA AW-PP580 EAN</t>
  </si>
  <si>
    <t>AURICULAR AIWA IN EAR TWA-90N NEGRO TRUE WIRELE</t>
  </si>
  <si>
    <t>AURICULAR BT IN EAR TWA-90B BLANCO AIWA EAN: 7798111354794</t>
  </si>
  <si>
    <t>AURICULAR BT AVA-BT301B BLANCO AIWA EAN: 7798111353391</t>
  </si>
  <si>
    <t>LAB075N</t>
  </si>
  <si>
    <t>CAFETERA DE FILTRO AIWA AWK-CF075N 0.75L EAN</t>
  </si>
  <si>
    <t>AFETERA EXPRESO AIWA AWK-CE200R C/ESPUMADOR EA</t>
  </si>
  <si>
    <t>HORNO ELECTRICO TIVOLI HET-451N 45L NEGRO EAN</t>
  </si>
  <si>
    <t>SANDWICHERA AIWA AWK-SW100I EAN</t>
  </si>
  <si>
    <t>PLANCHITA DE PELO AIWA ON/OFF AWB-PL01R CALLE II EAN</t>
  </si>
  <si>
    <t>SANDWICHERA AIWA AWK-SW300I 3 EN 1 EAN</t>
  </si>
  <si>
    <t>SECADOR DE PELO AIWA AWB-SP01N 2200 W CLASE II EAN</t>
  </si>
  <si>
    <t>SECADOR DE PELO PLEGABLE AIWA AWB-SPP02G 2200 W CLASE II EAN</t>
  </si>
  <si>
    <t>TOSTADORA ELECTRICA AIWA AWK-TO700B 700 W BLANCA EAN</t>
  </si>
  <si>
    <t>TOSTADORA ELECTRICA AIWA AWK-TO700N 700 W NEGRA EAN</t>
  </si>
  <si>
    <t>TOSTADORA ELECTRICA AIWA AWK-TO800N 800W NEGRA EAN</t>
  </si>
  <si>
    <t>NOTEBOOK NOBLEX 14.1" N14X1010 N4020C 4GB 128GB</t>
  </si>
  <si>
    <t>LAB1700I</t>
  </si>
  <si>
    <t xml:space="preserve">PAVA ELECTRICA AIWA AWK-PVD1700I DIGITAL EAN </t>
  </si>
  <si>
    <t>global</t>
  </si>
  <si>
    <t>noblex</t>
  </si>
  <si>
    <t>hyundai</t>
  </si>
  <si>
    <t>notebook</t>
  </si>
  <si>
    <t>contadora billetes</t>
  </si>
  <si>
    <t>PAVA ELECTRICA AIWA AWK-PVD1700I DIGITAL EAN</t>
  </si>
  <si>
    <t>TOSTADORA ELECTRICA AIWA AWK-TO800B 800W BLANCA EAN 7798111355838</t>
  </si>
  <si>
    <t>hasta 23-5-2025</t>
  </si>
  <si>
    <t>3 cuo. a tu cargo 8.50%</t>
  </si>
  <si>
    <t>6 cuo. a tu cargo 14%</t>
  </si>
  <si>
    <t>9 cuo. a tu cargo 19.5%</t>
  </si>
  <si>
    <t>12 cuo. a tu cargo 24.5%</t>
  </si>
  <si>
    <t>3 cuo. a tu cargo 8.5%</t>
  </si>
  <si>
    <t>b120ds20</t>
  </si>
  <si>
    <t>b223ds20 grill</t>
  </si>
  <si>
    <t>b228ds20 grill</t>
  </si>
  <si>
    <t>por si vuelve a subir</t>
  </si>
  <si>
    <t>LAB225B</t>
  </si>
  <si>
    <t>HELADERA CICLICA TOP MOUNT BLANCA PHILCO PHCT225B</t>
  </si>
  <si>
    <t>LAB242B</t>
  </si>
  <si>
    <t>HELADERA CICLICA TOP MOUNT BLANCA PHILCO PHCT242B CON FREEZER</t>
  </si>
  <si>
    <t>AIRE ACONDICIONADO SPLIT TCL TACA 8500w CSA T PRO INVERTER</t>
  </si>
  <si>
    <t>AIRE ACONDICIONADO SPLIT TCL TACA 8500W CSA T PRO INVERTER</t>
  </si>
  <si>
    <t>LAB719</t>
  </si>
  <si>
    <t>MICROONDAS DIGITAL 20 LITROS B120DS20I SILVER PIH049509 BGH EAN</t>
  </si>
  <si>
    <t>LAB818</t>
  </si>
  <si>
    <t>MICROONDAS BGH B228DS20 PIH049511 EAN</t>
  </si>
  <si>
    <t>TV6565</t>
  </si>
  <si>
    <t>MICROONDAS BGH B223DS20 SILVER 23L PIH049510 EAN</t>
  </si>
  <si>
    <t>MICROONDAS GRILL QUICK CHEF B223DS20i SILVER 23L PNH048670 BGH EAN: 7796885495101</t>
  </si>
  <si>
    <t>CLOUD232</t>
  </si>
  <si>
    <t>CLOUDBOOK CA141-C 4GB 128GB GRIS AIWA  EAN:  7798111354589</t>
  </si>
  <si>
    <t>CLOUDBOOK CA141-C 4GB 128GB GRIS AIWA EAN: 7798111354589</t>
  </si>
  <si>
    <t>TV4343</t>
  </si>
  <si>
    <t>TV5858</t>
  </si>
  <si>
    <t>SMART TV HYUNDAI HYLED-43FHD7A 43" HD LED</t>
  </si>
  <si>
    <t>SMART TV HYUNDAI HYLED-58UHD7A 58" HD LED</t>
  </si>
  <si>
    <t>TV LED SMART 65" RCA C65AND ANDROIDTV 4K EAN</t>
  </si>
  <si>
    <t>PAR265N</t>
  </si>
  <si>
    <t>PARLANTE PORTATIL AIWA AW-PP265 NEGRO 13W EAN 7798111355173</t>
  </si>
  <si>
    <t>AURI102N</t>
  </si>
  <si>
    <t>AURICULAR AVA-102N NEGRO AIWA EAN: 7798111353421</t>
  </si>
  <si>
    <t>AURI601C</t>
  </si>
  <si>
    <t>AURI601N</t>
  </si>
  <si>
    <t>AURI701N</t>
  </si>
  <si>
    <t>envio                    iva incluido</t>
  </si>
  <si>
    <t>aiwa</t>
  </si>
  <si>
    <t>ACC100N</t>
  </si>
  <si>
    <t>PROYECTOR LED 2000LM AIWA FULL HD NEGRO AW-PRY100N EAN</t>
  </si>
  <si>
    <t>ACC300B</t>
  </si>
  <si>
    <t>PROYECTOR LED 4000LM AIWA FULL HD BLANCO AW-PRY300B EAN</t>
  </si>
  <si>
    <t>ACC400N</t>
  </si>
  <si>
    <t>PROYECTOR LED 4000LM AIWA FULL HD NEGRO AW-PRY400N EAN</t>
  </si>
  <si>
    <t>ACC190N</t>
  </si>
  <si>
    <t>LAB300N</t>
  </si>
  <si>
    <t>ACC10N</t>
  </si>
  <si>
    <t>ACC10B</t>
  </si>
  <si>
    <t>LAB20N</t>
  </si>
  <si>
    <t>FREIDORA DE AIRE AIWA AW-FA20N 2L 900W NEGRA EAN</t>
  </si>
  <si>
    <t>PROYECTOR LED 4000LM AIWA FULL HD NEGRO AW-PRY400N EAN 7798111355920</t>
  </si>
  <si>
    <t>PROYECTOR LED 2000LM AIWA FULL HD NEGRO AW-PRY100N EAN 7798111355951</t>
  </si>
  <si>
    <t>PROYECTOR LED 4000LM AIWA FULL HD BLANCO AW-PRY300B EAN 7798111355937</t>
  </si>
  <si>
    <t>AURICULAR AIWA NEGRO BLUETOOTH -MANOS LIBRES CONTROL DE VOLUMEN AVA-BT301N EAN 7798111355384</t>
  </si>
  <si>
    <t>AURICULAR AIWA AV-BT701N NEGRO EAN 7798111355371</t>
  </si>
  <si>
    <t>AURICULAR AIWA AV-BT601N NEGRO EAN 7798111355418</t>
  </si>
  <si>
    <t>AURICULAR AIWA AV-BT601C CREMA EAN 7798111355401</t>
  </si>
  <si>
    <t>MAQUINA PARA CORTAR FIAMBRE AIEA AWK-MCF190N EAN 7798111356033</t>
  </si>
  <si>
    <t>FABRICA DE HIELO NEGRA AWK-FH10N EAN 7798111356408</t>
  </si>
  <si>
    <t>ESPUMADOR DE LECHE 300ML AIWA AWK-EL300N EAN 7798111355753</t>
  </si>
  <si>
    <t>FABRICA DE HIELO BLANCA AWK-FH10B EAN 7798111356415</t>
  </si>
  <si>
    <t>BATIDORA DE PIE AIWA AW-BP508C 5.2L 1200 W CREMA EAN 7798111355517</t>
  </si>
  <si>
    <t>BATIDORA DE PIE AIWA AW-BP508B 5.2L 1200 W BLANCA EAN 7798111355500</t>
  </si>
  <si>
    <t>BATIDORA DE PIE AIWA AW-BP508N 5.2L 1200W NEGRO EAN 7798111355487</t>
  </si>
  <si>
    <t>BATIDORA DE PIE AIWA AW-BP508R 5.2L 1200W ROJO METAL EAN 7798111355494</t>
  </si>
  <si>
    <t xml:space="preserve">AURICULAR AIWA AV-BT701N NEGRO EAN </t>
  </si>
  <si>
    <t xml:space="preserve">AURICULAR AIWA AV-BT601C CREMA EAN </t>
  </si>
  <si>
    <t>AURICULAR BT AVA-BT301B BLANCO  AIWA   EAN:  7798111353391</t>
  </si>
  <si>
    <t>AURICULAR AVA-102N NEGRO AIWA  EAN:  7798111353421</t>
  </si>
  <si>
    <t>HELADERA CICLICA TOP MOUNT BLANCA PHILCO PHCT225B EAN 7799111675889</t>
  </si>
  <si>
    <t>HELADERA CICLICA TOP MOUNT BLANCA PHILCO PHCT242B CON FREEZER EAN 779111675896</t>
  </si>
  <si>
    <t>LAB1995</t>
  </si>
  <si>
    <t>SECARROPA POR CALOR AX-3000 AXEL EAN: 7798118961995</t>
  </si>
  <si>
    <t>Lavasecarropas</t>
  </si>
  <si>
    <t>LAVASECARROPAS BGH BWDN10W25AR 10KG 1400 RPM INVERTER BLANCO</t>
  </si>
  <si>
    <t>LAB1025B</t>
  </si>
  <si>
    <t>@</t>
  </si>
  <si>
    <t>HELADERA PHILCO SIDE BY SIDE NEGRA PHSB450N</t>
  </si>
  <si>
    <t>LAB450N</t>
  </si>
  <si>
    <t>FREIDORA DE AIRE SMART TEK AF2065 6 LITROS</t>
  </si>
  <si>
    <t>SMART TV 55" RCA G55P6UHD GOOGLE 4K EAN: 7796941251047</t>
  </si>
  <si>
    <t>SMART TV 32" PHILIPS GOOGLE TV 32PHD6918/77 EAN 8718863037515</t>
  </si>
  <si>
    <t>SMART TV PHILIPS 32" ANDROID TV 32PHD6927/77 EAN 8718863035733</t>
  </si>
  <si>
    <t>SMART TV LED TCL 32" FHD L32S5400-F ANDROID EAN 7796941328862</t>
  </si>
  <si>
    <t>TV SMART 32" TELEFUNKEN TK3225S5A PNE040300 EAN 7796885403007</t>
  </si>
  <si>
    <t>HELADERA SIDE BY SIDE 428L NETA NEGRA PHILCO  - PHSB450N</t>
  </si>
  <si>
    <t>MINIMO AL 3</t>
  </si>
  <si>
    <t>PVP ACTUAL</t>
  </si>
  <si>
    <t>DESCUENTO</t>
  </si>
  <si>
    <t xml:space="preserve">QUEDA EN </t>
  </si>
  <si>
    <t>SANDWICHERA AIWA AWK-SW100I EAN: 7798111355685</t>
  </si>
  <si>
    <t>LAB2065</t>
  </si>
  <si>
    <t xml:space="preserve"> FREIDORA DE AIRE SMART TEK AF 2065 6LT</t>
  </si>
  <si>
    <t>Smart tek</t>
  </si>
  <si>
    <t>smart tek</t>
  </si>
  <si>
    <t>COCINA GAS 56CM BLANCA DREAN CD5602AB0</t>
  </si>
  <si>
    <t>COCINA GAS 56CM NEGRA DREAN CD5602AN0</t>
  </si>
  <si>
    <t>COCINA GAS 56CM INOX DREAN CD5602AI0</t>
  </si>
  <si>
    <t>COCINA GAS 56CM INOX DREAN CD5603AI0</t>
  </si>
  <si>
    <t>COCINA GAS 56CM INOX DREAN CD5614AI0</t>
  </si>
  <si>
    <t>LAB5602B</t>
  </si>
  <si>
    <t>LAB5602N</t>
  </si>
  <si>
    <t>LAB5602I</t>
  </si>
  <si>
    <t>LAB5603I</t>
  </si>
  <si>
    <t>LAB5614I</t>
  </si>
  <si>
    <t>planchas</t>
  </si>
  <si>
    <t>CALE200</t>
  </si>
  <si>
    <t>PANEL DE VIDRIO PIE/ PARED LILIANA HOT PANEL CPPV200 EAN: 7793862008927</t>
  </si>
  <si>
    <t>LILIANA</t>
  </si>
  <si>
    <t>CALE25</t>
  </si>
  <si>
    <t>TURBOCALEFACTOR PV500 HOTDECO EAN 7793862008088</t>
  </si>
  <si>
    <t>CALE51</t>
  </si>
  <si>
    <t>PANEL DE VIDRIO LILIANA MOD: PV300 HOTGLASS CCPPV300 800/1400/2200W  -EAN 7793862009689</t>
  </si>
  <si>
    <t>AIRE ACONDICIONADO SAMSUNG INVERTER 3150 W AR12BSHQAWK2BG EAN:  8806094615869</t>
  </si>
  <si>
    <t xml:space="preserve">AURICULAR AIWA NEGRO BLUETOOTH -MANOS LIBRES CONTROL DE VOLUMEN AVA-BT301N </t>
  </si>
  <si>
    <t>LAB0179</t>
  </si>
  <si>
    <t>HELADERA ONE DOOR CON DISPENSER PLATA PHSD179PD2 – PHILCO</t>
  </si>
  <si>
    <t>LAB0260</t>
  </si>
  <si>
    <t>HELADERA PHILCO 244 LTS CAP NETA BLANCA 94PHCT260B</t>
  </si>
  <si>
    <t>CONVECTOR ELECTRICO STAR-TRAK STCOE EAN: 7798185861723</t>
  </si>
  <si>
    <t>LAB4202</t>
  </si>
  <si>
    <t>MICROONDAS ATMA MATDGB23UAP DIGITAL 23L NEGRO EAN 7799111674202</t>
  </si>
  <si>
    <t>axel</t>
  </si>
  <si>
    <t>secarropas</t>
  </si>
  <si>
    <t>HELADERA CICLICA TOP MOUNT BLANCA PHILCO PHCT260B CON FREEZER ean 7798192363081</t>
  </si>
  <si>
    <t>cuotas ML</t>
  </si>
  <si>
    <t>no agregar cuota 0%</t>
  </si>
  <si>
    <t xml:space="preserve">ejemplo </t>
  </si>
  <si>
    <t>envios</t>
  </si>
  <si>
    <t>32" a 55"</t>
  </si>
  <si>
    <t xml:space="preserve">microondas </t>
  </si>
  <si>
    <t>20L</t>
  </si>
  <si>
    <t xml:space="preserve">cuando el pvp es menor de </t>
  </si>
  <si>
    <t>23L a 28L</t>
  </si>
  <si>
    <t>el envio es a cargo del comprador</t>
  </si>
  <si>
    <t>batidora, freidora, procesadora</t>
  </si>
  <si>
    <t>pero se cobra $2400 + cargo x vta</t>
  </si>
  <si>
    <t>caloventor</t>
  </si>
  <si>
    <t>chico</t>
  </si>
  <si>
    <t xml:space="preserve">caloventor </t>
  </si>
  <si>
    <t>madiano</t>
  </si>
  <si>
    <t xml:space="preserve">heladeeras, lavarropas, cocinas aires y </t>
  </si>
  <si>
    <t>auricular o parlante chico</t>
  </si>
  <si>
    <t>algun otro articulo grande no colocar envio</t>
  </si>
  <si>
    <t>auricular chiquito tipo in ear</t>
  </si>
  <si>
    <t>se calcula de otra forma</t>
  </si>
  <si>
    <t>mediana</t>
  </si>
  <si>
    <t>3 cuota simple</t>
  </si>
  <si>
    <t>6 cuota simple</t>
  </si>
  <si>
    <t>3 a 12 int bajo</t>
  </si>
  <si>
    <t>3 a tu cargo</t>
  </si>
  <si>
    <t>6 a tu cargo</t>
  </si>
  <si>
    <t>9 a tu cargo</t>
  </si>
  <si>
    <t>12 a tu cargo</t>
  </si>
  <si>
    <t>SMART TV 32" TELEFUNKEN TK3225S5A PNE040300 EAN</t>
  </si>
  <si>
    <t>derivando factura</t>
  </si>
  <si>
    <t>colocar costo</t>
  </si>
  <si>
    <t>resultado</t>
  </si>
  <si>
    <t>6 cuo. a tu cargo 13.4%</t>
  </si>
  <si>
    <t>9 cuo. a tu cargo 17.8%</t>
  </si>
  <si>
    <t>12 cuo. a tu cargo 22.20%</t>
  </si>
  <si>
    <t>12 cuo. a tu cargo 22.2%</t>
  </si>
  <si>
    <t>MICROONDAS DIGITAL BLANCO PHILCO MPHDW23UAP 900W 23L</t>
  </si>
  <si>
    <t>LAB23D</t>
  </si>
  <si>
    <t>MICROONDAS ROTATIVO PHILCO MPHRW20UAP 700WBLANCO 20L</t>
  </si>
  <si>
    <t>LAB20R</t>
  </si>
  <si>
    <t>HELADERA ONE DOOR CON DISPENSER PLATA PHSD179PD2 – PHILCO EAN: 7799111676077</t>
  </si>
  <si>
    <t>LAVARROPAS PHILCO 94PHLF8014PI2 – 8 KG CARGA FRONTAL GRIS INVERTER</t>
  </si>
  <si>
    <t>LAB8014</t>
  </si>
  <si>
    <t>LAB6510B</t>
  </si>
  <si>
    <t>LAVARROPAS PHILCO BLANCO CARGA FRONTAL 6.5KG – MODELO 94PHLF6510B2</t>
  </si>
  <si>
    <t>TV LED BGH 50" GOOGLE B5024US6G PNE 040294 EAN 7796885402949</t>
  </si>
  <si>
    <t>MICROONDAS WHIRLPOOL WMS20BS 20L EAN</t>
  </si>
  <si>
    <t>LAB20BS</t>
  </si>
  <si>
    <t>LAVARROPAS BGH INVERTER BWFE08W24AR 8K -1400 RPM -BLANCO PIH034058</t>
  </si>
  <si>
    <t>SECARROPA POR CALOR AX-3000 AXEL EAN:  7798118961995</t>
  </si>
  <si>
    <t>TV2850</t>
  </si>
  <si>
    <t>SMART TV 50 UHD 4K SHARP GOOGLE TV 4T-C50FLL6L FTV</t>
  </si>
  <si>
    <t>LAB5603B</t>
  </si>
  <si>
    <t>COCINA GAS 56CM BLANCA DREAN CD5603AB0</t>
  </si>
  <si>
    <t>TV288</t>
  </si>
  <si>
    <t>TV LED 32" BGH B3225H5 VIDA A PNE040288 EAN7796885402888</t>
  </si>
  <si>
    <t>LAB06W</t>
  </si>
  <si>
    <t>LAVARROPAS BGH 6KG BLANCO INVERTER -1000 RPM BWFE06W24AR</t>
  </si>
  <si>
    <t>LAB07B</t>
  </si>
  <si>
    <t>LAVARROPAS CARGA SUPERIOR BLANCO PHILCOL PHCS07B</t>
  </si>
  <si>
    <t>LAB4170</t>
  </si>
  <si>
    <t>MICROONDAS PHILCO DIGITAL BLANCO 20 LTS MPHDW20UAP</t>
  </si>
  <si>
    <t>TCL</t>
  </si>
  <si>
    <t>LG</t>
  </si>
  <si>
    <t>MICROONDAS PHILCO DIGITAL BLANCO 20 LTS MPHDW20UAP 7799111674523</t>
  </si>
  <si>
    <t>MICROONDAS ATMA ROTATIVO 20L BLACK MATRB20UAP EAN 7799111674165</t>
  </si>
  <si>
    <t>sin cuota</t>
  </si>
  <si>
    <t>simple</t>
  </si>
  <si>
    <t>3 cuotas</t>
  </si>
  <si>
    <t>6 cuotas</t>
  </si>
  <si>
    <t>9 cuotas</t>
  </si>
  <si>
    <t>12 cuotas</t>
  </si>
  <si>
    <t>TV5524</t>
  </si>
  <si>
    <t>SMART TV 55” BGH GOOGLE TV – B5524US6G 4K UHD EAN 7796885403021</t>
  </si>
  <si>
    <t>TORRE DE LAVADO INVERTER LAVASECARROPAS CON IA PHILCO PREDICTA CARGA FRONTAL 15KG/7KG DARK GRAY 94PHLFT157GT</t>
  </si>
  <si>
    <t>LAB1525</t>
  </si>
  <si>
    <t>descuento meli 360</t>
  </si>
  <si>
    <t>SMART TV 55” BGH GOOGLE TV – B5524US6G 4K UHD</t>
  </si>
  <si>
    <t>|</t>
  </si>
  <si>
    <t>LAB1942</t>
  </si>
  <si>
    <t>COCINA ELECTRICA PHILCO PHCH060P PLATA EAN 07799111671942</t>
  </si>
  <si>
    <t>cocinas</t>
  </si>
  <si>
    <t>MICROONDAS PHILCO DIGITAL BLANCO 20 LTS MPHDW20UAP EAN 07799111674523</t>
  </si>
  <si>
    <t>MICROONDAS ROTATIVO PHILCO MPHRW20UAP BLANCO 20L EAN 07799111674530</t>
  </si>
  <si>
    <t>LAB5617I</t>
  </si>
  <si>
    <t>COCINA GAS 56CM INOX DREAN CD5617AI0</t>
  </si>
  <si>
    <t>Tot. Int x Publicar</t>
  </si>
  <si>
    <t>no usar</t>
  </si>
  <si>
    <t>Nivel</t>
  </si>
  <si>
    <t>Nombre</t>
  </si>
  <si>
    <t>Margen %</t>
  </si>
  <si>
    <t>TIPOS PARA ELEGIR</t>
  </si>
  <si>
    <t>Jerarquía</t>
  </si>
  <si>
    <t>-Cada fila que se agrega se toma en la funcion modifica PVP WEB LINK DE PAGO.</t>
  </si>
  <si>
    <t>Producto (SKU del producto)</t>
  </si>
  <si>
    <t>-LA FILA GLOBAL NO SE DEBE REPETIR REPETIR</t>
  </si>
  <si>
    <t>Marca</t>
  </si>
  <si>
    <t>Subcategoria</t>
  </si>
  <si>
    <t>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</si>
</sst>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&quot;$&quot;\ * #,##0.00_-;\-&quot;$&quot;\ * #,##0.00_-;_-&quot;$&quot;\ * &quot;-&quot;??_-;_-@_-"/>
    <numFmt numFmtId="165" formatCode="&quot;$&quot;#,##0.00"/>
    <numFmt numFmtId="166" formatCode="&quot;$&quot;\ #,##0.00"/>
    <numFmt numFmtId="167" formatCode="&quot;$&quot;\ #,##0"/>
  </numFmts>
  <fonts count="11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theme="7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9"/>
      </right>
      <top/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82">
    <xf numFmtId="0" fontId="0" fillId="0" borderId="0" xfId="0"/>
    <xf numFmtId="0" fontId="3" fillId="15" borderId="12" xfId="0" applyFont="1" applyFill="1" applyBorder="1"/>
    <xf numFmtId="0" fontId="3" fillId="15" borderId="37" xfId="0" applyFont="1" applyFill="1" applyBorder="1"/>
    <xf numFmtId="0" fontId="3" fillId="15" borderId="24" xfId="0" applyFont="1" applyFill="1" applyBorder="1" applyAlignment="1">
      <alignment wrapText="1"/>
    </xf>
    <xf numFmtId="0" fontId="3" fillId="15" borderId="0" xfId="0" applyFont="1" applyFill="1"/>
    <xf numFmtId="0" fontId="0" fillId="2" borderId="19" xfId="0" applyFill="1" applyBorder="1"/>
    <xf numFmtId="166" fontId="0" fillId="2" borderId="19" xfId="0" applyNumberFormat="1" applyFill="1" applyBorder="1"/>
    <xf numFmtId="0" fontId="5" fillId="2" borderId="18" xfId="0" applyFont="1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/>
    <xf numFmtId="0" fontId="0" fillId="0" borderId="39" xfId="0" applyBorder="1" applyAlignment="1">
      <alignment horizontal="center"/>
    </xf>
    <xf numFmtId="0" fontId="0" fillId="0" borderId="17" xfId="0" applyBorder="1" applyAlignment="1">
      <alignment horizontal="center"/>
    </xf>
    <xf numFmtId="0" fontId="5" fillId="3" borderId="19" xfId="0" applyFont="1" applyFill="1" applyBorder="1" applyAlignment="1">
      <alignment horizontal="center"/>
    </xf>
    <xf numFmtId="0" fontId="5" fillId="6" borderId="19" xfId="0" applyFont="1" applyFill="1" applyBorder="1" applyAlignment="1">
      <alignment horizontal="center"/>
    </xf>
    <xf numFmtId="0" fontId="5" fillId="12" borderId="19" xfId="0" applyFont="1" applyFill="1" applyBorder="1" applyAlignment="1">
      <alignment horizontal="center"/>
    </xf>
    <xf numFmtId="0" fontId="5" fillId="14" borderId="19" xfId="0" applyFont="1" applyFill="1" applyBorder="1" applyAlignment="1">
      <alignment horizontal="center"/>
    </xf>
    <xf numFmtId="0" fontId="5" fillId="13" borderId="19" xfId="0" applyFont="1" applyFill="1" applyBorder="1" applyAlignment="1">
      <alignment horizontal="center"/>
    </xf>
    <xf numFmtId="166" fontId="0" fillId="3" borderId="19" xfId="0" applyNumberFormat="1" applyFill="1" applyBorder="1"/>
    <xf numFmtId="0" fontId="0" fillId="3" borderId="19" xfId="0" applyFill="1" applyBorder="1" applyAlignment="1">
      <alignment horizontal="center"/>
    </xf>
    <xf numFmtId="0" fontId="0" fillId="6" borderId="19" xfId="0" applyFill="1" applyBorder="1"/>
    <xf numFmtId="166" fontId="0" fillId="6" borderId="19" xfId="0" applyNumberFormat="1" applyFill="1" applyBorder="1"/>
    <xf numFmtId="0" fontId="0" fillId="6" borderId="19" xfId="0" applyFill="1" applyBorder="1" applyAlignment="1">
      <alignment horizontal="center"/>
    </xf>
    <xf numFmtId="0" fontId="0" fillId="6" borderId="17" xfId="0" applyFill="1" applyBorder="1"/>
    <xf numFmtId="0" fontId="0" fillId="12" borderId="19" xfId="0" applyFill="1" applyBorder="1"/>
    <xf numFmtId="166" fontId="0" fillId="12" borderId="19" xfId="0" applyNumberFormat="1" applyFill="1" applyBorder="1"/>
    <xf numFmtId="0" fontId="0" fillId="12" borderId="19" xfId="0" applyFill="1" applyBorder="1" applyAlignment="1">
      <alignment horizontal="center"/>
    </xf>
    <xf numFmtId="0" fontId="0" fillId="12" borderId="17" xfId="0" applyFill="1" applyBorder="1"/>
    <xf numFmtId="0" fontId="0" fillId="14" borderId="19" xfId="0" applyFill="1" applyBorder="1"/>
    <xf numFmtId="166" fontId="0" fillId="14" borderId="19" xfId="0" applyNumberFormat="1" applyFill="1" applyBorder="1"/>
    <xf numFmtId="0" fontId="0" fillId="14" borderId="19" xfId="0" applyFill="1" applyBorder="1" applyAlignment="1">
      <alignment horizontal="center"/>
    </xf>
    <xf numFmtId="0" fontId="0" fillId="14" borderId="17" xfId="0" applyFill="1" applyBorder="1"/>
    <xf numFmtId="0" fontId="0" fillId="13" borderId="19" xfId="0" applyFill="1" applyBorder="1"/>
    <xf numFmtId="166" fontId="0" fillId="13" borderId="19" xfId="0" applyNumberFormat="1" applyFill="1" applyBorder="1"/>
    <xf numFmtId="0" fontId="0" fillId="13" borderId="19" xfId="0" applyFill="1" applyBorder="1" applyAlignment="1">
      <alignment horizontal="center"/>
    </xf>
    <xf numFmtId="0" fontId="0" fillId="13" borderId="17" xfId="0" applyFill="1" applyBorder="1"/>
    <xf numFmtId="0" fontId="0" fillId="0" borderId="19" xfId="0" applyBorder="1" applyAlignment="1">
      <alignment horizontal="center"/>
    </xf>
    <xf numFmtId="165" fontId="1" fillId="0" borderId="0" xfId="0" applyNumberFormat="1" applyFont="1" applyFill="1" applyProtection="1"/>
    <xf numFmtId="10" fontId="1" fillId="0" borderId="0" xfId="0" applyNumberFormat="1" applyFont="1" applyFill="1" applyProtection="1"/>
    <xf numFmtId="0" fontId="1" fillId="0" borderId="5" xfId="0" applyFont="1" applyFill="1" applyBorder="1" applyProtection="1"/>
    <xf numFmtId="165" fontId="1" fillId="0" borderId="4" xfId="0" applyNumberFormat="1" applyFont="1" applyFill="1" applyBorder="1" applyProtection="1"/>
    <xf numFmtId="10" fontId="1" fillId="0" borderId="4" xfId="0" applyNumberFormat="1" applyFont="1" applyFill="1" applyBorder="1" applyProtection="1"/>
    <xf numFmtId="0" fontId="1" fillId="0" borderId="4" xfId="0" applyFont="1" applyFill="1" applyBorder="1" applyProtection="1"/>
    <xf numFmtId="0" fontId="1" fillId="0" borderId="3" xfId="0" applyFont="1" applyFill="1" applyBorder="1" applyProtection="1"/>
    <xf numFmtId="0" fontId="1" fillId="0" borderId="2" xfId="0" applyFont="1" applyFill="1" applyBorder="1" applyProtection="1"/>
    <xf numFmtId="165" fontId="1" fillId="0" borderId="0" xfId="0" applyNumberFormat="1" applyFont="1" applyFill="1" applyBorder="1" applyProtection="1"/>
    <xf numFmtId="10" fontId="1" fillId="0" borderId="0" xfId="0" applyNumberFormat="1" applyFont="1" applyFill="1" applyBorder="1" applyProtection="1"/>
    <xf numFmtId="0" fontId="1" fillId="0" borderId="0" xfId="0" applyFont="1" applyFill="1" applyBorder="1" applyProtection="1"/>
    <xf numFmtId="0" fontId="1" fillId="0" borderId="1" xfId="0" applyFont="1" applyFill="1" applyBorder="1" applyProtection="1"/>
    <xf numFmtId="0" fontId="1" fillId="0" borderId="0" xfId="0" applyFont="1" applyFill="1" applyProtection="1"/>
    <xf numFmtId="0" fontId="1" fillId="7" borderId="2" xfId="0" applyFont="1" applyFill="1" applyBorder="1" applyProtection="1"/>
    <xf numFmtId="165" fontId="1" fillId="7" borderId="0" xfId="0" applyNumberFormat="1" applyFont="1" applyFill="1" applyBorder="1" applyProtection="1"/>
    <xf numFmtId="10" fontId="1" fillId="7" borderId="0" xfId="0" applyNumberFormat="1" applyFont="1" applyFill="1" applyBorder="1" applyProtection="1"/>
    <xf numFmtId="0" fontId="1" fillId="7" borderId="0" xfId="0" applyFont="1" applyFill="1" applyBorder="1" applyProtection="1"/>
    <xf numFmtId="0" fontId="1" fillId="7" borderId="1" xfId="0" applyFont="1" applyFill="1" applyBorder="1" applyProtection="1"/>
    <xf numFmtId="0" fontId="4" fillId="0" borderId="0" xfId="0" applyFont="1" applyFill="1" applyProtection="1"/>
    <xf numFmtId="0" fontId="4" fillId="3" borderId="22" xfId="0" applyFont="1" applyFill="1" applyBorder="1" applyProtection="1"/>
    <xf numFmtId="165" fontId="4" fillId="3" borderId="21" xfId="0" applyNumberFormat="1" applyFont="1" applyFill="1" applyBorder="1" applyProtection="1"/>
    <xf numFmtId="10" fontId="4" fillId="3" borderId="21" xfId="0" applyNumberFormat="1" applyFont="1" applyFill="1" applyBorder="1" applyProtection="1"/>
    <xf numFmtId="0" fontId="4" fillId="3" borderId="21" xfId="0" applyFont="1" applyFill="1" applyBorder="1" applyProtection="1"/>
    <xf numFmtId="0" fontId="4" fillId="3" borderId="20" xfId="0" applyFont="1" applyFill="1" applyBorder="1" applyProtection="1"/>
    <xf numFmtId="166" fontId="0" fillId="0" borderId="25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6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8" borderId="0" xfId="0" applyFill="1"/>
    <xf numFmtId="0" fontId="0" fillId="8" borderId="34" xfId="0" applyFill="1" applyBorder="1"/>
    <xf numFmtId="0" fontId="0" fillId="8" borderId="31" xfId="0" applyFill="1" applyBorder="1"/>
    <xf numFmtId="0" fontId="0" fillId="8" borderId="29" xfId="0" applyFill="1" applyBorder="1"/>
    <xf numFmtId="0" fontId="0" fillId="4" borderId="18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11" borderId="18" xfId="0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166" fontId="0" fillId="4" borderId="39" xfId="0" applyNumberFormat="1" applyFill="1" applyBorder="1"/>
    <xf numFmtId="166" fontId="0" fillId="4" borderId="19" xfId="0" applyNumberFormat="1" applyFill="1" applyBorder="1"/>
    <xf numFmtId="164" fontId="0" fillId="9" borderId="11" xfId="1" applyFont="1" applyFill="1" applyBorder="1"/>
    <xf numFmtId="164" fontId="0" fillId="9" borderId="16" xfId="1" applyFont="1" applyFill="1" applyBorder="1"/>
    <xf numFmtId="164" fontId="0" fillId="9" borderId="8" xfId="1" applyFont="1" applyFill="1" applyBorder="1"/>
    <xf numFmtId="0" fontId="0" fillId="5" borderId="39" xfId="0" applyFill="1" applyBorder="1"/>
    <xf numFmtId="0" fontId="0" fillId="11" borderId="39" xfId="0" applyFill="1" applyBorder="1"/>
    <xf numFmtId="167" fontId="3" fillId="0" borderId="12" xfId="1" applyNumberFormat="1" applyFont="1" applyBorder="1"/>
    <xf numFmtId="167" fontId="3" fillId="0" borderId="37" xfId="1" applyNumberFormat="1" applyFont="1" applyBorder="1"/>
    <xf numFmtId="167" fontId="3" fillId="0" borderId="24" xfId="1" applyNumberFormat="1" applyFont="1" applyBorder="1" applyAlignment="1">
      <alignment wrapText="1"/>
    </xf>
    <xf numFmtId="167" fontId="3" fillId="0" borderId="0" xfId="1" applyNumberFormat="1" applyFont="1"/>
    <xf numFmtId="166" fontId="3" fillId="3" borderId="35" xfId="1" applyNumberFormat="1" applyFont="1" applyFill="1" applyBorder="1"/>
    <xf numFmtId="166" fontId="3" fillId="3" borderId="38" xfId="1" applyNumberFormat="1" applyFont="1" applyFill="1" applyBorder="1"/>
    <xf numFmtId="166" fontId="3" fillId="3" borderId="18" xfId="1" applyNumberFormat="1" applyFont="1" applyFill="1" applyBorder="1" applyAlignment="1">
      <alignment wrapText="1"/>
    </xf>
    <xf numFmtId="166" fontId="3" fillId="3" borderId="19" xfId="1" applyNumberFormat="1" applyFont="1" applyFill="1" applyBorder="1"/>
    <xf numFmtId="166" fontId="3" fillId="3" borderId="17" xfId="1" applyNumberFormat="1" applyFont="1" applyFill="1" applyBorder="1"/>
    <xf numFmtId="166" fontId="3" fillId="10" borderId="35" xfId="1" applyNumberFormat="1" applyFont="1" applyFill="1" applyBorder="1"/>
    <xf numFmtId="166" fontId="3" fillId="10" borderId="38" xfId="1" applyNumberFormat="1" applyFont="1" applyFill="1" applyBorder="1"/>
    <xf numFmtId="166" fontId="3" fillId="10" borderId="18" xfId="1" applyNumberFormat="1" applyFont="1" applyFill="1" applyBorder="1" applyAlignment="1">
      <alignment wrapText="1"/>
    </xf>
    <xf numFmtId="166" fontId="3" fillId="10" borderId="19" xfId="1" applyNumberFormat="1" applyFont="1" applyFill="1" applyBorder="1"/>
    <xf numFmtId="166" fontId="3" fillId="10" borderId="17" xfId="1" applyNumberFormat="1" applyFont="1" applyFill="1" applyBorder="1"/>
    <xf numFmtId="166" fontId="3" fillId="0" borderId="12" xfId="1" applyNumberFormat="1" applyFont="1" applyBorder="1"/>
    <xf numFmtId="166" fontId="3" fillId="0" borderId="37" xfId="1" applyNumberFormat="1" applyFont="1" applyBorder="1"/>
    <xf numFmtId="166" fontId="3" fillId="0" borderId="24" xfId="1" applyNumberFormat="1" applyFont="1" applyBorder="1" applyAlignment="1">
      <alignment wrapText="1"/>
    </xf>
    <xf numFmtId="166" fontId="3" fillId="0" borderId="0" xfId="1" applyNumberFormat="1" applyFont="1"/>
    <xf numFmtId="164" fontId="3" fillId="4" borderId="18" xfId="1" applyFont="1" applyFill="1" applyBorder="1" applyAlignment="1">
      <alignment wrapText="1"/>
    </xf>
    <xf numFmtId="0" fontId="3" fillId="0" borderId="18" xfId="0" applyFont="1" applyBorder="1" applyAlignment="1">
      <alignment wrapText="1"/>
    </xf>
    <xf numFmtId="0" fontId="3" fillId="0" borderId="23" xfId="0" applyFont="1" applyBorder="1" applyAlignment="1">
      <alignment wrapText="1"/>
    </xf>
    <xf numFmtId="164" fontId="3" fillId="4" borderId="38" xfId="1" applyFont="1" applyFill="1" applyBorder="1"/>
    <xf numFmtId="0" fontId="3" fillId="0" borderId="5" xfId="0" applyFont="1" applyBorder="1"/>
    <xf numFmtId="0" fontId="3" fillId="0" borderId="4" xfId="0" applyFont="1" applyBorder="1"/>
    <xf numFmtId="0" fontId="3" fillId="0" borderId="38" xfId="0" applyFont="1" applyBorder="1"/>
    <xf numFmtId="0" fontId="3" fillId="0" borderId="3" xfId="0" applyFont="1" applyBorder="1"/>
    <xf numFmtId="0" fontId="3" fillId="0" borderId="37" xfId="0" applyFont="1" applyBorder="1"/>
    <xf numFmtId="164" fontId="3" fillId="4" borderId="35" xfId="1" applyFont="1" applyFill="1" applyBorder="1"/>
    <xf numFmtId="0" fontId="3" fillId="0" borderId="14" xfId="0" applyFont="1" applyBorder="1"/>
    <xf numFmtId="0" fontId="3" fillId="0" borderId="36" xfId="0" applyFont="1" applyBorder="1"/>
    <xf numFmtId="0" fontId="3" fillId="0" borderId="35" xfId="0" applyFont="1" applyBorder="1"/>
    <xf numFmtId="0" fontId="3" fillId="0" borderId="13" xfId="0" applyFont="1" applyBorder="1"/>
    <xf numFmtId="0" fontId="3" fillId="0" borderId="12" xfId="0" applyFont="1" applyBorder="1"/>
    <xf numFmtId="0" fontId="3" fillId="0" borderId="24" xfId="0" applyFont="1" applyBorder="1" applyAlignment="1">
      <alignment wrapText="1"/>
    </xf>
    <xf numFmtId="164" fontId="3" fillId="4" borderId="19" xfId="1" applyFont="1" applyFill="1" applyBorder="1"/>
    <xf numFmtId="0" fontId="3" fillId="0" borderId="19" xfId="0" applyFont="1" applyBorder="1"/>
    <xf numFmtId="164" fontId="3" fillId="4" borderId="17" xfId="1" applyFont="1" applyFill="1" applyBorder="1"/>
    <xf numFmtId="0" fontId="3" fillId="0" borderId="17" xfId="0" applyFont="1" applyBorder="1"/>
    <xf numFmtId="0" fontId="3" fillId="0" borderId="0" xfId="0" applyFont="1"/>
    <xf numFmtId="0" fontId="0" fillId="3" borderId="19" xfId="0" applyFill="1" applyBorder="1"/>
    <xf numFmtId="0" fontId="0" fillId="3" borderId="17" xfId="0" applyFill="1" applyBorder="1"/>
    <xf numFmtId="0" fontId="0" fillId="0" borderId="12" xfId="0" applyBorder="1"/>
    <xf numFmtId="0" fontId="0" fillId="0" borderId="19" xfId="0" applyBorder="1"/>
    <xf numFmtId="0" fontId="0" fillId="0" borderId="17" xfId="0" applyBorder="1"/>
    <xf numFmtId="0" fontId="0" fillId="0" borderId="33" xfId="0" applyBorder="1"/>
    <xf numFmtId="0" fontId="0" fillId="0" borderId="32" xfId="0" applyBorder="1"/>
    <xf numFmtId="0" fontId="0" fillId="0" borderId="30" xfId="0" applyBorder="1"/>
    <xf numFmtId="0" fontId="0" fillId="0" borderId="28" xfId="0" applyBorder="1"/>
    <xf numFmtId="0" fontId="0" fillId="0" borderId="27" xfId="0" applyBorder="1"/>
    <xf numFmtId="0" fontId="0" fillId="0" borderId="26" xfId="0" applyBorder="1"/>
    <xf numFmtId="0" fontId="0" fillId="0" borderId="25" xfId="0" applyBorder="1"/>
    <xf numFmtId="0" fontId="0" fillId="0" borderId="11" xfId="0" applyBorder="1"/>
    <xf numFmtId="0" fontId="0" fillId="0" borderId="10" xfId="0" applyBorder="1"/>
    <xf numFmtId="0" fontId="0" fillId="0" borderId="9" xfId="0" applyBorder="1"/>
    <xf numFmtId="0" fontId="0" fillId="0" borderId="16" xfId="0" applyBorder="1"/>
    <xf numFmtId="0" fontId="0" fillId="0" borderId="15" xfId="0" applyBorder="1"/>
    <xf numFmtId="0" fontId="0" fillId="0" borderId="8" xfId="0" applyBorder="1"/>
    <xf numFmtId="0" fontId="0" fillId="0" borderId="7" xfId="0" applyBorder="1"/>
    <xf numFmtId="0" fontId="0" fillId="0" borderId="6" xfId="0" applyBorder="1"/>
    <xf numFmtId="164" fontId="0" fillId="0" borderId="0" xfId="1" applyFont="1"/>
    <xf numFmtId="0" fontId="0" fillId="0" borderId="24" xfId="0" applyBorder="1"/>
    <xf numFmtId="0" fontId="0" fillId="0" borderId="23" xfId="0" applyBorder="1"/>
    <xf numFmtId="0" fontId="0" fillId="9" borderId="0" xfId="0" applyFill="1"/>
    <xf numFmtId="2" fontId="0" fillId="0" borderId="0" xfId="0" applyNumberFormat="1"/>
    <xf numFmtId="166" fontId="0" fillId="0" borderId="0" xfId="0" applyNumberFormat="1"/>
    <xf numFmtId="0" fontId="0" fillId="0" borderId="0" xfId="0" applyBorder="1"/>
    <xf numFmtId="0" fontId="0" fillId="0" borderId="0" xfId="0" applyAlignment="1">
      <alignment horizontal="center"/>
    </xf>
    <xf numFmtId="0" fontId="9" fillId="16" borderId="40" xfId="0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0" fillId="4" borderId="0" xfId="0" applyFill="1"/>
    <xf numFmtId="0" fontId="0" fillId="16" borderId="18" xfId="0" applyFill="1" applyBorder="1"/>
    <xf numFmtId="0" fontId="0" fillId="16" borderId="25" xfId="0" applyFill="1" applyBorder="1"/>
    <xf numFmtId="49" fontId="8" fillId="17" borderId="0" xfId="0" applyNumberFormat="1" applyFont="1" applyFill="1" applyAlignment="1"/>
    <xf numFmtId="0" fontId="10" fillId="18" borderId="0" xfId="0" applyFont="1" applyFill="1"/>
    <xf numFmtId="2" fontId="10" fillId="18" borderId="0" xfId="0" applyNumberFormat="1" applyFont="1" applyFill="1" applyAlignment="1">
      <alignment horizontal="center"/>
    </xf>
    <xf numFmtId="0" fontId="9" fillId="18" borderId="17" xfId="0" applyFont="1" applyFill="1" applyBorder="1"/>
    <xf numFmtId="0" fontId="9" fillId="18" borderId="8" xfId="0" applyFont="1" applyFill="1" applyBorder="1" applyAlignment="1">
      <alignment horizontal="center" vertical="center"/>
    </xf>
    <xf numFmtId="49" fontId="8" fillId="17" borderId="0" xfId="0" applyNumberFormat="1" applyFont="1" applyFill="1"/>
    <xf numFmtId="0" fontId="9" fillId="18" borderId="19" xfId="0" applyFont="1" applyFill="1" applyBorder="1"/>
    <xf numFmtId="0" fontId="9" fillId="18" borderId="16" xfId="0" applyFont="1" applyFill="1" applyBorder="1" applyAlignment="1">
      <alignment horizontal="center" vertical="center"/>
    </xf>
    <xf numFmtId="0" fontId="9" fillId="18" borderId="39" xfId="0" applyFont="1" applyFill="1" applyBorder="1"/>
    <xf numFmtId="0" fontId="9" fillId="18" borderId="11" xfId="0" applyFont="1" applyFill="1" applyBorder="1" applyAlignment="1">
      <alignment horizontal="center" vertical="center"/>
    </xf>
    <xf numFmtId="0" fontId="0" fillId="18" borderId="0" xfId="0" applyFill="1"/>
    <xf numFmtId="0" fontId="9" fillId="18" borderId="15" xfId="0" applyFont="1" applyFill="1" applyBorder="1"/>
    <xf numFmtId="0" fontId="1" fillId="18" borderId="0" xfId="0" applyFont="1" applyFill="1" applyBorder="1" applyProtection="1"/>
    <xf numFmtId="166" fontId="0" fillId="10" borderId="19" xfId="0" applyNumberFormat="1" applyFill="1" applyBorder="1"/>
    <xf numFmtId="166" fontId="0" fillId="0" borderId="0" xfId="0" applyNumberFormat="1" applyFill="1"/>
    <xf numFmtId="0" fontId="0" fillId="0" borderId="0" xfId="0" applyFill="1"/>
    <xf numFmtId="0" fontId="0" fillId="0" borderId="12" xfId="0" applyBorder="1" applyAlignment="1">
      <alignment horizontal="center"/>
    </xf>
    <xf numFmtId="166" fontId="0" fillId="2" borderId="19" xfId="0" applyNumberFormat="1" applyFill="1" applyBorder="1"/>
    <xf numFmtId="166" fontId="0" fillId="14" borderId="19" xfId="0" applyNumberFormat="1" applyFill="1" applyBorder="1"/>
    <xf numFmtId="166" fontId="0" fillId="13" borderId="19" xfId="0" applyNumberFormat="1" applyFill="1" applyBorder="1"/>
    <xf numFmtId="0" fontId="1" fillId="0" borderId="3" xfId="0" applyFont="1" applyFill="1" applyBorder="1" applyProtection="1"/>
    <xf numFmtId="0" fontId="1" fillId="0" borderId="2" xfId="0" applyFont="1" applyFill="1" applyBorder="1" applyProtection="1"/>
    <xf numFmtId="165" fontId="1" fillId="0" borderId="0" xfId="0" applyNumberFormat="1" applyFont="1" applyFill="1" applyBorder="1" applyProtection="1"/>
    <xf numFmtId="0" fontId="1" fillId="0" borderId="0" xfId="0" applyFont="1" applyFill="1" applyBorder="1" applyProtection="1"/>
    <xf numFmtId="0" fontId="1" fillId="0" borderId="1" xfId="0" applyFont="1" applyFill="1" applyBorder="1" applyProtection="1"/>
    <xf numFmtId="0" fontId="1" fillId="0" borderId="0" xfId="0" applyFont="1" applyFill="1" applyProtection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FFFF66"/>
      <color rgb="FFDCB0F4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488"/>
  <sheetViews>
    <sheetView workbookViewId="0">
      <pane ySplit="13" topLeftCell="A14" activePane="bottomLeft" state="frozen"/>
      <selection activeCell="C13" sqref="C13"/>
      <selection pane="bottomLeft" activeCell="I28" sqref="I28"/>
    </sheetView>
  </sheetViews>
  <sheetFormatPr baseColWidth="10" defaultColWidth="11.5703125" defaultRowHeight="12.75" x14ac:dyDescent="0.2"/>
  <cols>
    <col min="1" max="1" width="9.7109375" style="122" customWidth="1"/>
    <col min="2" max="2" width="35.28515625" style="122" customWidth="1"/>
    <col min="3" max="3" width="15.140625" style="101" customWidth="1"/>
    <col min="4" max="4" width="4.5703125" style="4" customWidth="1"/>
    <col min="5" max="5" width="6.7109375" style="122" customWidth="1"/>
    <col min="6" max="6" width="5.7109375" style="122" hidden="1" customWidth="1"/>
    <col min="7" max="7" width="23.28515625" style="119" customWidth="1"/>
    <col min="8" max="8" width="5.28515625" style="122" hidden="1" customWidth="1"/>
    <col min="9" max="9" width="15.42578125" style="96" customWidth="1"/>
    <col min="10" max="10" width="16.140625" style="91" customWidth="1"/>
    <col min="11" max="11" width="7.140625" style="122" customWidth="1"/>
    <col min="12" max="12" width="10.7109375" style="87" customWidth="1"/>
    <col min="13" max="13" width="5.140625" style="122" hidden="1" customWidth="1"/>
    <col min="14" max="14" width="17" style="118" customWidth="1"/>
    <col min="15" max="15" width="9.7109375" style="122" customWidth="1"/>
    <col min="16" max="16" width="41.28515625" style="122" bestFit="1" customWidth="1"/>
    <col min="17" max="18" width="12.7109375" style="122" bestFit="1" customWidth="1"/>
    <col min="19" max="16384" width="11.5703125" style="122"/>
  </cols>
  <sheetData>
    <row r="1" spans="1:16" ht="13.5" hidden="1" thickBot="1" x14ac:dyDescent="0.25">
      <c r="G1" s="121"/>
      <c r="I1" s="97"/>
      <c r="J1" s="92"/>
      <c r="N1" s="120"/>
    </row>
    <row r="2" spans="1:16" ht="13.5" hidden="1" thickBot="1" x14ac:dyDescent="0.25">
      <c r="N2" s="118" t="s">
        <v>1459</v>
      </c>
      <c r="P2" s="122" t="s">
        <v>1468</v>
      </c>
    </row>
    <row r="3" spans="1:16" ht="13.5" hidden="1" thickBot="1" x14ac:dyDescent="0.25">
      <c r="C3" s="101">
        <v>45769</v>
      </c>
      <c r="G3" s="119" t="s">
        <v>902</v>
      </c>
      <c r="H3" s="122">
        <v>0</v>
      </c>
      <c r="J3" s="91">
        <v>100</v>
      </c>
      <c r="N3" s="118" t="s">
        <v>902</v>
      </c>
      <c r="P3" s="122" t="s">
        <v>902</v>
      </c>
    </row>
    <row r="4" spans="1:16" ht="13.5" hidden="1" thickBot="1" x14ac:dyDescent="0.25">
      <c r="B4" s="122" t="s">
        <v>1189</v>
      </c>
      <c r="G4" s="119" t="s">
        <v>903</v>
      </c>
      <c r="H4" s="122">
        <v>0</v>
      </c>
      <c r="N4" s="118" t="s">
        <v>903</v>
      </c>
      <c r="P4" s="122" t="s">
        <v>903</v>
      </c>
    </row>
    <row r="5" spans="1:16" ht="13.5" hidden="1" thickBot="1" x14ac:dyDescent="0.25">
      <c r="B5" s="122" t="s">
        <v>904</v>
      </c>
      <c r="C5" s="101">
        <v>4</v>
      </c>
      <c r="G5" s="119" t="s">
        <v>1237</v>
      </c>
      <c r="H5" s="122">
        <f>C5*1.21</f>
        <v>4.84</v>
      </c>
      <c r="N5" s="118" t="s">
        <v>1237</v>
      </c>
      <c r="P5" s="122" t="s">
        <v>1237</v>
      </c>
    </row>
    <row r="6" spans="1:16" ht="13.5" hidden="1" thickBot="1" x14ac:dyDescent="0.25">
      <c r="B6" s="122" t="s">
        <v>905</v>
      </c>
      <c r="C6" s="101">
        <v>8.5</v>
      </c>
      <c r="G6" s="119" t="s">
        <v>1460</v>
      </c>
      <c r="H6" s="122">
        <f>C6*1.21</f>
        <v>10.285</v>
      </c>
      <c r="N6" s="118" t="s">
        <v>1299</v>
      </c>
      <c r="P6" s="122" t="s">
        <v>1460</v>
      </c>
    </row>
    <row r="7" spans="1:16" ht="13.5" hidden="1" thickBot="1" x14ac:dyDescent="0.25">
      <c r="B7" s="122" t="s">
        <v>906</v>
      </c>
      <c r="C7" s="101">
        <v>13.4</v>
      </c>
      <c r="G7" s="119" t="s">
        <v>1619</v>
      </c>
      <c r="H7" s="122">
        <f>C7*1.21</f>
        <v>16.213999999999999</v>
      </c>
      <c r="N7" s="118" t="s">
        <v>1300</v>
      </c>
      <c r="P7" s="122" t="s">
        <v>1461</v>
      </c>
    </row>
    <row r="8" spans="1:16" ht="13.5" hidden="1" thickBot="1" x14ac:dyDescent="0.25">
      <c r="B8" s="122" t="s">
        <v>907</v>
      </c>
      <c r="C8" s="101">
        <v>17.8</v>
      </c>
      <c r="G8" s="119" t="s">
        <v>1620</v>
      </c>
      <c r="H8" s="122">
        <f>C8*1.21</f>
        <v>21.538</v>
      </c>
      <c r="N8" s="118" t="s">
        <v>1301</v>
      </c>
      <c r="P8" s="122" t="s">
        <v>1462</v>
      </c>
    </row>
    <row r="9" spans="1:16" ht="13.5" hidden="1" thickBot="1" x14ac:dyDescent="0.25">
      <c r="B9" s="122" t="s">
        <v>908</v>
      </c>
      <c r="C9" s="101">
        <v>22.2</v>
      </c>
      <c r="G9" s="119" t="s">
        <v>1621</v>
      </c>
      <c r="H9" s="122">
        <f>C9*1.21</f>
        <v>26.861999999999998</v>
      </c>
      <c r="N9" s="118" t="s">
        <v>1302</v>
      </c>
      <c r="P9" s="122" t="s">
        <v>1463</v>
      </c>
    </row>
    <row r="10" spans="1:16" ht="13.5" hidden="1" thickBot="1" x14ac:dyDescent="0.25">
      <c r="B10" s="122" t="s">
        <v>909</v>
      </c>
      <c r="G10" s="119" t="s">
        <v>1286</v>
      </c>
      <c r="H10" s="122">
        <v>7.9255000000000004</v>
      </c>
      <c r="N10" s="118" t="s">
        <v>1286</v>
      </c>
      <c r="P10" s="122" t="s">
        <v>1286</v>
      </c>
    </row>
    <row r="11" spans="1:16" ht="13.5" hidden="1" thickBot="1" x14ac:dyDescent="0.25">
      <c r="B11" s="122" t="s">
        <v>910</v>
      </c>
      <c r="G11" s="119" t="s">
        <v>1287</v>
      </c>
      <c r="H11" s="122">
        <v>15.1008</v>
      </c>
      <c r="N11" s="118" t="s">
        <v>1287</v>
      </c>
      <c r="P11" s="122" t="s">
        <v>1287</v>
      </c>
    </row>
    <row r="12" spans="1:16" ht="13.5" hidden="1" thickBot="1" x14ac:dyDescent="0.25"/>
    <row r="13" spans="1:16" s="117" customFormat="1" ht="27.6" customHeight="1" thickBot="1" x14ac:dyDescent="0.25">
      <c r="A13" s="104" t="s">
        <v>0</v>
      </c>
      <c r="B13" s="117" t="s">
        <v>1</v>
      </c>
      <c r="C13" s="100" t="s">
        <v>918</v>
      </c>
      <c r="D13" s="3" t="s">
        <v>921</v>
      </c>
      <c r="E13" s="117" t="s">
        <v>913</v>
      </c>
      <c r="F13" s="117" t="s">
        <v>914</v>
      </c>
      <c r="G13" s="103" t="s">
        <v>915</v>
      </c>
      <c r="H13" s="117" t="s">
        <v>920</v>
      </c>
      <c r="I13" s="95" t="s">
        <v>911</v>
      </c>
      <c r="J13" s="90" t="s">
        <v>912</v>
      </c>
      <c r="K13" s="117" t="s">
        <v>916</v>
      </c>
      <c r="L13" s="86" t="s">
        <v>1497</v>
      </c>
      <c r="M13" s="117" t="s">
        <v>1663</v>
      </c>
      <c r="N13" s="102" t="s">
        <v>917</v>
      </c>
      <c r="O13" s="117" t="s">
        <v>3</v>
      </c>
      <c r="P13" s="117" t="s">
        <v>2</v>
      </c>
    </row>
    <row r="14" spans="1:16" x14ac:dyDescent="0.2">
      <c r="A14" s="110" t="s">
        <v>4</v>
      </c>
      <c r="B14" s="110" t="s">
        <v>5</v>
      </c>
      <c r="C14" s="99">
        <v>454500</v>
      </c>
      <c r="D14" s="2">
        <v>3</v>
      </c>
      <c r="E14" s="110">
        <v>12.15</v>
      </c>
      <c r="F14" s="109">
        <f t="shared" ref="F14:F88" si="0">E14*1.21</f>
        <v>14.701499999999999</v>
      </c>
      <c r="G14" s="108" t="s">
        <v>1302</v>
      </c>
      <c r="H14" s="107">
        <f t="shared" ref="H14:H21" si="1">(IF(G14=$G$3,$H$3)+IF(G14=$G$4,$H$4)+IF(G14=$G$5,$H$5)+IF(G14=$G$6,$H$6)+IF(G14=$G$7,$H$7)+IF(G14=$G$8,$H$8)+IF(G14=$G$9,$H$9)+IF(G14=$G$10,$H$10)+IF(G14=$G$11,$H$11))</f>
        <v>0</v>
      </c>
      <c r="I14" s="94">
        <f t="shared" ref="I14:I21" si="2">(C14/(($J$3-D14)/100))</f>
        <v>468556.70103092783</v>
      </c>
      <c r="J14" s="89">
        <f t="shared" ref="J14:J21" si="3">(C14/(($J$3-D14)/100-(0.08)))</f>
        <v>510674.15730337077</v>
      </c>
      <c r="K14" s="106">
        <f t="shared" ref="K14:K77" si="4">(D14+8+1.2)+(F14+H14)</f>
        <v>26.901499999999999</v>
      </c>
      <c r="L14" s="85">
        <v>0</v>
      </c>
      <c r="M14" s="109"/>
      <c r="N14" s="105">
        <f t="shared" ref="N14:N77" si="5">C14/((100-K14)/100)+L14</f>
        <v>621763.78448258177</v>
      </c>
      <c r="O14" s="106" t="s">
        <v>7</v>
      </c>
      <c r="P14" s="110" t="s">
        <v>6</v>
      </c>
    </row>
    <row r="15" spans="1:16" x14ac:dyDescent="0.2">
      <c r="A15" s="116" t="s">
        <v>1022</v>
      </c>
      <c r="B15" s="116" t="s">
        <v>1023</v>
      </c>
      <c r="C15" s="98">
        <v>435150</v>
      </c>
      <c r="D15" s="1">
        <v>3</v>
      </c>
      <c r="E15" s="116">
        <v>12.15</v>
      </c>
      <c r="F15" s="115">
        <f t="shared" si="0"/>
        <v>14.701499999999999</v>
      </c>
      <c r="G15" s="114" t="s">
        <v>903</v>
      </c>
      <c r="H15" s="113">
        <f t="shared" si="1"/>
        <v>0</v>
      </c>
      <c r="I15" s="93">
        <f t="shared" si="2"/>
        <v>448608.24742268043</v>
      </c>
      <c r="J15" s="88">
        <f t="shared" si="3"/>
        <v>488932.58426966291</v>
      </c>
      <c r="K15" s="112">
        <f t="shared" si="4"/>
        <v>26.901499999999999</v>
      </c>
      <c r="L15" s="84">
        <v>0</v>
      </c>
      <c r="M15" s="115"/>
      <c r="N15" s="111">
        <f t="shared" si="5"/>
        <v>595292.65306401637</v>
      </c>
      <c r="O15" s="112" t="s">
        <v>7</v>
      </c>
      <c r="P15" s="116" t="s">
        <v>6</v>
      </c>
    </row>
    <row r="16" spans="1:16" x14ac:dyDescent="0.2">
      <c r="A16" s="116" t="s">
        <v>1059</v>
      </c>
      <c r="B16" s="116" t="s">
        <v>1080</v>
      </c>
      <c r="C16" s="98">
        <v>738887</v>
      </c>
      <c r="D16" s="1">
        <v>3</v>
      </c>
      <c r="E16" s="116">
        <v>12.15</v>
      </c>
      <c r="F16" s="115">
        <f t="shared" si="0"/>
        <v>14.701499999999999</v>
      </c>
      <c r="G16" s="114" t="s">
        <v>1300</v>
      </c>
      <c r="H16" s="113">
        <f t="shared" si="1"/>
        <v>0</v>
      </c>
      <c r="I16" s="93">
        <f t="shared" si="2"/>
        <v>761739.17525773193</v>
      </c>
      <c r="J16" s="88">
        <f t="shared" si="3"/>
        <v>830210.11235955055</v>
      </c>
      <c r="K16" s="112">
        <f t="shared" si="4"/>
        <v>26.901499999999999</v>
      </c>
      <c r="L16" s="84">
        <v>0</v>
      </c>
      <c r="M16" s="115"/>
      <c r="N16" s="111">
        <f t="shared" si="5"/>
        <v>1010810.0713420932</v>
      </c>
      <c r="O16" s="112" t="s">
        <v>1090</v>
      </c>
      <c r="P16" s="116" t="s">
        <v>6</v>
      </c>
    </row>
    <row r="17" spans="1:18" x14ac:dyDescent="0.2">
      <c r="A17" s="116" t="s">
        <v>1060</v>
      </c>
      <c r="B17" s="116" t="s">
        <v>1082</v>
      </c>
      <c r="C17" s="98">
        <v>816722</v>
      </c>
      <c r="D17" s="1">
        <v>3</v>
      </c>
      <c r="E17" s="116">
        <v>12.15</v>
      </c>
      <c r="F17" s="115">
        <f t="shared" si="0"/>
        <v>14.701499999999999</v>
      </c>
      <c r="G17" s="114" t="s">
        <v>1620</v>
      </c>
      <c r="H17" s="113">
        <f t="shared" si="1"/>
        <v>21.538</v>
      </c>
      <c r="I17" s="93">
        <f t="shared" si="2"/>
        <v>841981.44329896907</v>
      </c>
      <c r="J17" s="88">
        <f t="shared" si="3"/>
        <v>917665.16853932582</v>
      </c>
      <c r="K17" s="112">
        <f t="shared" si="4"/>
        <v>48.439499999999995</v>
      </c>
      <c r="L17" s="84">
        <v>0</v>
      </c>
      <c r="M17" s="115"/>
      <c r="N17" s="111">
        <f t="shared" si="5"/>
        <v>1584007.1372465354</v>
      </c>
      <c r="O17" s="112" t="s">
        <v>1090</v>
      </c>
      <c r="P17" s="116" t="s">
        <v>6</v>
      </c>
    </row>
    <row r="18" spans="1:18" x14ac:dyDescent="0.2">
      <c r="A18" s="116" t="s">
        <v>1086</v>
      </c>
      <c r="B18" s="116" t="s">
        <v>1087</v>
      </c>
      <c r="C18" s="98">
        <v>468000</v>
      </c>
      <c r="D18" s="1">
        <v>8</v>
      </c>
      <c r="E18" s="116">
        <v>12.15</v>
      </c>
      <c r="F18" s="115">
        <f t="shared" si="0"/>
        <v>14.701499999999999</v>
      </c>
      <c r="G18" s="114" t="s">
        <v>1460</v>
      </c>
      <c r="H18" s="113">
        <f t="shared" si="1"/>
        <v>10.285</v>
      </c>
      <c r="I18" s="93">
        <f t="shared" si="2"/>
        <v>508695.65217391303</v>
      </c>
      <c r="J18" s="88">
        <f t="shared" si="3"/>
        <v>557142.85714285704</v>
      </c>
      <c r="K18" s="112">
        <f t="shared" si="4"/>
        <v>42.186499999999995</v>
      </c>
      <c r="L18" s="84">
        <v>0</v>
      </c>
      <c r="M18" s="115"/>
      <c r="N18" s="111">
        <f t="shared" si="5"/>
        <v>809499.51135980338</v>
      </c>
      <c r="O18" s="112" t="s">
        <v>35</v>
      </c>
      <c r="P18" s="116" t="s">
        <v>6</v>
      </c>
    </row>
    <row r="19" spans="1:18" x14ac:dyDescent="0.2">
      <c r="A19" s="116" t="s">
        <v>1167</v>
      </c>
      <c r="B19" s="116" t="s">
        <v>1168</v>
      </c>
      <c r="C19" s="98">
        <v>454500</v>
      </c>
      <c r="D19" s="1">
        <v>3</v>
      </c>
      <c r="E19" s="116">
        <v>12.15</v>
      </c>
      <c r="F19" s="115">
        <f t="shared" si="0"/>
        <v>14.701499999999999</v>
      </c>
      <c r="G19" s="114" t="s">
        <v>903</v>
      </c>
      <c r="H19" s="113">
        <f t="shared" si="1"/>
        <v>0</v>
      </c>
      <c r="I19" s="93">
        <f t="shared" si="2"/>
        <v>468556.70103092783</v>
      </c>
      <c r="J19" s="88">
        <f t="shared" si="3"/>
        <v>510674.15730337077</v>
      </c>
      <c r="K19" s="112">
        <f t="shared" si="4"/>
        <v>26.901499999999999</v>
      </c>
      <c r="L19" s="84">
        <v>0</v>
      </c>
      <c r="M19" s="115"/>
      <c r="N19" s="111">
        <f t="shared" si="5"/>
        <v>621763.78448258177</v>
      </c>
      <c r="O19" s="112" t="s">
        <v>7</v>
      </c>
      <c r="P19" s="116" t="s">
        <v>6</v>
      </c>
    </row>
    <row r="20" spans="1:18" x14ac:dyDescent="0.2">
      <c r="A20" s="116" t="s">
        <v>1174</v>
      </c>
      <c r="B20" s="116" t="s">
        <v>1173</v>
      </c>
      <c r="C20" s="98">
        <v>435150</v>
      </c>
      <c r="D20" s="1">
        <v>3</v>
      </c>
      <c r="E20" s="116">
        <v>12.15</v>
      </c>
      <c r="F20" s="115">
        <f t="shared" si="0"/>
        <v>14.701499999999999</v>
      </c>
      <c r="G20" s="114" t="s">
        <v>1619</v>
      </c>
      <c r="H20" s="113">
        <f t="shared" si="1"/>
        <v>16.213999999999999</v>
      </c>
      <c r="I20" s="93">
        <f t="shared" si="2"/>
        <v>448608.24742268043</v>
      </c>
      <c r="J20" s="88">
        <f t="shared" si="3"/>
        <v>488932.58426966291</v>
      </c>
      <c r="K20" s="112">
        <f t="shared" si="4"/>
        <v>43.115499999999997</v>
      </c>
      <c r="L20" s="84">
        <v>0</v>
      </c>
      <c r="M20" s="115"/>
      <c r="N20" s="111">
        <f t="shared" si="5"/>
        <v>764971.12570208043</v>
      </c>
      <c r="O20" s="112" t="s">
        <v>7</v>
      </c>
      <c r="P20" s="116" t="s">
        <v>6</v>
      </c>
    </row>
    <row r="21" spans="1:18" x14ac:dyDescent="0.2">
      <c r="A21" s="116" t="s">
        <v>1181</v>
      </c>
      <c r="B21" s="116" t="s">
        <v>1182</v>
      </c>
      <c r="C21" s="98">
        <v>716504</v>
      </c>
      <c r="D21" s="1">
        <v>3</v>
      </c>
      <c r="E21" s="116">
        <v>12.15</v>
      </c>
      <c r="F21" s="115">
        <f t="shared" si="0"/>
        <v>14.701499999999999</v>
      </c>
      <c r="G21" s="114" t="s">
        <v>903</v>
      </c>
      <c r="H21" s="113">
        <f t="shared" si="1"/>
        <v>0</v>
      </c>
      <c r="I21" s="93">
        <f t="shared" si="2"/>
        <v>738663.91752577317</v>
      </c>
      <c r="J21" s="88">
        <f t="shared" si="3"/>
        <v>805060.67415730341</v>
      </c>
      <c r="K21" s="112">
        <f t="shared" si="4"/>
        <v>26.901499999999999</v>
      </c>
      <c r="L21" s="84">
        <v>0</v>
      </c>
      <c r="M21" s="115"/>
      <c r="N21" s="111">
        <f t="shared" si="5"/>
        <v>980189.74397559452</v>
      </c>
      <c r="O21" s="112" t="s">
        <v>7</v>
      </c>
      <c r="P21" s="116" t="s">
        <v>6</v>
      </c>
    </row>
    <row r="22" spans="1:18" x14ac:dyDescent="0.2">
      <c r="A22" s="116" t="s">
        <v>1178</v>
      </c>
      <c r="B22" s="116" t="s">
        <v>1177</v>
      </c>
      <c r="C22" s="98">
        <v>509400</v>
      </c>
      <c r="D22" s="1">
        <v>3</v>
      </c>
      <c r="E22" s="116">
        <v>12.15</v>
      </c>
      <c r="F22" s="115">
        <f t="shared" si="0"/>
        <v>14.701499999999999</v>
      </c>
      <c r="G22" s="114" t="s">
        <v>903</v>
      </c>
      <c r="H22" s="113">
        <f>(IF(G22='base para costos'!$G$3,'base para costos'!$H$3)+IF(G22='base para costos'!$G$4,'base para costos'!$H$4)+IF(G22='base para costos'!$G$5,'base para costos'!$H$5)+IF(G22='base para costos'!$G$6,'base para costos'!$H$6)+IF(G22='base para costos'!$G$7,'base para costos'!$H$7)+IF(G22='base para costos'!$G$8,'base para costos'!$H$8)+IF(G22='base para costos'!$G$9,'base para costos'!$H$9)+IF(G22='base para costos'!$G$10,'base para costos'!$H$10)+IF(G22='base para costos'!$G$11,'base para costos'!$H$11))</f>
        <v>0</v>
      </c>
      <c r="I22" s="93">
        <f>(C22/(('base para costos'!$J$3-D22)/100))</f>
        <v>525154.63917525776</v>
      </c>
      <c r="J22" s="88">
        <f>(C22/(('base para costos'!$J$3-D22)/100-(0.08)))</f>
        <v>572359.55056179769</v>
      </c>
      <c r="K22" s="112">
        <f t="shared" si="4"/>
        <v>26.901499999999999</v>
      </c>
      <c r="L22" s="84">
        <v>0</v>
      </c>
      <c r="M22" s="115"/>
      <c r="N22" s="111">
        <f t="shared" si="5"/>
        <v>696867.92478641833</v>
      </c>
      <c r="O22" s="112" t="s">
        <v>7</v>
      </c>
      <c r="P22" s="116" t="s">
        <v>6</v>
      </c>
    </row>
    <row r="23" spans="1:18" x14ac:dyDescent="0.2">
      <c r="A23" s="116" t="s">
        <v>1153</v>
      </c>
      <c r="B23" s="116" t="s">
        <v>1154</v>
      </c>
      <c r="C23" s="98">
        <v>662262</v>
      </c>
      <c r="D23" s="1">
        <v>3</v>
      </c>
      <c r="E23" s="116">
        <v>12.15</v>
      </c>
      <c r="F23" s="115">
        <f t="shared" si="0"/>
        <v>14.701499999999999</v>
      </c>
      <c r="G23" s="114" t="s">
        <v>1621</v>
      </c>
      <c r="H23" s="113">
        <f>(IF(G23='base para costos'!$G$3,'base para costos'!$H$3)+IF(G23='base para costos'!$G$4,'base para costos'!$H$4)+IF(G23='base para costos'!$G$5,'base para costos'!$H$5)+IF(G23='base para costos'!$G$6,'base para costos'!$H$6)+IF(G23='base para costos'!$G$7,'base para costos'!$H$7)+IF(G23='base para costos'!$G$8,'base para costos'!$H$8)+IF(G23='base para costos'!$G$9,'base para costos'!$H$9)+IF(G23='base para costos'!$G$10,'base para costos'!$H$10)+IF(G23='base para costos'!$G$11,'base para costos'!$H$11))</f>
        <v>26.861999999999998</v>
      </c>
      <c r="I23" s="93">
        <f>(C23/(('base para costos'!$J$3-D23)/100))</f>
        <v>682744.32989690721</v>
      </c>
      <c r="J23" s="88">
        <f>(C23/(('base para costos'!$J$3-D23)/100-(0.08)))</f>
        <v>744114.60674157308</v>
      </c>
      <c r="K23" s="112">
        <f t="shared" si="4"/>
        <v>53.763499999999993</v>
      </c>
      <c r="L23" s="84">
        <v>0</v>
      </c>
      <c r="M23" s="115"/>
      <c r="N23" s="111">
        <f t="shared" si="5"/>
        <v>1432335.9250808342</v>
      </c>
      <c r="O23" s="112" t="s">
        <v>149</v>
      </c>
      <c r="P23" s="116" t="s">
        <v>6</v>
      </c>
    </row>
    <row r="24" spans="1:18" x14ac:dyDescent="0.2">
      <c r="A24" s="116" t="s">
        <v>1317</v>
      </c>
      <c r="B24" s="116" t="s">
        <v>1473</v>
      </c>
      <c r="C24" s="98">
        <v>1165198</v>
      </c>
      <c r="D24" s="1">
        <v>3</v>
      </c>
      <c r="E24" s="116">
        <v>12.15</v>
      </c>
      <c r="F24" s="115">
        <f t="shared" si="0"/>
        <v>14.701499999999999</v>
      </c>
      <c r="G24" s="114" t="s">
        <v>1460</v>
      </c>
      <c r="H24" s="113">
        <f t="shared" ref="H24:H65" si="6">(IF(G24=$G$3,$H$3)+IF(G24=$G$4,$H$4)+IF(G24=$G$5,$H$5)+IF(G24=$G$6,$H$6)+IF(G24=$G$7,$H$7)+IF(G24=$G$8,$H$8)+IF(G24=$G$9,$H$9)+IF(G24=$G$10,$H$10)+IF(G24=$G$11,$H$11))</f>
        <v>10.285</v>
      </c>
      <c r="I24" s="93">
        <f t="shared" ref="I24:I55" si="7">(C24/(($J$3-D24)/100))</f>
        <v>1201235.0515463918</v>
      </c>
      <c r="J24" s="88">
        <f t="shared" ref="J24:J55" si="8">(C24/(($J$3-D24)/100-(0.08)))</f>
        <v>1309211.2359550563</v>
      </c>
      <c r="K24" s="112">
        <f t="shared" si="4"/>
        <v>37.186499999999995</v>
      </c>
      <c r="L24" s="84">
        <v>0</v>
      </c>
      <c r="M24" s="115"/>
      <c r="N24" s="111">
        <f t="shared" si="5"/>
        <v>1855012.0595095004</v>
      </c>
      <c r="O24" s="112" t="s">
        <v>1134</v>
      </c>
      <c r="P24" s="116" t="s">
        <v>6</v>
      </c>
      <c r="Q24" s="122">
        <v>69</v>
      </c>
      <c r="R24" s="122">
        <v>555174</v>
      </c>
    </row>
    <row r="25" spans="1:18" x14ac:dyDescent="0.2">
      <c r="A25" s="116" t="s">
        <v>1315</v>
      </c>
      <c r="B25" s="116" t="s">
        <v>1316</v>
      </c>
      <c r="C25" s="98">
        <v>520000</v>
      </c>
      <c r="D25" s="1">
        <v>3</v>
      </c>
      <c r="E25" s="116">
        <v>12.15</v>
      </c>
      <c r="F25" s="115">
        <f t="shared" si="0"/>
        <v>14.701499999999999</v>
      </c>
      <c r="G25" s="114" t="s">
        <v>1619</v>
      </c>
      <c r="H25" s="113">
        <f t="shared" si="6"/>
        <v>16.213999999999999</v>
      </c>
      <c r="I25" s="93">
        <f t="shared" si="7"/>
        <v>536082.4742268041</v>
      </c>
      <c r="J25" s="88">
        <f t="shared" si="8"/>
        <v>584269.66292134835</v>
      </c>
      <c r="K25" s="112">
        <f t="shared" si="4"/>
        <v>43.115499999999997</v>
      </c>
      <c r="L25" s="84">
        <v>0</v>
      </c>
      <c r="M25" s="115"/>
      <c r="N25" s="111">
        <f t="shared" si="5"/>
        <v>914133.02393446362</v>
      </c>
      <c r="O25" s="112" t="s">
        <v>1090</v>
      </c>
      <c r="P25" s="116" t="s">
        <v>6</v>
      </c>
    </row>
    <row r="26" spans="1:18" x14ac:dyDescent="0.2">
      <c r="A26" s="116" t="s">
        <v>1350</v>
      </c>
      <c r="B26" s="116" t="s">
        <v>1351</v>
      </c>
      <c r="C26" s="98">
        <v>339990</v>
      </c>
      <c r="D26" s="1">
        <v>3</v>
      </c>
      <c r="E26" s="116">
        <v>14.15</v>
      </c>
      <c r="F26" s="115">
        <f t="shared" si="0"/>
        <v>17.121500000000001</v>
      </c>
      <c r="G26" s="114" t="s">
        <v>903</v>
      </c>
      <c r="H26" s="113">
        <f t="shared" si="6"/>
        <v>0</v>
      </c>
      <c r="I26" s="93">
        <f t="shared" si="7"/>
        <v>350505.15463917528</v>
      </c>
      <c r="J26" s="88">
        <f t="shared" si="8"/>
        <v>382011.23595505615</v>
      </c>
      <c r="K26" s="112">
        <f t="shared" si="4"/>
        <v>29.3215</v>
      </c>
      <c r="L26" s="84">
        <v>0</v>
      </c>
      <c r="M26" s="115"/>
      <c r="N26" s="111">
        <f t="shared" si="5"/>
        <v>481037.37345868972</v>
      </c>
      <c r="O26" s="112" t="s">
        <v>1094</v>
      </c>
      <c r="P26" s="116" t="s">
        <v>14</v>
      </c>
    </row>
    <row r="27" spans="1:18" x14ac:dyDescent="0.2">
      <c r="A27" s="116" t="s">
        <v>1630</v>
      </c>
      <c r="B27" s="116" t="s">
        <v>1631</v>
      </c>
      <c r="C27" s="98">
        <v>339999</v>
      </c>
      <c r="D27" s="1">
        <v>3</v>
      </c>
      <c r="E27" s="116">
        <v>14.15</v>
      </c>
      <c r="F27" s="115">
        <f t="shared" ref="F27" si="9">E27*1.21</f>
        <v>17.121500000000001</v>
      </c>
      <c r="G27" s="114" t="s">
        <v>903</v>
      </c>
      <c r="H27" s="113">
        <f t="shared" ref="H27" si="10">(IF(G27=$G$3,$H$3)+IF(G27=$G$4,$H$4)+IF(G27=$G$5,$H$5)+IF(G27=$G$6,$H$6)+IF(G27=$G$7,$H$7)+IF(G27=$G$8,$H$8)+IF(G27=$G$9,$H$9)+IF(G27=$G$10,$H$10)+IF(G27=$G$11,$H$11))</f>
        <v>0</v>
      </c>
      <c r="I27" s="93">
        <f t="shared" si="7"/>
        <v>350514.43298969074</v>
      </c>
      <c r="J27" s="88">
        <f t="shared" si="8"/>
        <v>382021.34831460676</v>
      </c>
      <c r="K27" s="112">
        <f t="shared" si="4"/>
        <v>29.3215</v>
      </c>
      <c r="L27" s="84"/>
      <c r="M27" s="115"/>
      <c r="N27" s="111">
        <f t="shared" si="5"/>
        <v>481050.10717544938</v>
      </c>
      <c r="O27" s="112" t="s">
        <v>1094</v>
      </c>
      <c r="P27" s="116" t="s">
        <v>14</v>
      </c>
    </row>
    <row r="28" spans="1:18" x14ac:dyDescent="0.2">
      <c r="A28" s="116" t="s">
        <v>1629</v>
      </c>
      <c r="B28" s="116" t="s">
        <v>1628</v>
      </c>
      <c r="C28" s="98">
        <v>457296</v>
      </c>
      <c r="D28" s="1">
        <v>3</v>
      </c>
      <c r="E28" s="116">
        <v>14.15</v>
      </c>
      <c r="F28" s="115">
        <f t="shared" si="0"/>
        <v>17.121500000000001</v>
      </c>
      <c r="G28" s="114" t="s">
        <v>1621</v>
      </c>
      <c r="H28" s="113">
        <f t="shared" ref="H28" si="11">(IF(G28=$G$3,$H$3)+IF(G28=$G$4,$H$4)+IF(G28=$G$5,$H$5)+IF(G28=$G$6,$H$6)+IF(G28=$G$7,$H$7)+IF(G28=$G$8,$H$8)+IF(G28=$G$9,$H$9)+IF(G28=$G$10,$H$10)+IF(G28=$G$11,$H$11))</f>
        <v>26.861999999999998</v>
      </c>
      <c r="I28" s="93">
        <f t="shared" si="7"/>
        <v>471439.17525773199</v>
      </c>
      <c r="J28" s="88">
        <f t="shared" si="8"/>
        <v>513815.73033707862</v>
      </c>
      <c r="K28" s="112">
        <f t="shared" si="4"/>
        <v>56.183499999999995</v>
      </c>
      <c r="L28" s="84"/>
      <c r="M28" s="115"/>
      <c r="N28" s="111">
        <f t="shared" si="5"/>
        <v>1043661.6343158399</v>
      </c>
      <c r="O28" s="112" t="s">
        <v>1094</v>
      </c>
      <c r="P28" s="116" t="s">
        <v>1344</v>
      </c>
    </row>
    <row r="29" spans="1:18" x14ac:dyDescent="0.2">
      <c r="A29" s="116" t="s">
        <v>1645</v>
      </c>
      <c r="B29" s="116" t="s">
        <v>1646</v>
      </c>
      <c r="C29" s="98">
        <v>302820</v>
      </c>
      <c r="D29" s="1">
        <v>3</v>
      </c>
      <c r="E29" s="116">
        <v>14.15</v>
      </c>
      <c r="F29" s="115">
        <f t="shared" si="0"/>
        <v>17.121500000000001</v>
      </c>
      <c r="G29" s="114" t="s">
        <v>903</v>
      </c>
      <c r="H29" s="113">
        <f t="shared" ref="H29" si="12">(IF(G29=$G$3,$H$3)+IF(G29=$G$4,$H$4)+IF(G29=$G$5,$H$5)+IF(G29=$G$6,$H$6)+IF(G29=$G$7,$H$7)+IF(G29=$G$8,$H$8)+IF(G29=$G$9,$H$9)+IF(G29=$G$10,$H$10)+IF(G29=$G$11,$H$11))</f>
        <v>0</v>
      </c>
      <c r="I29" s="93">
        <f t="shared" si="7"/>
        <v>312185.56701030931</v>
      </c>
      <c r="J29" s="88">
        <f t="shared" si="8"/>
        <v>340247.19101123593</v>
      </c>
      <c r="K29" s="112">
        <f t="shared" si="4"/>
        <v>29.3215</v>
      </c>
      <c r="L29" s="84"/>
      <c r="M29" s="115"/>
      <c r="N29" s="111">
        <f t="shared" si="5"/>
        <v>428447.12324115535</v>
      </c>
      <c r="O29" s="112" t="s">
        <v>1094</v>
      </c>
      <c r="P29" s="116" t="s">
        <v>1344</v>
      </c>
    </row>
    <row r="30" spans="1:18" x14ac:dyDescent="0.2">
      <c r="A30" s="116" t="s">
        <v>1629</v>
      </c>
      <c r="B30" s="116" t="s">
        <v>1628</v>
      </c>
      <c r="C30" s="98">
        <v>457296</v>
      </c>
      <c r="D30" s="1">
        <v>3</v>
      </c>
      <c r="E30" s="116">
        <v>14.15</v>
      </c>
      <c r="F30" s="115">
        <f>E30*1.21</f>
        <v>17.121500000000001</v>
      </c>
      <c r="G30" s="114" t="s">
        <v>902</v>
      </c>
      <c r="H30" s="113">
        <f>(IF(G30=$G$3,$H$3)+IF(G30=$G$4,$H$4)+IF(G30=$G$5,$H$5)+IF(G30=$G$6,$H$6)+IF(G30=$G$7,$H$7)+IF(G30=$G$8,$H$8)+IF(G30=$G$9,$H$9)+IF(G30=$G$10,$H$10)+IF(G30=$G$11,$H$11))</f>
        <v>0</v>
      </c>
      <c r="I30" s="93">
        <f t="shared" si="7"/>
        <v>471439.17525773199</v>
      </c>
      <c r="J30" s="88">
        <f t="shared" si="8"/>
        <v>513815.73033707862</v>
      </c>
      <c r="K30" s="112">
        <f t="shared" si="4"/>
        <v>29.3215</v>
      </c>
      <c r="L30" s="84"/>
      <c r="M30" s="115"/>
      <c r="N30" s="111">
        <f t="shared" si="5"/>
        <v>647008.63770453527</v>
      </c>
      <c r="O30" s="112" t="s">
        <v>1094</v>
      </c>
      <c r="P30" s="116" t="s">
        <v>1344</v>
      </c>
    </row>
    <row r="31" spans="1:18" x14ac:dyDescent="0.2">
      <c r="A31" s="116" t="s">
        <v>1322</v>
      </c>
      <c r="B31" s="116" t="s">
        <v>1323</v>
      </c>
      <c r="C31" s="98">
        <v>295000</v>
      </c>
      <c r="D31" s="1">
        <v>3</v>
      </c>
      <c r="E31" s="116">
        <v>14.15</v>
      </c>
      <c r="F31" s="115">
        <f>E31*1.21</f>
        <v>17.121500000000001</v>
      </c>
      <c r="G31" s="114" t="s">
        <v>1619</v>
      </c>
      <c r="H31" s="113">
        <f>(IF(G31=$G$3,$H$3)+IF(G31=$G$4,$H$4)+IF(G31=$G$5,$H$5)+IF(G31=$G$6,$H$6)+IF(G31=$G$7,$H$7)+IF(G31=$G$8,$H$8)+IF(G31=$G$9,$H$9)+IF(G31=$G$10,$H$10)+IF(G31=$G$11,$H$11))</f>
        <v>16.213999999999999</v>
      </c>
      <c r="I31" s="93">
        <f t="shared" si="7"/>
        <v>304123.71134020621</v>
      </c>
      <c r="J31" s="88">
        <f t="shared" si="8"/>
        <v>331460.67415730335</v>
      </c>
      <c r="K31" s="112">
        <f t="shared" si="4"/>
        <v>45.535499999999999</v>
      </c>
      <c r="L31" s="84">
        <v>0</v>
      </c>
      <c r="M31" s="115"/>
      <c r="N31" s="111">
        <f t="shared" si="5"/>
        <v>541637.21323063644</v>
      </c>
      <c r="O31" s="112" t="s">
        <v>59</v>
      </c>
      <c r="P31" s="116" t="s">
        <v>1344</v>
      </c>
    </row>
    <row r="32" spans="1:18" x14ac:dyDescent="0.2">
      <c r="A32" s="116" t="s">
        <v>1643</v>
      </c>
      <c r="B32" s="116" t="s">
        <v>1644</v>
      </c>
      <c r="C32" s="98">
        <v>368517</v>
      </c>
      <c r="D32" s="1">
        <v>3</v>
      </c>
      <c r="E32" s="116">
        <v>14.15</v>
      </c>
      <c r="F32" s="115">
        <f>E32*1.21</f>
        <v>17.121500000000001</v>
      </c>
      <c r="G32" s="114" t="s">
        <v>903</v>
      </c>
      <c r="H32" s="113">
        <f>(IF(G32=$G$3,$H$3)+IF(G32=$G$4,$H$4)+IF(G32=$G$5,$H$5)+IF(G32=$G$6,$H$6)+IF(G32=$G$7,$H$7)+IF(G32=$G$8,$H$8)+IF(G32=$G$9,$H$9)+IF(G32=$G$10,$H$10)+IF(G32=$G$11,$H$11))</f>
        <v>0</v>
      </c>
      <c r="I32" s="93">
        <f t="shared" si="7"/>
        <v>379914.43298969074</v>
      </c>
      <c r="J32" s="88">
        <f t="shared" si="8"/>
        <v>414064.04494382022</v>
      </c>
      <c r="K32" s="112">
        <f t="shared" si="4"/>
        <v>29.3215</v>
      </c>
      <c r="L32" s="84"/>
      <c r="M32" s="115"/>
      <c r="N32" s="111">
        <f t="shared" si="5"/>
        <v>521399.01101466501</v>
      </c>
      <c r="O32" s="112" t="s">
        <v>1090</v>
      </c>
      <c r="P32" s="116" t="s">
        <v>1344</v>
      </c>
    </row>
    <row r="33" spans="1:16" x14ac:dyDescent="0.2">
      <c r="A33" s="116" t="s">
        <v>1338</v>
      </c>
      <c r="B33" s="116" t="s">
        <v>1339</v>
      </c>
      <c r="C33" s="98">
        <v>359491</v>
      </c>
      <c r="D33" s="1">
        <v>3</v>
      </c>
      <c r="E33" s="116">
        <v>14.15</v>
      </c>
      <c r="F33" s="115">
        <f t="shared" si="0"/>
        <v>17.121500000000001</v>
      </c>
      <c r="G33" s="114" t="s">
        <v>1301</v>
      </c>
      <c r="H33" s="113">
        <f t="shared" si="6"/>
        <v>0</v>
      </c>
      <c r="I33" s="93">
        <f t="shared" si="7"/>
        <v>370609.27835051547</v>
      </c>
      <c r="J33" s="88">
        <f t="shared" si="8"/>
        <v>403922.47191011236</v>
      </c>
      <c r="K33" s="112">
        <f t="shared" si="4"/>
        <v>29.3215</v>
      </c>
      <c r="L33" s="84">
        <v>0</v>
      </c>
      <c r="M33" s="115"/>
      <c r="N33" s="111">
        <f t="shared" si="5"/>
        <v>508628.5079621101</v>
      </c>
      <c r="O33" s="112" t="s">
        <v>1090</v>
      </c>
      <c r="P33" s="116" t="s">
        <v>14</v>
      </c>
    </row>
    <row r="34" spans="1:16" x14ac:dyDescent="0.2">
      <c r="A34" s="116" t="s">
        <v>1334</v>
      </c>
      <c r="B34" s="116" t="s">
        <v>1335</v>
      </c>
      <c r="C34" s="98">
        <v>481990</v>
      </c>
      <c r="D34" s="1">
        <v>12</v>
      </c>
      <c r="E34" s="116">
        <v>14.15</v>
      </c>
      <c r="F34" s="115">
        <f t="shared" si="0"/>
        <v>17.121500000000001</v>
      </c>
      <c r="G34" s="114" t="s">
        <v>903</v>
      </c>
      <c r="H34" s="113">
        <f t="shared" si="6"/>
        <v>0</v>
      </c>
      <c r="I34" s="93">
        <f t="shared" si="7"/>
        <v>547715.90909090906</v>
      </c>
      <c r="J34" s="88">
        <f t="shared" si="8"/>
        <v>602487.5</v>
      </c>
      <c r="K34" s="112">
        <f t="shared" si="4"/>
        <v>38.3215</v>
      </c>
      <c r="L34" s="84">
        <v>0</v>
      </c>
      <c r="M34" s="115"/>
      <c r="N34" s="111">
        <f t="shared" si="5"/>
        <v>781455.45044059108</v>
      </c>
      <c r="O34" s="112" t="s">
        <v>1090</v>
      </c>
      <c r="P34" s="116" t="s">
        <v>14</v>
      </c>
    </row>
    <row r="35" spans="1:16" x14ac:dyDescent="0.2">
      <c r="A35" s="116" t="s">
        <v>1342</v>
      </c>
      <c r="B35" s="116" t="s">
        <v>1183</v>
      </c>
      <c r="C35" s="98">
        <v>389990</v>
      </c>
      <c r="D35" s="1">
        <v>3</v>
      </c>
      <c r="E35" s="116">
        <v>14.15</v>
      </c>
      <c r="F35" s="115">
        <f>E35*1.21</f>
        <v>17.121500000000001</v>
      </c>
      <c r="G35" s="114" t="s">
        <v>1460</v>
      </c>
      <c r="H35" s="113">
        <f>(IF(G35=$G$3,$H$3)+IF(G35=$G$4,$H$4)+IF(G35=$G$5,$H$5)+IF(G35=$G$6,$H$6)+IF(G35=$G$7,$H$7)+IF(G35=$G$8,$H$8)+IF(G35=$G$9,$H$9)+IF(G35=$G$10,$H$10)+IF(G35=$G$11,$H$11))</f>
        <v>10.285</v>
      </c>
      <c r="I35" s="93">
        <f t="shared" si="7"/>
        <v>402051.54639175261</v>
      </c>
      <c r="J35" s="88">
        <f t="shared" si="8"/>
        <v>438191.01123595505</v>
      </c>
      <c r="K35" s="112">
        <f t="shared" si="4"/>
        <v>39.606499999999997</v>
      </c>
      <c r="L35" s="84">
        <v>0</v>
      </c>
      <c r="M35" s="115"/>
      <c r="N35" s="111">
        <f t="shared" si="5"/>
        <v>645748.30072772736</v>
      </c>
      <c r="O35" s="112" t="s">
        <v>1090</v>
      </c>
      <c r="P35" s="116" t="s">
        <v>14</v>
      </c>
    </row>
    <row r="36" spans="1:16" x14ac:dyDescent="0.2">
      <c r="A36" s="116" t="s">
        <v>1228</v>
      </c>
      <c r="B36" s="116" t="s">
        <v>1227</v>
      </c>
      <c r="C36" s="98">
        <v>489999</v>
      </c>
      <c r="D36" s="1">
        <v>3</v>
      </c>
      <c r="E36" s="116">
        <v>14.15</v>
      </c>
      <c r="F36" s="115">
        <f t="shared" si="0"/>
        <v>17.121500000000001</v>
      </c>
      <c r="G36" s="114" t="s">
        <v>1237</v>
      </c>
      <c r="H36" s="113">
        <f t="shared" si="6"/>
        <v>4.84</v>
      </c>
      <c r="I36" s="93">
        <f t="shared" si="7"/>
        <v>505153.60824742267</v>
      </c>
      <c r="J36" s="88">
        <f t="shared" si="8"/>
        <v>550560.67415730341</v>
      </c>
      <c r="K36" s="112">
        <f t="shared" si="4"/>
        <v>34.161500000000004</v>
      </c>
      <c r="L36" s="84">
        <v>0</v>
      </c>
      <c r="M36" s="115"/>
      <c r="N36" s="111">
        <f t="shared" si="5"/>
        <v>744243.86946847208</v>
      </c>
      <c r="O36" s="112" t="s">
        <v>1090</v>
      </c>
      <c r="P36" s="116" t="s">
        <v>14</v>
      </c>
    </row>
    <row r="37" spans="1:16" x14ac:dyDescent="0.2">
      <c r="A37" s="116" t="s">
        <v>1305</v>
      </c>
      <c r="B37" s="116" t="s">
        <v>1306</v>
      </c>
      <c r="C37" s="98">
        <v>320000</v>
      </c>
      <c r="D37" s="1">
        <v>3</v>
      </c>
      <c r="E37" s="116">
        <v>14.15</v>
      </c>
      <c r="F37" s="115">
        <f t="shared" si="0"/>
        <v>17.121500000000001</v>
      </c>
      <c r="G37" s="114" t="s">
        <v>903</v>
      </c>
      <c r="H37" s="113">
        <f t="shared" si="6"/>
        <v>0</v>
      </c>
      <c r="I37" s="93">
        <f t="shared" si="7"/>
        <v>329896.90721649484</v>
      </c>
      <c r="J37" s="88">
        <f t="shared" si="8"/>
        <v>359550.5617977528</v>
      </c>
      <c r="K37" s="112">
        <f t="shared" si="4"/>
        <v>29.3215</v>
      </c>
      <c r="L37" s="84">
        <v>0</v>
      </c>
      <c r="M37" s="115"/>
      <c r="N37" s="111">
        <f t="shared" si="5"/>
        <v>452754.37367799261</v>
      </c>
      <c r="O37" s="112" t="s">
        <v>1303</v>
      </c>
      <c r="P37" s="116" t="s">
        <v>14</v>
      </c>
    </row>
    <row r="38" spans="1:16" x14ac:dyDescent="0.2">
      <c r="A38" s="116" t="s">
        <v>1138</v>
      </c>
      <c r="B38" s="116" t="s">
        <v>1140</v>
      </c>
      <c r="C38" s="98">
        <v>130686.25</v>
      </c>
      <c r="D38" s="1">
        <v>3</v>
      </c>
      <c r="E38" s="116">
        <v>14.15</v>
      </c>
      <c r="F38" s="115">
        <f t="shared" si="0"/>
        <v>17.121500000000001</v>
      </c>
      <c r="G38" s="114" t="s">
        <v>903</v>
      </c>
      <c r="H38" s="113">
        <f t="shared" si="6"/>
        <v>0</v>
      </c>
      <c r="I38" s="93">
        <f t="shared" si="7"/>
        <v>134728.09278350516</v>
      </c>
      <c r="J38" s="88">
        <f t="shared" si="8"/>
        <v>146838.48314606742</v>
      </c>
      <c r="K38" s="112">
        <f t="shared" si="4"/>
        <v>29.3215</v>
      </c>
      <c r="L38" s="84">
        <v>0</v>
      </c>
      <c r="M38" s="115"/>
      <c r="N38" s="111">
        <f t="shared" si="5"/>
        <v>184902.41020961112</v>
      </c>
      <c r="O38" s="112" t="s">
        <v>1143</v>
      </c>
      <c r="P38" s="116" t="s">
        <v>14</v>
      </c>
    </row>
    <row r="39" spans="1:16" x14ac:dyDescent="0.2">
      <c r="A39" s="116" t="s">
        <v>1536</v>
      </c>
      <c r="B39" s="116" t="s">
        <v>1535</v>
      </c>
      <c r="C39" s="98">
        <v>685000</v>
      </c>
      <c r="D39" s="1">
        <v>8</v>
      </c>
      <c r="E39" s="116">
        <v>14.15</v>
      </c>
      <c r="F39" s="115">
        <f t="shared" si="0"/>
        <v>17.121500000000001</v>
      </c>
      <c r="G39" s="114" t="s">
        <v>903</v>
      </c>
      <c r="H39" s="113">
        <f>(IF(G39=$G$3,$H$3)+IF(G39=$G$4,$H$4)+IF(G39=$G$5,$H$5)+IF(G39=$G$6,$H$6)+IF(G39=$G$7,$H$7)+IF(G39=$G$8,$H$8)+IF(G39=$G$9,$H$9)+IF(G39=$G$10,$H$10)+IF(G39=$G$11,$H$11))</f>
        <v>0</v>
      </c>
      <c r="I39" s="93">
        <f t="shared" si="7"/>
        <v>744565.21739130432</v>
      </c>
      <c r="J39" s="88">
        <f t="shared" si="8"/>
        <v>815476.19047619042</v>
      </c>
      <c r="K39" s="112">
        <f t="shared" si="4"/>
        <v>34.3215</v>
      </c>
      <c r="L39" s="84"/>
      <c r="M39" s="115"/>
      <c r="N39" s="111">
        <f t="shared" si="5"/>
        <v>1042959.2636859856</v>
      </c>
      <c r="O39" s="112" t="s">
        <v>1090</v>
      </c>
      <c r="P39" s="116" t="s">
        <v>14</v>
      </c>
    </row>
    <row r="40" spans="1:16" x14ac:dyDescent="0.2">
      <c r="A40" s="116" t="s">
        <v>1662</v>
      </c>
      <c r="B40" s="116" t="s">
        <v>1661</v>
      </c>
      <c r="C40" s="98">
        <v>1658159</v>
      </c>
      <c r="D40" s="1">
        <v>5</v>
      </c>
      <c r="E40" s="116">
        <v>14.15</v>
      </c>
      <c r="F40" s="115">
        <f t="shared" si="0"/>
        <v>17.121500000000001</v>
      </c>
      <c r="G40" s="114" t="s">
        <v>903</v>
      </c>
      <c r="H40" s="113">
        <f>(IF(G40=$G$3,$H$3)+IF(G40=$G$4,$H$4)+IF(G40=$G$5,$H$5)+IF(G40=$G$6,$H$6)+IF(G40=$G$7,$H$7)+IF(G40=$G$8,$H$8)+IF(G40=$G$9,$H$9)+IF(G40=$G$10,$H$10)+IF(G40=$G$11,$H$11))</f>
        <v>0</v>
      </c>
      <c r="I40" s="93">
        <f t="shared" si="7"/>
        <v>1745430.5263157897</v>
      </c>
      <c r="J40" s="88">
        <f t="shared" si="8"/>
        <v>1905929.8850574712</v>
      </c>
      <c r="K40" s="112">
        <f t="shared" si="4"/>
        <v>31.3215</v>
      </c>
      <c r="L40" s="84"/>
      <c r="M40" s="115"/>
      <c r="N40" s="111">
        <f t="shared" si="5"/>
        <v>2414378.5900973375</v>
      </c>
      <c r="O40" s="112" t="s">
        <v>1094</v>
      </c>
      <c r="P40" s="116" t="s">
        <v>14</v>
      </c>
    </row>
    <row r="41" spans="1:16" x14ac:dyDescent="0.2">
      <c r="A41" s="116" t="s">
        <v>1137</v>
      </c>
      <c r="B41" s="116" t="s">
        <v>1139</v>
      </c>
      <c r="C41" s="98">
        <v>131489.95000000001</v>
      </c>
      <c r="D41" s="1">
        <v>3</v>
      </c>
      <c r="E41" s="116">
        <v>14.15</v>
      </c>
      <c r="F41" s="115">
        <f t="shared" si="0"/>
        <v>17.121500000000001</v>
      </c>
      <c r="G41" s="114" t="s">
        <v>903</v>
      </c>
      <c r="H41" s="113">
        <f t="shared" si="6"/>
        <v>0</v>
      </c>
      <c r="I41" s="93">
        <f t="shared" si="7"/>
        <v>135556.64948453609</v>
      </c>
      <c r="J41" s="88">
        <f t="shared" si="8"/>
        <v>147741.51685393258</v>
      </c>
      <c r="K41" s="112">
        <f t="shared" si="4"/>
        <v>29.3215</v>
      </c>
      <c r="L41" s="84">
        <v>0</v>
      </c>
      <c r="M41" s="115"/>
      <c r="N41" s="111">
        <f t="shared" si="5"/>
        <v>186039.53111625178</v>
      </c>
      <c r="O41" s="112" t="s">
        <v>1143</v>
      </c>
      <c r="P41" s="116" t="s">
        <v>14</v>
      </c>
    </row>
    <row r="42" spans="1:16" x14ac:dyDescent="0.2">
      <c r="A42" s="116" t="s">
        <v>1347</v>
      </c>
      <c r="B42" s="116" t="s">
        <v>1348</v>
      </c>
      <c r="C42" s="98">
        <v>243283</v>
      </c>
      <c r="D42" s="1">
        <v>3</v>
      </c>
      <c r="E42" s="116">
        <v>14.15</v>
      </c>
      <c r="F42" s="115">
        <f t="shared" si="0"/>
        <v>17.121500000000001</v>
      </c>
      <c r="G42" s="114" t="s">
        <v>1237</v>
      </c>
      <c r="H42" s="113">
        <f t="shared" si="6"/>
        <v>4.84</v>
      </c>
      <c r="I42" s="93">
        <f t="shared" si="7"/>
        <v>250807.21649484537</v>
      </c>
      <c r="J42" s="88">
        <f t="shared" si="8"/>
        <v>273351.68539325841</v>
      </c>
      <c r="K42" s="112">
        <f t="shared" si="4"/>
        <v>34.161500000000004</v>
      </c>
      <c r="L42" s="84">
        <v>0</v>
      </c>
      <c r="M42" s="115"/>
      <c r="N42" s="111">
        <f t="shared" si="5"/>
        <v>369514.79757284874</v>
      </c>
      <c r="O42" s="112" t="s">
        <v>1143</v>
      </c>
      <c r="P42" s="116" t="s">
        <v>1344</v>
      </c>
    </row>
    <row r="43" spans="1:16" x14ac:dyDescent="0.2">
      <c r="A43" s="116" t="s">
        <v>1532</v>
      </c>
      <c r="B43" s="116" t="s">
        <v>1533</v>
      </c>
      <c r="C43" s="98">
        <v>87600</v>
      </c>
      <c r="D43" s="1">
        <v>3</v>
      </c>
      <c r="E43" s="116">
        <v>14.15</v>
      </c>
      <c r="F43" s="115">
        <f>E43*1.21</f>
        <v>17.121500000000001</v>
      </c>
      <c r="G43" s="114" t="s">
        <v>903</v>
      </c>
      <c r="H43" s="113">
        <f>(IF(G43=$G$3,$H$3)+IF(G43=$G$4,$H$4)+IF(G43=$G$5,$H$5)+IF(G43=$G$6,$H$6)+IF(G43=$G$7,$H$7)+IF(G43=$G$8,$H$8)+IF(G43=$G$9,$H$9)+IF(G43=$G$10,$H$10)+IF(G43=$G$11,$H$11))</f>
        <v>0</v>
      </c>
      <c r="I43" s="93">
        <f t="shared" si="7"/>
        <v>90309.278350515466</v>
      </c>
      <c r="J43" s="88">
        <f t="shared" si="8"/>
        <v>98426.966292134835</v>
      </c>
      <c r="K43" s="112">
        <f t="shared" si="4"/>
        <v>29.3215</v>
      </c>
      <c r="L43" s="84">
        <v>5000</v>
      </c>
      <c r="M43" s="115"/>
      <c r="N43" s="111">
        <f t="shared" si="5"/>
        <v>128941.50979435048</v>
      </c>
      <c r="O43" s="112" t="s">
        <v>1583</v>
      </c>
      <c r="P43" s="116" t="s">
        <v>1584</v>
      </c>
    </row>
    <row r="44" spans="1:16" x14ac:dyDescent="0.2">
      <c r="A44" s="116" t="s">
        <v>36</v>
      </c>
      <c r="B44" s="116" t="s">
        <v>37</v>
      </c>
      <c r="C44" s="98">
        <v>397657.25</v>
      </c>
      <c r="D44" s="1">
        <v>3</v>
      </c>
      <c r="E44" s="116">
        <v>14.15</v>
      </c>
      <c r="F44" s="115">
        <f t="shared" si="0"/>
        <v>17.121500000000001</v>
      </c>
      <c r="G44" s="114" t="s">
        <v>903</v>
      </c>
      <c r="H44" s="113">
        <f t="shared" si="6"/>
        <v>0</v>
      </c>
      <c r="I44" s="93">
        <f t="shared" si="7"/>
        <v>409955.92783505155</v>
      </c>
      <c r="J44" s="88">
        <f t="shared" si="8"/>
        <v>446805.89887640451</v>
      </c>
      <c r="K44" s="112">
        <f t="shared" si="4"/>
        <v>29.3215</v>
      </c>
      <c r="L44" s="84">
        <v>0</v>
      </c>
      <c r="M44" s="115"/>
      <c r="N44" s="111">
        <f t="shared" si="5"/>
        <v>562628.30988207168</v>
      </c>
      <c r="O44" s="112" t="s">
        <v>25</v>
      </c>
      <c r="P44" s="116" t="s">
        <v>38</v>
      </c>
    </row>
    <row r="45" spans="1:16" x14ac:dyDescent="0.2">
      <c r="A45" s="116" t="s">
        <v>48</v>
      </c>
      <c r="B45" s="116" t="s">
        <v>49</v>
      </c>
      <c r="C45" s="98">
        <v>576212.9</v>
      </c>
      <c r="D45" s="1">
        <v>3</v>
      </c>
      <c r="E45" s="116">
        <v>14.15</v>
      </c>
      <c r="F45" s="115">
        <f t="shared" si="0"/>
        <v>17.121500000000001</v>
      </c>
      <c r="G45" s="114" t="s">
        <v>1619</v>
      </c>
      <c r="H45" s="113">
        <f t="shared" si="6"/>
        <v>16.213999999999999</v>
      </c>
      <c r="I45" s="93">
        <f t="shared" si="7"/>
        <v>594033.91752577329</v>
      </c>
      <c r="J45" s="88">
        <f t="shared" si="8"/>
        <v>647430.2247191011</v>
      </c>
      <c r="K45" s="112">
        <f t="shared" si="4"/>
        <v>45.535499999999999</v>
      </c>
      <c r="L45" s="84">
        <v>0</v>
      </c>
      <c r="M45" s="115"/>
      <c r="N45" s="111">
        <f t="shared" si="5"/>
        <v>1057960.5063848929</v>
      </c>
      <c r="O45" s="112" t="s">
        <v>25</v>
      </c>
      <c r="P45" s="116" t="s">
        <v>38</v>
      </c>
    </row>
    <row r="46" spans="1:16" x14ac:dyDescent="0.2">
      <c r="A46" s="116" t="s">
        <v>60</v>
      </c>
      <c r="B46" s="116" t="s">
        <v>61</v>
      </c>
      <c r="C46" s="98">
        <v>1716709</v>
      </c>
      <c r="D46" s="1">
        <v>3</v>
      </c>
      <c r="E46" s="116">
        <v>14.15</v>
      </c>
      <c r="F46" s="115">
        <f t="shared" si="0"/>
        <v>17.121500000000001</v>
      </c>
      <c r="G46" s="114" t="s">
        <v>1620</v>
      </c>
      <c r="H46" s="113">
        <f t="shared" si="6"/>
        <v>21.538</v>
      </c>
      <c r="I46" s="93">
        <f t="shared" si="7"/>
        <v>1769803.0927835051</v>
      </c>
      <c r="J46" s="88">
        <f t="shared" si="8"/>
        <v>1928886.5168539325</v>
      </c>
      <c r="K46" s="112">
        <f t="shared" si="4"/>
        <v>50.859499999999997</v>
      </c>
      <c r="L46" s="84">
        <v>0</v>
      </c>
      <c r="M46" s="115"/>
      <c r="N46" s="111">
        <f t="shared" si="5"/>
        <v>3493470.7624057545</v>
      </c>
      <c r="O46" s="112" t="s">
        <v>15</v>
      </c>
      <c r="P46" s="116" t="s">
        <v>38</v>
      </c>
    </row>
    <row r="47" spans="1:16" x14ac:dyDescent="0.2">
      <c r="A47" s="116" t="s">
        <v>93</v>
      </c>
      <c r="B47" s="116" t="s">
        <v>94</v>
      </c>
      <c r="C47" s="98">
        <v>1108818.96</v>
      </c>
      <c r="D47" s="1">
        <v>3</v>
      </c>
      <c r="E47" s="116">
        <v>14.15</v>
      </c>
      <c r="F47" s="115">
        <f t="shared" si="0"/>
        <v>17.121500000000001</v>
      </c>
      <c r="G47" s="114" t="s">
        <v>903</v>
      </c>
      <c r="H47" s="113">
        <f t="shared" si="6"/>
        <v>0</v>
      </c>
      <c r="I47" s="93">
        <f t="shared" si="7"/>
        <v>1143112.3298969073</v>
      </c>
      <c r="J47" s="88">
        <f t="shared" si="8"/>
        <v>1245864</v>
      </c>
      <c r="K47" s="112">
        <f t="shared" si="4"/>
        <v>29.3215</v>
      </c>
      <c r="L47" s="84">
        <v>0</v>
      </c>
      <c r="M47" s="115"/>
      <c r="N47" s="111">
        <f t="shared" si="5"/>
        <v>1568820.7304908847</v>
      </c>
      <c r="O47" s="112" t="s">
        <v>95</v>
      </c>
      <c r="P47" s="116" t="s">
        <v>38</v>
      </c>
    </row>
    <row r="48" spans="1:16" x14ac:dyDescent="0.2">
      <c r="A48" s="116" t="s">
        <v>96</v>
      </c>
      <c r="B48" s="116" t="s">
        <v>97</v>
      </c>
      <c r="C48" s="98">
        <v>1055070.05</v>
      </c>
      <c r="D48" s="1">
        <v>3</v>
      </c>
      <c r="E48" s="116">
        <v>14.15</v>
      </c>
      <c r="F48" s="115">
        <f t="shared" si="0"/>
        <v>17.121500000000001</v>
      </c>
      <c r="G48" s="114" t="s">
        <v>903</v>
      </c>
      <c r="H48" s="113">
        <f t="shared" si="6"/>
        <v>0</v>
      </c>
      <c r="I48" s="93">
        <f t="shared" si="7"/>
        <v>1087701.0824742268</v>
      </c>
      <c r="J48" s="88">
        <f t="shared" si="8"/>
        <v>1185471.966292135</v>
      </c>
      <c r="K48" s="112">
        <f t="shared" si="4"/>
        <v>29.3215</v>
      </c>
      <c r="L48" s="84"/>
      <c r="M48" s="115"/>
      <c r="N48" s="111">
        <f t="shared" si="5"/>
        <v>1492773.686481745</v>
      </c>
      <c r="O48" s="112" t="s">
        <v>95</v>
      </c>
      <c r="P48" s="116" t="s">
        <v>38</v>
      </c>
    </row>
    <row r="49" spans="1:16" x14ac:dyDescent="0.2">
      <c r="A49" s="116" t="s">
        <v>87</v>
      </c>
      <c r="B49" s="116" t="s">
        <v>88</v>
      </c>
      <c r="C49" s="98">
        <v>1272221</v>
      </c>
      <c r="D49" s="1">
        <v>3</v>
      </c>
      <c r="E49" s="116">
        <v>14.15</v>
      </c>
      <c r="F49" s="115">
        <f t="shared" si="0"/>
        <v>17.121500000000001</v>
      </c>
      <c r="G49" s="114" t="s">
        <v>903</v>
      </c>
      <c r="H49" s="113">
        <f t="shared" si="6"/>
        <v>0</v>
      </c>
      <c r="I49" s="93">
        <f t="shared" si="7"/>
        <v>1311568.0412371135</v>
      </c>
      <c r="J49" s="88">
        <f t="shared" si="8"/>
        <v>1429461.797752809</v>
      </c>
      <c r="K49" s="112">
        <f t="shared" si="4"/>
        <v>29.3215</v>
      </c>
      <c r="L49" s="84">
        <v>0</v>
      </c>
      <c r="M49" s="115"/>
      <c r="N49" s="111">
        <f t="shared" si="5"/>
        <v>1800011.318859342</v>
      </c>
      <c r="O49" s="112" t="s">
        <v>15</v>
      </c>
      <c r="P49" s="116" t="s">
        <v>38</v>
      </c>
    </row>
    <row r="50" spans="1:16" x14ac:dyDescent="0.2">
      <c r="A50" s="116" t="s">
        <v>100</v>
      </c>
      <c r="B50" s="116" t="s">
        <v>101</v>
      </c>
      <c r="C50" s="98">
        <v>1820751</v>
      </c>
      <c r="D50" s="1">
        <v>3</v>
      </c>
      <c r="E50" s="116">
        <v>14.15</v>
      </c>
      <c r="F50" s="115">
        <f t="shared" si="0"/>
        <v>17.121500000000001</v>
      </c>
      <c r="G50" s="114" t="s">
        <v>903</v>
      </c>
      <c r="H50" s="113">
        <f t="shared" si="6"/>
        <v>0</v>
      </c>
      <c r="I50" s="93">
        <f t="shared" si="7"/>
        <v>1877062.8865979381</v>
      </c>
      <c r="J50" s="88">
        <f t="shared" si="8"/>
        <v>2045787.6404494382</v>
      </c>
      <c r="K50" s="112">
        <f t="shared" si="4"/>
        <v>29.3215</v>
      </c>
      <c r="L50" s="84">
        <v>0</v>
      </c>
      <c r="M50" s="115"/>
      <c r="N50" s="111">
        <f t="shared" si="5"/>
        <v>2576103.0582143087</v>
      </c>
      <c r="O50" s="112" t="s">
        <v>15</v>
      </c>
      <c r="P50" s="116" t="s">
        <v>38</v>
      </c>
    </row>
    <row r="51" spans="1:16" x14ac:dyDescent="0.2">
      <c r="A51" s="116" t="s">
        <v>138</v>
      </c>
      <c r="B51" s="116" t="s">
        <v>139</v>
      </c>
      <c r="C51" s="98">
        <v>1271727.49</v>
      </c>
      <c r="D51" s="1">
        <v>3</v>
      </c>
      <c r="E51" s="116">
        <v>14.15</v>
      </c>
      <c r="F51" s="115">
        <f t="shared" si="0"/>
        <v>17.121500000000001</v>
      </c>
      <c r="G51" s="114" t="s">
        <v>903</v>
      </c>
      <c r="H51" s="113">
        <f t="shared" si="6"/>
        <v>0</v>
      </c>
      <c r="I51" s="93">
        <f t="shared" si="7"/>
        <v>1311059.268041237</v>
      </c>
      <c r="J51" s="88">
        <f t="shared" si="8"/>
        <v>1428907.2921348314</v>
      </c>
      <c r="K51" s="112">
        <f t="shared" si="4"/>
        <v>29.3215</v>
      </c>
      <c r="L51" s="84">
        <v>0</v>
      </c>
      <c r="M51" s="115"/>
      <c r="N51" s="111">
        <f t="shared" si="5"/>
        <v>1799313.0725751112</v>
      </c>
      <c r="O51" s="112" t="s">
        <v>95</v>
      </c>
      <c r="P51" s="116" t="s">
        <v>38</v>
      </c>
    </row>
    <row r="52" spans="1:16" x14ac:dyDescent="0.2">
      <c r="A52" s="116" t="s">
        <v>147</v>
      </c>
      <c r="B52" s="116" t="s">
        <v>148</v>
      </c>
      <c r="C52" s="98">
        <v>908340.02</v>
      </c>
      <c r="D52" s="1">
        <v>7</v>
      </c>
      <c r="E52" s="116">
        <v>14.15</v>
      </c>
      <c r="F52" s="115">
        <f t="shared" si="0"/>
        <v>17.121500000000001</v>
      </c>
      <c r="G52" s="114" t="s">
        <v>903</v>
      </c>
      <c r="H52" s="113">
        <f t="shared" si="6"/>
        <v>0</v>
      </c>
      <c r="I52" s="93">
        <f t="shared" si="7"/>
        <v>976709.69892473111</v>
      </c>
      <c r="J52" s="88">
        <f t="shared" si="8"/>
        <v>1068635.3176470587</v>
      </c>
      <c r="K52" s="112">
        <f t="shared" si="4"/>
        <v>33.3215</v>
      </c>
      <c r="L52" s="84">
        <v>0</v>
      </c>
      <c r="M52" s="115"/>
      <c r="N52" s="111">
        <f t="shared" si="5"/>
        <v>1362268.2273896385</v>
      </c>
      <c r="O52" s="112" t="s">
        <v>149</v>
      </c>
      <c r="P52" s="116" t="s">
        <v>38</v>
      </c>
    </row>
    <row r="53" spans="1:16" x14ac:dyDescent="0.2">
      <c r="A53" s="116" t="s">
        <v>162</v>
      </c>
      <c r="B53" s="116" t="s">
        <v>163</v>
      </c>
      <c r="C53" s="98">
        <v>388396.23</v>
      </c>
      <c r="D53" s="1">
        <v>3</v>
      </c>
      <c r="E53" s="116">
        <v>14.15</v>
      </c>
      <c r="F53" s="115">
        <f t="shared" si="0"/>
        <v>17.121500000000001</v>
      </c>
      <c r="G53" s="114" t="s">
        <v>903</v>
      </c>
      <c r="H53" s="113">
        <f t="shared" si="6"/>
        <v>0</v>
      </c>
      <c r="I53" s="93">
        <f t="shared" si="7"/>
        <v>400408.48453608248</v>
      </c>
      <c r="J53" s="88">
        <f t="shared" si="8"/>
        <v>436400.25842696626</v>
      </c>
      <c r="K53" s="112">
        <f t="shared" si="4"/>
        <v>29.3215</v>
      </c>
      <c r="L53" s="84">
        <v>0</v>
      </c>
      <c r="M53" s="115"/>
      <c r="N53" s="111">
        <f t="shared" si="5"/>
        <v>549525.28703919856</v>
      </c>
      <c r="O53" s="112" t="s">
        <v>15</v>
      </c>
      <c r="P53" s="116" t="s">
        <v>38</v>
      </c>
    </row>
    <row r="54" spans="1:16" x14ac:dyDescent="0.2">
      <c r="A54" s="116" t="s">
        <v>169</v>
      </c>
      <c r="B54" s="116" t="s">
        <v>170</v>
      </c>
      <c r="C54" s="98">
        <v>679300</v>
      </c>
      <c r="D54" s="1">
        <v>3</v>
      </c>
      <c r="E54" s="116">
        <v>14.15</v>
      </c>
      <c r="F54" s="115">
        <f t="shared" si="0"/>
        <v>17.121500000000001</v>
      </c>
      <c r="G54" s="114" t="s">
        <v>903</v>
      </c>
      <c r="H54" s="113">
        <f t="shared" si="6"/>
        <v>0</v>
      </c>
      <c r="I54" s="93">
        <f t="shared" si="7"/>
        <v>700309.27835051552</v>
      </c>
      <c r="J54" s="88">
        <f t="shared" si="8"/>
        <v>763258.42696629209</v>
      </c>
      <c r="K54" s="112">
        <f t="shared" si="4"/>
        <v>29.3215</v>
      </c>
      <c r="L54" s="84">
        <v>0</v>
      </c>
      <c r="M54" s="115"/>
      <c r="N54" s="111">
        <f t="shared" si="5"/>
        <v>961112.64387331367</v>
      </c>
      <c r="O54" s="112" t="s">
        <v>25</v>
      </c>
      <c r="P54" s="116" t="s">
        <v>38</v>
      </c>
    </row>
    <row r="55" spans="1:16" x14ac:dyDescent="0.2">
      <c r="A55" s="116" t="s">
        <v>186</v>
      </c>
      <c r="B55" s="116" t="s">
        <v>187</v>
      </c>
      <c r="C55" s="98">
        <v>535500</v>
      </c>
      <c r="D55" s="1">
        <v>3</v>
      </c>
      <c r="E55" s="116">
        <v>14.15</v>
      </c>
      <c r="F55" s="115">
        <f t="shared" si="0"/>
        <v>17.121500000000001</v>
      </c>
      <c r="G55" s="114" t="s">
        <v>903</v>
      </c>
      <c r="H55" s="113">
        <f t="shared" si="6"/>
        <v>0</v>
      </c>
      <c r="I55" s="93">
        <f t="shared" si="7"/>
        <v>552061.8556701031</v>
      </c>
      <c r="J55" s="88">
        <f t="shared" si="8"/>
        <v>601685.39325842692</v>
      </c>
      <c r="K55" s="112">
        <f t="shared" si="4"/>
        <v>29.3215</v>
      </c>
      <c r="L55" s="84">
        <v>0</v>
      </c>
      <c r="M55" s="115"/>
      <c r="N55" s="111">
        <f t="shared" si="5"/>
        <v>757656.14720176579</v>
      </c>
      <c r="O55" s="112" t="s">
        <v>25</v>
      </c>
      <c r="P55" s="116" t="s">
        <v>38</v>
      </c>
    </row>
    <row r="56" spans="1:16" x14ac:dyDescent="0.2">
      <c r="A56" s="116" t="s">
        <v>198</v>
      </c>
      <c r="B56" s="116" t="s">
        <v>199</v>
      </c>
      <c r="C56" s="98">
        <v>416545.45</v>
      </c>
      <c r="D56" s="1">
        <v>3</v>
      </c>
      <c r="E56" s="116">
        <v>14.15</v>
      </c>
      <c r="F56" s="115">
        <f t="shared" si="0"/>
        <v>17.121500000000001</v>
      </c>
      <c r="G56" s="114" t="s">
        <v>903</v>
      </c>
      <c r="H56" s="113">
        <f t="shared" si="6"/>
        <v>0</v>
      </c>
      <c r="I56" s="93">
        <f t="shared" ref="I56:I87" si="13">(C56/(($J$3-D56)/100))</f>
        <v>429428.29896907217</v>
      </c>
      <c r="J56" s="88">
        <f t="shared" ref="J56:J87" si="14">(C56/(($J$3-D56)/100-(0.08)))</f>
        <v>468028.59550561797</v>
      </c>
      <c r="K56" s="112">
        <f t="shared" si="4"/>
        <v>29.3215</v>
      </c>
      <c r="L56" s="84">
        <v>0</v>
      </c>
      <c r="M56" s="115"/>
      <c r="N56" s="111">
        <f t="shared" si="5"/>
        <v>589352.41975989868</v>
      </c>
      <c r="O56" s="112" t="s">
        <v>15</v>
      </c>
      <c r="P56" s="116" t="s">
        <v>38</v>
      </c>
    </row>
    <row r="57" spans="1:16" x14ac:dyDescent="0.2">
      <c r="A57" s="116" t="s">
        <v>958</v>
      </c>
      <c r="B57" s="116" t="s">
        <v>956</v>
      </c>
      <c r="C57" s="98">
        <v>467554</v>
      </c>
      <c r="D57" s="1">
        <v>3</v>
      </c>
      <c r="E57" s="116">
        <v>14.15</v>
      </c>
      <c r="F57" s="115">
        <f t="shared" si="0"/>
        <v>17.121500000000001</v>
      </c>
      <c r="G57" s="114" t="s">
        <v>903</v>
      </c>
      <c r="H57" s="113">
        <f t="shared" si="6"/>
        <v>0</v>
      </c>
      <c r="I57" s="93">
        <f t="shared" si="13"/>
        <v>482014.43298969074</v>
      </c>
      <c r="J57" s="88">
        <f t="shared" si="14"/>
        <v>525341.57303370791</v>
      </c>
      <c r="K57" s="112">
        <f t="shared" si="4"/>
        <v>29.3215</v>
      </c>
      <c r="L57" s="84">
        <v>0</v>
      </c>
      <c r="M57" s="115"/>
      <c r="N57" s="111">
        <f t="shared" si="5"/>
        <v>661522.24509575043</v>
      </c>
      <c r="O57" s="112" t="s">
        <v>59</v>
      </c>
      <c r="P57" s="116" t="s">
        <v>38</v>
      </c>
    </row>
    <row r="58" spans="1:16" x14ac:dyDescent="0.2">
      <c r="A58" s="116" t="s">
        <v>957</v>
      </c>
      <c r="B58" s="116" t="s">
        <v>959</v>
      </c>
      <c r="C58" s="98">
        <v>418859</v>
      </c>
      <c r="D58" s="1">
        <v>3</v>
      </c>
      <c r="E58" s="116">
        <v>14.15</v>
      </c>
      <c r="F58" s="115">
        <f t="shared" si="0"/>
        <v>17.121500000000001</v>
      </c>
      <c r="G58" s="114" t="s">
        <v>1235</v>
      </c>
      <c r="H58" s="113">
        <f t="shared" si="6"/>
        <v>0</v>
      </c>
      <c r="I58" s="93">
        <f t="shared" si="13"/>
        <v>431813.40206185565</v>
      </c>
      <c r="J58" s="88">
        <f t="shared" si="14"/>
        <v>470628.08988764044</v>
      </c>
      <c r="K58" s="112">
        <f t="shared" si="4"/>
        <v>29.3215</v>
      </c>
      <c r="L58" s="84">
        <v>0</v>
      </c>
      <c r="M58" s="115"/>
      <c r="N58" s="111">
        <f t="shared" si="5"/>
        <v>592625.76313871972</v>
      </c>
      <c r="O58" s="112" t="s">
        <v>59</v>
      </c>
      <c r="P58" s="116" t="s">
        <v>38</v>
      </c>
    </row>
    <row r="59" spans="1:16" x14ac:dyDescent="0.2">
      <c r="A59" s="116" t="s">
        <v>1175</v>
      </c>
      <c r="B59" s="116" t="s">
        <v>1176</v>
      </c>
      <c r="C59" s="98">
        <v>609995</v>
      </c>
      <c r="D59" s="1">
        <v>5</v>
      </c>
      <c r="E59" s="116">
        <v>14.15</v>
      </c>
      <c r="F59" s="115">
        <f t="shared" si="0"/>
        <v>17.121500000000001</v>
      </c>
      <c r="G59" s="114" t="s">
        <v>903</v>
      </c>
      <c r="H59" s="113">
        <f t="shared" si="6"/>
        <v>0</v>
      </c>
      <c r="I59" s="93">
        <f t="shared" si="13"/>
        <v>642100</v>
      </c>
      <c r="J59" s="88">
        <f t="shared" si="14"/>
        <v>701143.67816091958</v>
      </c>
      <c r="K59" s="112">
        <f t="shared" si="4"/>
        <v>31.3215</v>
      </c>
      <c r="L59" s="84">
        <v>0</v>
      </c>
      <c r="M59" s="115"/>
      <c r="N59" s="111">
        <f t="shared" si="5"/>
        <v>888189.17128358956</v>
      </c>
      <c r="O59" s="112" t="s">
        <v>25</v>
      </c>
      <c r="P59" s="116" t="s">
        <v>38</v>
      </c>
    </row>
    <row r="60" spans="1:16" x14ac:dyDescent="0.2">
      <c r="A60" s="116" t="s">
        <v>1099</v>
      </c>
      <c r="B60" s="116" t="s">
        <v>1292</v>
      </c>
      <c r="C60" s="98">
        <v>500142</v>
      </c>
      <c r="D60" s="1">
        <v>3</v>
      </c>
      <c r="E60" s="116">
        <v>14.15</v>
      </c>
      <c r="F60" s="115">
        <f t="shared" si="0"/>
        <v>17.121500000000001</v>
      </c>
      <c r="G60" s="114" t="s">
        <v>1619</v>
      </c>
      <c r="H60" s="113">
        <f t="shared" si="6"/>
        <v>16.213999999999999</v>
      </c>
      <c r="I60" s="93">
        <f t="shared" si="13"/>
        <v>515610.30927835056</v>
      </c>
      <c r="J60" s="88">
        <f t="shared" si="14"/>
        <v>561957.30337078648</v>
      </c>
      <c r="K60" s="112">
        <f t="shared" si="4"/>
        <v>45.535499999999999</v>
      </c>
      <c r="L60" s="84">
        <v>0</v>
      </c>
      <c r="M60" s="115"/>
      <c r="N60" s="111">
        <f t="shared" si="5"/>
        <v>918289.89525287109</v>
      </c>
      <c r="O60" s="112" t="s">
        <v>15</v>
      </c>
      <c r="P60" s="116" t="s">
        <v>38</v>
      </c>
    </row>
    <row r="61" spans="1:16" x14ac:dyDescent="0.2">
      <c r="A61" s="116" t="s">
        <v>1326</v>
      </c>
      <c r="B61" s="116" t="s">
        <v>1325</v>
      </c>
      <c r="C61" s="98">
        <v>900000</v>
      </c>
      <c r="D61" s="1">
        <v>3</v>
      </c>
      <c r="E61" s="116">
        <v>14.15</v>
      </c>
      <c r="F61" s="115">
        <f t="shared" si="0"/>
        <v>17.121500000000001</v>
      </c>
      <c r="G61" s="114" t="s">
        <v>903</v>
      </c>
      <c r="H61" s="113">
        <f t="shared" si="6"/>
        <v>0</v>
      </c>
      <c r="I61" s="93">
        <f t="shared" si="13"/>
        <v>927835.0515463918</v>
      </c>
      <c r="J61" s="88">
        <f t="shared" si="14"/>
        <v>1011235.9550561798</v>
      </c>
      <c r="K61" s="112">
        <f t="shared" si="4"/>
        <v>29.3215</v>
      </c>
      <c r="L61" s="84">
        <v>0</v>
      </c>
      <c r="M61" s="115"/>
      <c r="N61" s="111">
        <f t="shared" si="5"/>
        <v>1273371.6759693541</v>
      </c>
      <c r="O61" s="112" t="s">
        <v>1094</v>
      </c>
      <c r="P61" s="116" t="s">
        <v>38</v>
      </c>
    </row>
    <row r="62" spans="1:16" x14ac:dyDescent="0.2">
      <c r="A62" s="116" t="s">
        <v>1539</v>
      </c>
      <c r="B62" s="116" t="s">
        <v>1538</v>
      </c>
      <c r="C62" s="98">
        <v>726600</v>
      </c>
      <c r="D62" s="1">
        <v>7</v>
      </c>
      <c r="E62" s="116">
        <v>14.15</v>
      </c>
      <c r="F62" s="115">
        <f>E62*1.21</f>
        <v>17.121500000000001</v>
      </c>
      <c r="G62" s="114" t="s">
        <v>902</v>
      </c>
      <c r="H62" s="113">
        <f>(IF(G62=$G$3,$H$3)+IF(G62=$G$4,$H$4)+IF(G62=$G$5,$H$5)+IF(G62=$G$6,$H$6)+IF(G62=$G$7,$H$7)+IF(G62=$G$8,$H$8)+IF(G62=$G$9,$H$9)+IF(G62=$G$10,$H$10)+IF(G62=$G$11,$H$11))</f>
        <v>0</v>
      </c>
      <c r="I62" s="93">
        <f t="shared" si="13"/>
        <v>781290.32258064509</v>
      </c>
      <c r="J62" s="88">
        <f t="shared" si="14"/>
        <v>854823.52941176458</v>
      </c>
      <c r="K62" s="112">
        <f t="shared" si="4"/>
        <v>33.3215</v>
      </c>
      <c r="L62" s="84">
        <v>0</v>
      </c>
      <c r="M62" s="115"/>
      <c r="N62" s="111">
        <f t="shared" si="5"/>
        <v>1089706.5770825678</v>
      </c>
      <c r="O62" s="112" t="s">
        <v>1094</v>
      </c>
      <c r="P62" s="116" t="s">
        <v>38</v>
      </c>
    </row>
    <row r="63" spans="1:16" x14ac:dyDescent="0.2">
      <c r="A63" s="116" t="s">
        <v>1576</v>
      </c>
      <c r="B63" s="116" t="s">
        <v>1577</v>
      </c>
      <c r="C63" s="98">
        <v>262032</v>
      </c>
      <c r="D63" s="1">
        <v>3</v>
      </c>
      <c r="E63" s="116">
        <v>14.15</v>
      </c>
      <c r="F63" s="115">
        <f>E63*1.21</f>
        <v>17.121500000000001</v>
      </c>
      <c r="G63" s="114" t="s">
        <v>903</v>
      </c>
      <c r="H63" s="113">
        <f>(IF(G63=$G$3,$H$3)+IF(G63=$G$4,$H$4)+IF(G63=$G$5,$H$5)+IF(G63=$G$6,$H$6)+IF(G63=$G$7,$H$7)+IF(G63=$G$8,$H$8)+IF(G63=$G$9,$H$9)+IF(G63=$G$10,$H$10)+IF(G63=$G$11,$H$11))</f>
        <v>0</v>
      </c>
      <c r="I63" s="93">
        <f t="shared" si="13"/>
        <v>270136.08247422683</v>
      </c>
      <c r="J63" s="88">
        <f t="shared" si="14"/>
        <v>294417.97752808989</v>
      </c>
      <c r="K63" s="112">
        <f t="shared" si="4"/>
        <v>29.3215</v>
      </c>
      <c r="L63" s="84"/>
      <c r="M63" s="115"/>
      <c r="N63" s="111">
        <f t="shared" si="5"/>
        <v>370737.91888622422</v>
      </c>
      <c r="O63" s="112" t="s">
        <v>1094</v>
      </c>
      <c r="P63" s="116" t="s">
        <v>38</v>
      </c>
    </row>
    <row r="64" spans="1:16" x14ac:dyDescent="0.2">
      <c r="A64" s="116" t="s">
        <v>1307</v>
      </c>
      <c r="B64" s="116" t="s">
        <v>1308</v>
      </c>
      <c r="C64" s="98">
        <v>660436</v>
      </c>
      <c r="D64" s="1">
        <v>3</v>
      </c>
      <c r="E64" s="116">
        <v>14.15</v>
      </c>
      <c r="F64" s="115">
        <f t="shared" si="0"/>
        <v>17.121500000000001</v>
      </c>
      <c r="G64" s="114" t="s">
        <v>903</v>
      </c>
      <c r="H64" s="113">
        <f t="shared" si="6"/>
        <v>0</v>
      </c>
      <c r="I64" s="93">
        <f t="shared" si="13"/>
        <v>680861.8556701031</v>
      </c>
      <c r="J64" s="88">
        <f t="shared" si="14"/>
        <v>742062.92134831462</v>
      </c>
      <c r="K64" s="112">
        <f t="shared" si="4"/>
        <v>29.3215</v>
      </c>
      <c r="L64" s="84">
        <v>0</v>
      </c>
      <c r="M64" s="115"/>
      <c r="N64" s="111">
        <f t="shared" si="5"/>
        <v>934422.77354499605</v>
      </c>
      <c r="O64" s="112" t="s">
        <v>1094</v>
      </c>
      <c r="P64" s="116" t="s">
        <v>38</v>
      </c>
    </row>
    <row r="65" spans="1:16" x14ac:dyDescent="0.2">
      <c r="A65" s="116" t="s">
        <v>1191</v>
      </c>
      <c r="B65" s="116" t="s">
        <v>1192</v>
      </c>
      <c r="C65" s="98">
        <v>339068</v>
      </c>
      <c r="D65" s="1">
        <v>3</v>
      </c>
      <c r="E65" s="116">
        <v>14.15</v>
      </c>
      <c r="F65" s="115">
        <f t="shared" si="0"/>
        <v>17.121500000000001</v>
      </c>
      <c r="G65" s="114" t="s">
        <v>903</v>
      </c>
      <c r="H65" s="113">
        <f t="shared" si="6"/>
        <v>0</v>
      </c>
      <c r="I65" s="93">
        <f t="shared" si="13"/>
        <v>349554.63917525776</v>
      </c>
      <c r="J65" s="88">
        <f t="shared" si="14"/>
        <v>380975.28089887637</v>
      </c>
      <c r="K65" s="112">
        <f t="shared" si="4"/>
        <v>29.3215</v>
      </c>
      <c r="L65" s="84">
        <v>0</v>
      </c>
      <c r="M65" s="115"/>
      <c r="N65" s="111">
        <f t="shared" si="5"/>
        <v>479732.87491953</v>
      </c>
      <c r="O65" s="112" t="s">
        <v>25</v>
      </c>
      <c r="P65" s="116" t="s">
        <v>38</v>
      </c>
    </row>
    <row r="66" spans="1:16" x14ac:dyDescent="0.2">
      <c r="A66" s="116" t="s">
        <v>1179</v>
      </c>
      <c r="B66" s="116" t="s">
        <v>1180</v>
      </c>
      <c r="C66" s="98">
        <v>771448</v>
      </c>
      <c r="D66" s="1">
        <v>3</v>
      </c>
      <c r="E66" s="116">
        <v>14.15</v>
      </c>
      <c r="F66" s="115">
        <f t="shared" si="0"/>
        <v>17.121500000000001</v>
      </c>
      <c r="G66" s="114" t="s">
        <v>1300</v>
      </c>
      <c r="H66" s="113">
        <f t="shared" ref="H66:H98" si="15">(IF(G66=$G$3,$H$3)+IF(G66=$G$4,$H$4)+IF(G66=$G$5,$H$5)+IF(G66=$G$6,$H$6)+IF(G66=$G$7,$H$7)+IF(G66=$G$8,$H$8)+IF(G66=$G$9,$H$9)+IF(G66=$G$10,$H$10)+IF(G66=$G$11,$H$11))</f>
        <v>0</v>
      </c>
      <c r="I66" s="93">
        <f t="shared" si="13"/>
        <v>795307.21649484534</v>
      </c>
      <c r="J66" s="88">
        <f t="shared" si="14"/>
        <v>866795.50561797747</v>
      </c>
      <c r="K66" s="112">
        <f t="shared" si="4"/>
        <v>29.3215</v>
      </c>
      <c r="L66" s="84">
        <v>0</v>
      </c>
      <c r="M66" s="115"/>
      <c r="N66" s="111">
        <f t="shared" si="5"/>
        <v>1091488.9252035627</v>
      </c>
      <c r="O66" s="112" t="s">
        <v>25</v>
      </c>
      <c r="P66" s="116" t="s">
        <v>38</v>
      </c>
    </row>
    <row r="67" spans="1:16" x14ac:dyDescent="0.2">
      <c r="A67" s="116" t="s">
        <v>1469</v>
      </c>
      <c r="B67" s="116" t="s">
        <v>1470</v>
      </c>
      <c r="C67" s="98">
        <v>290000</v>
      </c>
      <c r="D67" s="1">
        <v>3</v>
      </c>
      <c r="E67" s="116">
        <v>14.15</v>
      </c>
      <c r="F67" s="115">
        <f>E67*1.21</f>
        <v>17.121500000000001</v>
      </c>
      <c r="G67" s="114" t="s">
        <v>1619</v>
      </c>
      <c r="H67" s="113">
        <f>(IF(G67=$G$3,$H$3)+IF(G67=$G$4,$H$4)+IF(G67=$G$5,$H$5)+IF(G67=$G$6,$H$6)+IF(G67=$G$7,$H$7)+IF(G67=$G$8,$H$8)+IF(G67=$G$9,$H$9)+IF(G67=$G$10,$H$10)+IF(G67=$G$11,$H$11))</f>
        <v>16.213999999999999</v>
      </c>
      <c r="I67" s="93">
        <f t="shared" si="13"/>
        <v>298969.07216494845</v>
      </c>
      <c r="J67" s="88">
        <f t="shared" si="14"/>
        <v>325842.69662921346</v>
      </c>
      <c r="K67" s="112">
        <f t="shared" si="4"/>
        <v>45.535499999999999</v>
      </c>
      <c r="L67" s="84"/>
      <c r="M67" s="115"/>
      <c r="N67" s="111">
        <f t="shared" si="5"/>
        <v>532456.92148096464</v>
      </c>
      <c r="O67" s="112" t="s">
        <v>1094</v>
      </c>
      <c r="P67" s="116" t="s">
        <v>38</v>
      </c>
    </row>
    <row r="68" spans="1:16" x14ac:dyDescent="0.2">
      <c r="A68" s="116" t="s">
        <v>1471</v>
      </c>
      <c r="B68" s="116" t="s">
        <v>1472</v>
      </c>
      <c r="C68" s="98">
        <v>309449</v>
      </c>
      <c r="D68" s="1">
        <v>3</v>
      </c>
      <c r="E68" s="116">
        <v>14.15</v>
      </c>
      <c r="F68" s="115">
        <f>E68*1.21</f>
        <v>17.121500000000001</v>
      </c>
      <c r="G68" s="114" t="s">
        <v>903</v>
      </c>
      <c r="H68" s="113">
        <f>(IF(G68=$G$3,$H$3)+IF(G68=$G$4,$H$4)+IF(G68=$G$5,$H$5)+IF(G68=$G$6,$H$6)+IF(G68=$G$7,$H$7)+IF(G68=$G$8,$H$8)+IF(G68=$G$9,$H$9)+IF(G68=$G$10,$H$10)+IF(G68=$G$11,$H$11))</f>
        <v>0</v>
      </c>
      <c r="I68" s="93">
        <f t="shared" si="13"/>
        <v>319019.58762886596</v>
      </c>
      <c r="J68" s="88">
        <f t="shared" si="14"/>
        <v>347695.50561797753</v>
      </c>
      <c r="K68" s="112">
        <f t="shared" si="4"/>
        <v>29.3215</v>
      </c>
      <c r="L68" s="84"/>
      <c r="M68" s="115"/>
      <c r="N68" s="111">
        <f t="shared" si="5"/>
        <v>437826.21306337853</v>
      </c>
      <c r="O68" s="112" t="s">
        <v>1094</v>
      </c>
      <c r="P68" s="116" t="s">
        <v>38</v>
      </c>
    </row>
    <row r="69" spans="1:16" x14ac:dyDescent="0.2">
      <c r="A69" s="116" t="s">
        <v>1578</v>
      </c>
      <c r="B69" s="116" t="s">
        <v>1585</v>
      </c>
      <c r="C69" s="98">
        <v>319506</v>
      </c>
      <c r="D69" s="1">
        <v>3</v>
      </c>
      <c r="E69" s="116">
        <v>14.15</v>
      </c>
      <c r="F69" s="115">
        <f>E69*1.21</f>
        <v>17.121500000000001</v>
      </c>
      <c r="G69" s="114" t="s">
        <v>903</v>
      </c>
      <c r="H69" s="113">
        <f>(IF(G69=$G$3,$H$3)+IF(G69=$G$4,$H$4)+IF(G69=$G$5,$H$5)+IF(G69=$G$6,$H$6)+IF(G69=$G$7,$H$7)+IF(G69=$G$8,$H$8)+IF(G69=$G$9,$H$9)+IF(G69=$G$10,$H$10)+IF(G69=$G$11,$H$11))</f>
        <v>0</v>
      </c>
      <c r="I69" s="93">
        <f t="shared" si="13"/>
        <v>329387.62886597938</v>
      </c>
      <c r="J69" s="88">
        <f t="shared" si="14"/>
        <v>358995.50561797753</v>
      </c>
      <c r="K69" s="112">
        <f t="shared" si="4"/>
        <v>29.3215</v>
      </c>
      <c r="L69" s="84"/>
      <c r="M69" s="115"/>
      <c r="N69" s="111">
        <f t="shared" si="5"/>
        <v>452055.43411362718</v>
      </c>
      <c r="O69" s="112" t="s">
        <v>1094</v>
      </c>
      <c r="P69" s="116" t="s">
        <v>38</v>
      </c>
    </row>
    <row r="70" spans="1:16" x14ac:dyDescent="0.2">
      <c r="A70" s="116" t="s">
        <v>1229</v>
      </c>
      <c r="B70" s="116" t="s">
        <v>1230</v>
      </c>
      <c r="C70" s="98">
        <v>479900</v>
      </c>
      <c r="D70" s="1">
        <v>7</v>
      </c>
      <c r="E70" s="116">
        <v>14.15</v>
      </c>
      <c r="F70" s="115">
        <f>E70*1.21</f>
        <v>17.121500000000001</v>
      </c>
      <c r="G70" s="114" t="s">
        <v>903</v>
      </c>
      <c r="H70" s="113">
        <f>(IF(G70=$G$3,$H$3)+IF(G70=$G$4,$H$4)+IF(G70=$G$5,$H$5)+IF(G70=$G$6,$H$6)+IF(G70=$G$7,$H$7)+IF(G70=$G$8,$H$8)+IF(G70=$G$9,$H$9)+IF(G70=$G$10,$H$10)+IF(G70=$G$11,$H$11))</f>
        <v>0</v>
      </c>
      <c r="I70" s="93">
        <f t="shared" si="13"/>
        <v>516021.50537634408</v>
      </c>
      <c r="J70" s="88">
        <f t="shared" si="14"/>
        <v>564588.23529411759</v>
      </c>
      <c r="K70" s="112">
        <f t="shared" si="4"/>
        <v>33.3215</v>
      </c>
      <c r="L70" s="84">
        <v>0</v>
      </c>
      <c r="M70" s="115"/>
      <c r="N70" s="111">
        <f t="shared" si="5"/>
        <v>719722.24930074916</v>
      </c>
      <c r="O70" s="112" t="s">
        <v>1094</v>
      </c>
      <c r="P70" s="116" t="s">
        <v>38</v>
      </c>
    </row>
    <row r="71" spans="1:16" x14ac:dyDescent="0.2">
      <c r="A71" s="116" t="s">
        <v>188</v>
      </c>
      <c r="B71" s="116" t="s">
        <v>189</v>
      </c>
      <c r="C71" s="98">
        <v>502645</v>
      </c>
      <c r="D71" s="1">
        <v>3</v>
      </c>
      <c r="E71" s="116">
        <v>14.15</v>
      </c>
      <c r="F71" s="115">
        <f t="shared" si="0"/>
        <v>17.121500000000001</v>
      </c>
      <c r="G71" s="114" t="s">
        <v>903</v>
      </c>
      <c r="H71" s="113">
        <f t="shared" si="15"/>
        <v>0</v>
      </c>
      <c r="I71" s="93">
        <f t="shared" si="13"/>
        <v>518190.72164948453</v>
      </c>
      <c r="J71" s="88">
        <f t="shared" si="14"/>
        <v>564769.66292134835</v>
      </c>
      <c r="K71" s="112">
        <f t="shared" si="4"/>
        <v>29.3215</v>
      </c>
      <c r="L71" s="84">
        <v>0</v>
      </c>
      <c r="M71" s="115"/>
      <c r="N71" s="111">
        <f t="shared" si="5"/>
        <v>711171.00674179557</v>
      </c>
      <c r="O71" s="112" t="s">
        <v>190</v>
      </c>
      <c r="P71" s="116" t="s">
        <v>45</v>
      </c>
    </row>
    <row r="72" spans="1:16" x14ac:dyDescent="0.2">
      <c r="A72" s="116" t="s">
        <v>57</v>
      </c>
      <c r="B72" s="116" t="s">
        <v>58</v>
      </c>
      <c r="C72" s="98">
        <v>490000</v>
      </c>
      <c r="D72" s="1">
        <v>3</v>
      </c>
      <c r="E72" s="116">
        <v>14.15</v>
      </c>
      <c r="F72" s="115">
        <f t="shared" si="0"/>
        <v>17.121500000000001</v>
      </c>
      <c r="G72" s="114" t="s">
        <v>903</v>
      </c>
      <c r="H72" s="113">
        <f t="shared" si="15"/>
        <v>0</v>
      </c>
      <c r="I72" s="93">
        <f t="shared" si="13"/>
        <v>505154.63917525776</v>
      </c>
      <c r="J72" s="88">
        <f t="shared" si="14"/>
        <v>550561.79775280901</v>
      </c>
      <c r="K72" s="112">
        <f t="shared" si="4"/>
        <v>29.3215</v>
      </c>
      <c r="L72" s="84">
        <v>0</v>
      </c>
      <c r="M72" s="115"/>
      <c r="N72" s="111">
        <f t="shared" si="5"/>
        <v>693280.1346944262</v>
      </c>
      <c r="O72" s="112" t="s">
        <v>59</v>
      </c>
      <c r="P72" s="116" t="s">
        <v>45</v>
      </c>
    </row>
    <row r="73" spans="1:16" x14ac:dyDescent="0.2">
      <c r="A73" s="116" t="s">
        <v>43</v>
      </c>
      <c r="B73" s="116" t="s">
        <v>44</v>
      </c>
      <c r="C73" s="98">
        <v>754281</v>
      </c>
      <c r="D73" s="1">
        <v>3</v>
      </c>
      <c r="E73" s="116">
        <v>14.15</v>
      </c>
      <c r="F73" s="115">
        <f t="shared" si="0"/>
        <v>17.121500000000001</v>
      </c>
      <c r="G73" s="114" t="s">
        <v>1299</v>
      </c>
      <c r="H73" s="113">
        <f t="shared" si="15"/>
        <v>0</v>
      </c>
      <c r="I73" s="93">
        <f t="shared" si="13"/>
        <v>777609.27835051552</v>
      </c>
      <c r="J73" s="88">
        <f t="shared" si="14"/>
        <v>847506.74157303374</v>
      </c>
      <c r="K73" s="112">
        <f t="shared" si="4"/>
        <v>29.3215</v>
      </c>
      <c r="L73" s="84">
        <v>0</v>
      </c>
      <c r="M73" s="115"/>
      <c r="N73" s="111">
        <f t="shared" si="5"/>
        <v>1067200.067913156</v>
      </c>
      <c r="O73" s="112" t="s">
        <v>15</v>
      </c>
      <c r="P73" s="116" t="s">
        <v>45</v>
      </c>
    </row>
    <row r="74" spans="1:16" x14ac:dyDescent="0.2">
      <c r="A74" s="116" t="s">
        <v>74</v>
      </c>
      <c r="B74" s="116" t="s">
        <v>75</v>
      </c>
      <c r="C74" s="98">
        <v>676567</v>
      </c>
      <c r="D74" s="1">
        <v>2</v>
      </c>
      <c r="E74" s="116">
        <v>14.15</v>
      </c>
      <c r="F74" s="115">
        <f t="shared" si="0"/>
        <v>17.121500000000001</v>
      </c>
      <c r="G74" s="114" t="s">
        <v>903</v>
      </c>
      <c r="H74" s="113">
        <f t="shared" si="15"/>
        <v>0</v>
      </c>
      <c r="I74" s="93">
        <f t="shared" si="13"/>
        <v>690374.48979591834</v>
      </c>
      <c r="J74" s="88">
        <f t="shared" si="14"/>
        <v>751741.11111111112</v>
      </c>
      <c r="K74" s="112">
        <f t="shared" si="4"/>
        <v>28.3215</v>
      </c>
      <c r="L74" s="84">
        <v>0</v>
      </c>
      <c r="M74" s="115"/>
      <c r="N74" s="111">
        <f t="shared" si="5"/>
        <v>943891.12495378673</v>
      </c>
      <c r="O74" s="112" t="s">
        <v>15</v>
      </c>
      <c r="P74" s="116" t="s">
        <v>45</v>
      </c>
    </row>
    <row r="75" spans="1:16" x14ac:dyDescent="0.2">
      <c r="A75" s="116" t="s">
        <v>981</v>
      </c>
      <c r="B75" s="116" t="s">
        <v>980</v>
      </c>
      <c r="C75" s="98">
        <v>627096.42000000004</v>
      </c>
      <c r="D75" s="1">
        <v>3</v>
      </c>
      <c r="E75" s="116">
        <v>14.15</v>
      </c>
      <c r="F75" s="115">
        <f t="shared" si="0"/>
        <v>17.121500000000001</v>
      </c>
      <c r="G75" s="114" t="s">
        <v>903</v>
      </c>
      <c r="H75" s="113">
        <f t="shared" si="15"/>
        <v>0</v>
      </c>
      <c r="I75" s="93">
        <f t="shared" si="13"/>
        <v>646491.15463917528</v>
      </c>
      <c r="J75" s="88">
        <f t="shared" si="14"/>
        <v>704602.71910112363</v>
      </c>
      <c r="K75" s="112">
        <f t="shared" si="4"/>
        <v>29.3215</v>
      </c>
      <c r="L75" s="84">
        <v>0</v>
      </c>
      <c r="M75" s="115"/>
      <c r="N75" s="111">
        <f t="shared" si="5"/>
        <v>887252.02147753572</v>
      </c>
      <c r="O75" s="112" t="s">
        <v>983</v>
      </c>
      <c r="P75" s="116" t="s">
        <v>45</v>
      </c>
    </row>
    <row r="76" spans="1:16" x14ac:dyDescent="0.2">
      <c r="A76" s="116" t="s">
        <v>1010</v>
      </c>
      <c r="B76" s="116" t="s">
        <v>1011</v>
      </c>
      <c r="C76" s="98">
        <v>442880.62</v>
      </c>
      <c r="D76" s="1">
        <v>5</v>
      </c>
      <c r="E76" s="116">
        <v>14.15</v>
      </c>
      <c r="F76" s="115">
        <f t="shared" si="0"/>
        <v>17.121500000000001</v>
      </c>
      <c r="G76" s="114" t="s">
        <v>903</v>
      </c>
      <c r="H76" s="113">
        <f t="shared" si="15"/>
        <v>0</v>
      </c>
      <c r="I76" s="93">
        <f t="shared" si="13"/>
        <v>466190.12631578947</v>
      </c>
      <c r="J76" s="88">
        <f t="shared" si="14"/>
        <v>509058.18390804599</v>
      </c>
      <c r="K76" s="112">
        <f t="shared" si="4"/>
        <v>31.3215</v>
      </c>
      <c r="L76" s="84">
        <v>0</v>
      </c>
      <c r="M76" s="115"/>
      <c r="N76" s="111">
        <f t="shared" si="5"/>
        <v>644860.64780098572</v>
      </c>
      <c r="O76" s="112" t="s">
        <v>983</v>
      </c>
      <c r="P76" s="116" t="s">
        <v>45</v>
      </c>
    </row>
    <row r="77" spans="1:16" x14ac:dyDescent="0.2">
      <c r="A77" s="116" t="s">
        <v>1031</v>
      </c>
      <c r="B77" s="116" t="s">
        <v>1032</v>
      </c>
      <c r="C77" s="98">
        <v>525153.71</v>
      </c>
      <c r="D77" s="1">
        <v>5</v>
      </c>
      <c r="E77" s="116">
        <v>14.15</v>
      </c>
      <c r="F77" s="115">
        <f t="shared" si="0"/>
        <v>17.121500000000001</v>
      </c>
      <c r="G77" s="114" t="s">
        <v>903</v>
      </c>
      <c r="H77" s="113">
        <f t="shared" si="15"/>
        <v>0</v>
      </c>
      <c r="I77" s="93">
        <f t="shared" si="13"/>
        <v>552793.37894736836</v>
      </c>
      <c r="J77" s="88">
        <f t="shared" si="14"/>
        <v>603624.95402298844</v>
      </c>
      <c r="K77" s="112">
        <f t="shared" si="4"/>
        <v>31.3215</v>
      </c>
      <c r="L77" s="84">
        <v>0</v>
      </c>
      <c r="M77" s="115"/>
      <c r="N77" s="111">
        <f t="shared" si="5"/>
        <v>764655.1832087189</v>
      </c>
      <c r="O77" s="112" t="s">
        <v>1033</v>
      </c>
      <c r="P77" s="116" t="s">
        <v>45</v>
      </c>
    </row>
    <row r="78" spans="1:16" x14ac:dyDescent="0.2">
      <c r="A78" s="116" t="s">
        <v>1062</v>
      </c>
      <c r="B78" s="116" t="s">
        <v>1078</v>
      </c>
      <c r="C78" s="98">
        <v>481000</v>
      </c>
      <c r="D78" s="1">
        <v>5</v>
      </c>
      <c r="E78" s="116">
        <v>14.15</v>
      </c>
      <c r="F78" s="115">
        <f t="shared" si="0"/>
        <v>17.121500000000001</v>
      </c>
      <c r="G78" s="114" t="s">
        <v>903</v>
      </c>
      <c r="H78" s="113">
        <f t="shared" si="15"/>
        <v>0</v>
      </c>
      <c r="I78" s="93">
        <f t="shared" si="13"/>
        <v>506315.78947368421</v>
      </c>
      <c r="J78" s="88">
        <f t="shared" si="14"/>
        <v>552873.5632183908</v>
      </c>
      <c r="K78" s="112">
        <f t="shared" ref="K78:K141" si="16">(D78+8+1.2)+(F78+H78)</f>
        <v>31.3215</v>
      </c>
      <c r="L78" s="84">
        <v>0</v>
      </c>
      <c r="M78" s="115"/>
      <c r="N78" s="111">
        <f t="shared" ref="N78:N141" si="17">C78/((100-K78)/100)+L78</f>
        <v>700364.74296905147</v>
      </c>
      <c r="O78" s="112" t="s">
        <v>15</v>
      </c>
      <c r="P78" s="116" t="s">
        <v>45</v>
      </c>
    </row>
    <row r="79" spans="1:16" x14ac:dyDescent="0.2">
      <c r="A79" s="116" t="s">
        <v>1034</v>
      </c>
      <c r="B79" s="116" t="s">
        <v>1035</v>
      </c>
      <c r="C79" s="98">
        <v>442880.62</v>
      </c>
      <c r="D79" s="1">
        <v>3</v>
      </c>
      <c r="E79" s="116">
        <v>14.15</v>
      </c>
      <c r="F79" s="115">
        <f t="shared" si="0"/>
        <v>17.121500000000001</v>
      </c>
      <c r="G79" s="114" t="s">
        <v>1299</v>
      </c>
      <c r="H79" s="113">
        <f t="shared" si="15"/>
        <v>0</v>
      </c>
      <c r="I79" s="93">
        <f t="shared" si="13"/>
        <v>456577.95876288658</v>
      </c>
      <c r="J79" s="88">
        <f t="shared" si="14"/>
        <v>497618.67415730335</v>
      </c>
      <c r="K79" s="112">
        <f t="shared" si="16"/>
        <v>29.3215</v>
      </c>
      <c r="L79" s="84">
        <v>0</v>
      </c>
      <c r="M79" s="115"/>
      <c r="N79" s="111">
        <f t="shared" si="17"/>
        <v>626612.93038194079</v>
      </c>
      <c r="O79" s="112" t="s">
        <v>1033</v>
      </c>
      <c r="P79" s="116" t="s">
        <v>45</v>
      </c>
    </row>
    <row r="80" spans="1:16" x14ac:dyDescent="0.2">
      <c r="A80" s="116" t="s">
        <v>1155</v>
      </c>
      <c r="B80" s="116" t="s">
        <v>1156</v>
      </c>
      <c r="C80" s="98">
        <v>387000</v>
      </c>
      <c r="D80" s="1">
        <v>3</v>
      </c>
      <c r="E80" s="116">
        <v>14.15</v>
      </c>
      <c r="F80" s="115">
        <f t="shared" si="0"/>
        <v>17.121500000000001</v>
      </c>
      <c r="G80" s="114" t="s">
        <v>903</v>
      </c>
      <c r="H80" s="113">
        <f t="shared" si="15"/>
        <v>0</v>
      </c>
      <c r="I80" s="93">
        <f t="shared" si="13"/>
        <v>398969.07216494845</v>
      </c>
      <c r="J80" s="88">
        <f t="shared" si="14"/>
        <v>434831.46067415731</v>
      </c>
      <c r="K80" s="112">
        <f t="shared" si="16"/>
        <v>29.3215</v>
      </c>
      <c r="L80" s="84">
        <v>0</v>
      </c>
      <c r="M80" s="115"/>
      <c r="N80" s="111">
        <f t="shared" si="17"/>
        <v>547549.82066682226</v>
      </c>
      <c r="O80" s="112" t="s">
        <v>1094</v>
      </c>
      <c r="P80" s="116" t="s">
        <v>45</v>
      </c>
    </row>
    <row r="81" spans="1:16" x14ac:dyDescent="0.2">
      <c r="A81" s="116" t="s">
        <v>1067</v>
      </c>
      <c r="B81" s="116" t="s">
        <v>1077</v>
      </c>
      <c r="C81" s="98">
        <v>107802.5</v>
      </c>
      <c r="D81" s="1">
        <v>5</v>
      </c>
      <c r="E81" s="116">
        <v>14.15</v>
      </c>
      <c r="F81" s="115">
        <f t="shared" si="0"/>
        <v>17.121500000000001</v>
      </c>
      <c r="G81" s="114" t="s">
        <v>903</v>
      </c>
      <c r="H81" s="113">
        <f t="shared" si="15"/>
        <v>0</v>
      </c>
      <c r="I81" s="93">
        <f t="shared" si="13"/>
        <v>113476.31578947369</v>
      </c>
      <c r="J81" s="88">
        <f t="shared" si="14"/>
        <v>123910.91954022988</v>
      </c>
      <c r="K81" s="112">
        <f t="shared" si="16"/>
        <v>31.3215</v>
      </c>
      <c r="L81" s="84">
        <v>0</v>
      </c>
      <c r="M81" s="115"/>
      <c r="N81" s="111">
        <f t="shared" si="17"/>
        <v>156966.88192083404</v>
      </c>
      <c r="O81" s="112" t="s">
        <v>1093</v>
      </c>
      <c r="P81" s="116" t="s">
        <v>78</v>
      </c>
    </row>
    <row r="82" spans="1:16" x14ac:dyDescent="0.2">
      <c r="A82" s="116" t="s">
        <v>50</v>
      </c>
      <c r="B82" s="116" t="s">
        <v>51</v>
      </c>
      <c r="C82" s="98">
        <v>113332.67</v>
      </c>
      <c r="D82" s="1">
        <v>8</v>
      </c>
      <c r="E82" s="116">
        <v>14.15</v>
      </c>
      <c r="F82" s="115">
        <f t="shared" si="0"/>
        <v>17.121500000000001</v>
      </c>
      <c r="G82" s="114" t="s">
        <v>903</v>
      </c>
      <c r="H82" s="113">
        <f t="shared" si="15"/>
        <v>0</v>
      </c>
      <c r="I82" s="93">
        <f t="shared" si="13"/>
        <v>123187.68478260869</v>
      </c>
      <c r="J82" s="88">
        <f t="shared" si="14"/>
        <v>134919.84523809524</v>
      </c>
      <c r="K82" s="112">
        <f t="shared" si="16"/>
        <v>34.3215</v>
      </c>
      <c r="L82" s="84">
        <v>0</v>
      </c>
      <c r="M82" s="115"/>
      <c r="N82" s="111">
        <f t="shared" si="17"/>
        <v>172556.72708725079</v>
      </c>
      <c r="O82" s="112" t="s">
        <v>29</v>
      </c>
      <c r="P82" s="116" t="s">
        <v>52</v>
      </c>
    </row>
    <row r="83" spans="1:16" x14ac:dyDescent="0.2">
      <c r="A83" s="116" t="s">
        <v>76</v>
      </c>
      <c r="B83" s="116" t="s">
        <v>77</v>
      </c>
      <c r="C83" s="98">
        <v>76544.39</v>
      </c>
      <c r="D83" s="1">
        <v>3</v>
      </c>
      <c r="E83" s="116">
        <v>14.15</v>
      </c>
      <c r="F83" s="115">
        <f t="shared" si="0"/>
        <v>17.121500000000001</v>
      </c>
      <c r="G83" s="114" t="s">
        <v>903</v>
      </c>
      <c r="H83" s="113">
        <f t="shared" si="15"/>
        <v>0</v>
      </c>
      <c r="I83" s="93">
        <f t="shared" si="13"/>
        <v>78911.742268041242</v>
      </c>
      <c r="J83" s="88">
        <f t="shared" si="14"/>
        <v>86004.932584269656</v>
      </c>
      <c r="K83" s="112">
        <f t="shared" si="16"/>
        <v>29.3215</v>
      </c>
      <c r="L83" s="84">
        <v>0</v>
      </c>
      <c r="M83" s="115"/>
      <c r="N83" s="111">
        <f t="shared" si="17"/>
        <v>108299.39797816875</v>
      </c>
      <c r="O83" s="112" t="s">
        <v>29</v>
      </c>
      <c r="P83" s="116" t="s">
        <v>78</v>
      </c>
    </row>
    <row r="84" spans="1:16" x14ac:dyDescent="0.2">
      <c r="A84" s="116" t="s">
        <v>98</v>
      </c>
      <c r="B84" s="116" t="s">
        <v>99</v>
      </c>
      <c r="C84" s="98">
        <v>71426.259999999995</v>
      </c>
      <c r="D84" s="1">
        <v>3</v>
      </c>
      <c r="E84" s="116">
        <v>14.15</v>
      </c>
      <c r="F84" s="115">
        <f t="shared" si="0"/>
        <v>17.121500000000001</v>
      </c>
      <c r="G84" s="114" t="s">
        <v>903</v>
      </c>
      <c r="H84" s="113">
        <f t="shared" si="15"/>
        <v>0</v>
      </c>
      <c r="I84" s="93">
        <f t="shared" si="13"/>
        <v>73635.319587628866</v>
      </c>
      <c r="J84" s="88">
        <f t="shared" si="14"/>
        <v>80254.224719101112</v>
      </c>
      <c r="K84" s="112">
        <f t="shared" si="16"/>
        <v>29.3215</v>
      </c>
      <c r="L84" s="84">
        <v>0</v>
      </c>
      <c r="M84" s="115"/>
      <c r="N84" s="111">
        <f t="shared" si="17"/>
        <v>101057.97378269205</v>
      </c>
      <c r="O84" s="112" t="s">
        <v>35</v>
      </c>
      <c r="P84" s="116" t="s">
        <v>52</v>
      </c>
    </row>
    <row r="85" spans="1:16" x14ac:dyDescent="0.2">
      <c r="A85" s="116" t="s">
        <v>128</v>
      </c>
      <c r="B85" s="116" t="s">
        <v>129</v>
      </c>
      <c r="C85" s="98">
        <v>98784.57</v>
      </c>
      <c r="D85" s="1">
        <v>3</v>
      </c>
      <c r="E85" s="116">
        <v>14.15</v>
      </c>
      <c r="F85" s="115">
        <f t="shared" si="0"/>
        <v>17.121500000000001</v>
      </c>
      <c r="G85" s="114" t="s">
        <v>903</v>
      </c>
      <c r="H85" s="113">
        <f t="shared" si="15"/>
        <v>0</v>
      </c>
      <c r="I85" s="93">
        <f t="shared" si="13"/>
        <v>101839.76288659795</v>
      </c>
      <c r="J85" s="88">
        <f t="shared" si="14"/>
        <v>110993.89887640451</v>
      </c>
      <c r="K85" s="112">
        <f t="shared" si="16"/>
        <v>29.3215</v>
      </c>
      <c r="L85" s="84">
        <v>0</v>
      </c>
      <c r="M85" s="115"/>
      <c r="N85" s="111">
        <f t="shared" si="17"/>
        <v>139766.08162312445</v>
      </c>
      <c r="O85" s="112" t="s">
        <v>35</v>
      </c>
      <c r="P85" s="116" t="s">
        <v>52</v>
      </c>
    </row>
    <row r="86" spans="1:16" x14ac:dyDescent="0.2">
      <c r="A86" s="116" t="s">
        <v>141</v>
      </c>
      <c r="B86" s="116" t="s">
        <v>142</v>
      </c>
      <c r="C86" s="98">
        <v>94545</v>
      </c>
      <c r="D86" s="1">
        <v>3</v>
      </c>
      <c r="E86" s="116">
        <v>14.15</v>
      </c>
      <c r="F86" s="115">
        <f t="shared" si="0"/>
        <v>17.121500000000001</v>
      </c>
      <c r="G86" s="114" t="s">
        <v>903</v>
      </c>
      <c r="H86" s="113">
        <f t="shared" si="15"/>
        <v>0</v>
      </c>
      <c r="I86" s="93">
        <f t="shared" si="13"/>
        <v>97469.072164948462</v>
      </c>
      <c r="J86" s="88">
        <f t="shared" si="14"/>
        <v>106230.33707865169</v>
      </c>
      <c r="K86" s="112">
        <f t="shared" si="16"/>
        <v>29.3215</v>
      </c>
      <c r="L86" s="84">
        <v>0</v>
      </c>
      <c r="M86" s="115"/>
      <c r="N86" s="111">
        <f t="shared" si="17"/>
        <v>133767.69456058065</v>
      </c>
      <c r="O86" s="112" t="s">
        <v>29</v>
      </c>
      <c r="P86" s="116" t="s">
        <v>52</v>
      </c>
    </row>
    <row r="87" spans="1:16" x14ac:dyDescent="0.2">
      <c r="A87" s="116" t="s">
        <v>157</v>
      </c>
      <c r="B87" s="116" t="s">
        <v>158</v>
      </c>
      <c r="C87" s="98">
        <v>86871.33</v>
      </c>
      <c r="D87" s="1">
        <v>3</v>
      </c>
      <c r="E87" s="116">
        <v>14.15</v>
      </c>
      <c r="F87" s="115">
        <f t="shared" si="0"/>
        <v>17.121500000000001</v>
      </c>
      <c r="G87" s="114" t="s">
        <v>903</v>
      </c>
      <c r="H87" s="113">
        <f t="shared" si="15"/>
        <v>0</v>
      </c>
      <c r="I87" s="93">
        <f t="shared" si="13"/>
        <v>89558.072164948462</v>
      </c>
      <c r="J87" s="88">
        <f t="shared" si="14"/>
        <v>97608.235955056181</v>
      </c>
      <c r="K87" s="112">
        <f t="shared" si="16"/>
        <v>29.3215</v>
      </c>
      <c r="L87" s="84">
        <v>0</v>
      </c>
      <c r="M87" s="115"/>
      <c r="N87" s="111">
        <f t="shared" si="17"/>
        <v>122910.54563976315</v>
      </c>
      <c r="O87" s="112" t="s">
        <v>35</v>
      </c>
      <c r="P87" s="116" t="s">
        <v>52</v>
      </c>
    </row>
    <row r="88" spans="1:16" x14ac:dyDescent="0.2">
      <c r="A88" s="116" t="s">
        <v>195</v>
      </c>
      <c r="B88" s="116" t="s">
        <v>196</v>
      </c>
      <c r="C88" s="98">
        <v>46492.75</v>
      </c>
      <c r="D88" s="1">
        <v>3</v>
      </c>
      <c r="E88" s="116">
        <v>14.15</v>
      </c>
      <c r="F88" s="115">
        <f t="shared" si="0"/>
        <v>17.121500000000001</v>
      </c>
      <c r="G88" s="114" t="s">
        <v>903</v>
      </c>
      <c r="H88" s="113">
        <f t="shared" si="15"/>
        <v>0</v>
      </c>
      <c r="I88" s="93">
        <f t="shared" ref="I88:I119" si="18">(C88/(($J$3-D88)/100))</f>
        <v>47930.670103092787</v>
      </c>
      <c r="J88" s="88">
        <f t="shared" ref="J88:J119" si="19">(C88/(($J$3-D88)/100-(0.08)))</f>
        <v>52239.044943820227</v>
      </c>
      <c r="K88" s="112">
        <f t="shared" si="16"/>
        <v>29.3215</v>
      </c>
      <c r="L88" s="84">
        <v>0</v>
      </c>
      <c r="M88" s="115"/>
      <c r="N88" s="111">
        <f t="shared" si="17"/>
        <v>65780.612208804654</v>
      </c>
      <c r="O88" s="112" t="s">
        <v>197</v>
      </c>
      <c r="P88" s="116" t="s">
        <v>52</v>
      </c>
    </row>
    <row r="89" spans="1:16" x14ac:dyDescent="0.2">
      <c r="A89" s="116" t="s">
        <v>1012</v>
      </c>
      <c r="B89" s="116" t="s">
        <v>1013</v>
      </c>
      <c r="C89" s="98">
        <v>56572</v>
      </c>
      <c r="D89" s="1">
        <v>5</v>
      </c>
      <c r="E89" s="116">
        <v>14.15</v>
      </c>
      <c r="F89" s="115">
        <f t="shared" ref="F89:F173" si="20">E89*1.21</f>
        <v>17.121500000000001</v>
      </c>
      <c r="G89" s="114" t="s">
        <v>903</v>
      </c>
      <c r="H89" s="113">
        <f t="shared" si="15"/>
        <v>0</v>
      </c>
      <c r="I89" s="93">
        <f t="shared" si="18"/>
        <v>59549.473684210527</v>
      </c>
      <c r="J89" s="88">
        <f t="shared" si="19"/>
        <v>65025.287356321838</v>
      </c>
      <c r="K89" s="112">
        <f t="shared" si="16"/>
        <v>31.3215</v>
      </c>
      <c r="L89" s="84">
        <v>0</v>
      </c>
      <c r="M89" s="115"/>
      <c r="N89" s="111">
        <f t="shared" si="17"/>
        <v>82372.212555603284</v>
      </c>
      <c r="O89" s="112" t="s">
        <v>29</v>
      </c>
      <c r="P89" s="116" t="s">
        <v>78</v>
      </c>
    </row>
    <row r="90" spans="1:16" x14ac:dyDescent="0.2">
      <c r="A90" s="116" t="s">
        <v>325</v>
      </c>
      <c r="B90" s="116" t="s">
        <v>326</v>
      </c>
      <c r="C90" s="98">
        <v>80861.98</v>
      </c>
      <c r="D90" s="1">
        <v>3</v>
      </c>
      <c r="E90" s="116">
        <v>14.15</v>
      </c>
      <c r="F90" s="115">
        <f t="shared" si="20"/>
        <v>17.121500000000001</v>
      </c>
      <c r="G90" s="114" t="s">
        <v>903</v>
      </c>
      <c r="H90" s="113">
        <f t="shared" si="15"/>
        <v>0</v>
      </c>
      <c r="I90" s="93">
        <f t="shared" si="18"/>
        <v>83362.865979381444</v>
      </c>
      <c r="J90" s="88">
        <f t="shared" si="19"/>
        <v>90856.157303370783</v>
      </c>
      <c r="K90" s="112">
        <f t="shared" si="16"/>
        <v>29.3215</v>
      </c>
      <c r="L90" s="84">
        <v>0</v>
      </c>
      <c r="M90" s="115"/>
      <c r="N90" s="111">
        <f t="shared" si="17"/>
        <v>114408.17221644489</v>
      </c>
      <c r="O90" s="112" t="s">
        <v>35</v>
      </c>
      <c r="P90" s="116" t="s">
        <v>52</v>
      </c>
    </row>
    <row r="91" spans="1:16" x14ac:dyDescent="0.2">
      <c r="A91" s="116" t="s">
        <v>1061</v>
      </c>
      <c r="B91" s="116" t="s">
        <v>1073</v>
      </c>
      <c r="C91" s="98">
        <v>70000</v>
      </c>
      <c r="D91" s="1">
        <v>3</v>
      </c>
      <c r="E91" s="116">
        <v>14.15</v>
      </c>
      <c r="F91" s="115">
        <f t="shared" si="20"/>
        <v>17.121500000000001</v>
      </c>
      <c r="G91" s="114" t="s">
        <v>903</v>
      </c>
      <c r="H91" s="113">
        <f t="shared" si="15"/>
        <v>0</v>
      </c>
      <c r="I91" s="93">
        <f t="shared" si="18"/>
        <v>72164.948453608245</v>
      </c>
      <c r="J91" s="88">
        <f t="shared" si="19"/>
        <v>78651.68539325842</v>
      </c>
      <c r="K91" s="112">
        <f t="shared" si="16"/>
        <v>29.3215</v>
      </c>
      <c r="L91" s="84">
        <v>6266</v>
      </c>
      <c r="M91" s="115"/>
      <c r="N91" s="111">
        <f t="shared" si="17"/>
        <v>105306.01924206088</v>
      </c>
      <c r="O91" s="112" t="s">
        <v>29</v>
      </c>
      <c r="P91" s="116" t="s">
        <v>28</v>
      </c>
    </row>
    <row r="92" spans="1:16" x14ac:dyDescent="0.2">
      <c r="A92" s="116" t="s">
        <v>62</v>
      </c>
      <c r="B92" s="116" t="s">
        <v>63</v>
      </c>
      <c r="C92" s="98">
        <v>206468.35</v>
      </c>
      <c r="D92" s="1">
        <v>3</v>
      </c>
      <c r="E92" s="116">
        <v>14.15</v>
      </c>
      <c r="F92" s="115">
        <f t="shared" si="20"/>
        <v>17.121500000000001</v>
      </c>
      <c r="G92" s="114" t="s">
        <v>1299</v>
      </c>
      <c r="H92" s="113">
        <f t="shared" si="15"/>
        <v>0</v>
      </c>
      <c r="I92" s="93">
        <f t="shared" si="18"/>
        <v>212853.96907216497</v>
      </c>
      <c r="J92" s="88">
        <f t="shared" si="19"/>
        <v>231986.91011235956</v>
      </c>
      <c r="K92" s="112">
        <f t="shared" si="16"/>
        <v>29.3215</v>
      </c>
      <c r="L92" s="84">
        <v>0</v>
      </c>
      <c r="M92" s="115"/>
      <c r="N92" s="111">
        <f t="shared" si="17"/>
        <v>292123.27652680804</v>
      </c>
      <c r="O92" s="112" t="s">
        <v>42</v>
      </c>
      <c r="P92" s="116" t="s">
        <v>64</v>
      </c>
    </row>
    <row r="93" spans="1:16" x14ac:dyDescent="0.2">
      <c r="A93" s="116" t="s">
        <v>68</v>
      </c>
      <c r="B93" s="116" t="s">
        <v>69</v>
      </c>
      <c r="C93" s="98">
        <v>206468.35</v>
      </c>
      <c r="D93" s="1">
        <v>3</v>
      </c>
      <c r="E93" s="116">
        <v>14.15</v>
      </c>
      <c r="F93" s="115">
        <f t="shared" si="20"/>
        <v>17.121500000000001</v>
      </c>
      <c r="G93" s="114" t="s">
        <v>903</v>
      </c>
      <c r="H93" s="113">
        <f t="shared" si="15"/>
        <v>0</v>
      </c>
      <c r="I93" s="93">
        <f t="shared" si="18"/>
        <v>212853.96907216497</v>
      </c>
      <c r="J93" s="88">
        <f t="shared" si="19"/>
        <v>231986.91011235956</v>
      </c>
      <c r="K93" s="112">
        <f t="shared" si="16"/>
        <v>29.3215</v>
      </c>
      <c r="L93" s="84">
        <v>0</v>
      </c>
      <c r="M93" s="115"/>
      <c r="N93" s="111">
        <f t="shared" si="17"/>
        <v>292123.27652680804</v>
      </c>
      <c r="O93" s="112" t="s">
        <v>42</v>
      </c>
      <c r="P93" s="116" t="s">
        <v>64</v>
      </c>
    </row>
    <row r="94" spans="1:16" x14ac:dyDescent="0.2">
      <c r="A94" s="116" t="s">
        <v>79</v>
      </c>
      <c r="B94" s="116" t="s">
        <v>80</v>
      </c>
      <c r="C94" s="98">
        <v>232267.97</v>
      </c>
      <c r="D94" s="1">
        <v>3</v>
      </c>
      <c r="E94" s="116">
        <v>14.15</v>
      </c>
      <c r="F94" s="115">
        <f t="shared" si="20"/>
        <v>17.121500000000001</v>
      </c>
      <c r="G94" s="114" t="s">
        <v>1302</v>
      </c>
      <c r="H94" s="113">
        <f t="shared" si="15"/>
        <v>0</v>
      </c>
      <c r="I94" s="93">
        <f t="shared" si="18"/>
        <v>239451.51546391755</v>
      </c>
      <c r="J94" s="88">
        <f t="shared" si="19"/>
        <v>260975.24719101124</v>
      </c>
      <c r="K94" s="112">
        <f t="shared" si="16"/>
        <v>29.3215</v>
      </c>
      <c r="L94" s="84">
        <v>0</v>
      </c>
      <c r="M94" s="115"/>
      <c r="N94" s="111">
        <f t="shared" si="17"/>
        <v>328626.0602587774</v>
      </c>
      <c r="O94" s="112" t="s">
        <v>42</v>
      </c>
      <c r="P94" s="116" t="s">
        <v>64</v>
      </c>
    </row>
    <row r="95" spans="1:16" x14ac:dyDescent="0.2">
      <c r="A95" s="116" t="s">
        <v>81</v>
      </c>
      <c r="B95" s="116" t="s">
        <v>82</v>
      </c>
      <c r="C95" s="98">
        <v>232267.97</v>
      </c>
      <c r="D95" s="1">
        <v>5</v>
      </c>
      <c r="E95" s="116">
        <v>14.15</v>
      </c>
      <c r="F95" s="115">
        <f t="shared" si="20"/>
        <v>17.121500000000001</v>
      </c>
      <c r="G95" s="114" t="s">
        <v>903</v>
      </c>
      <c r="H95" s="113">
        <f t="shared" si="15"/>
        <v>0</v>
      </c>
      <c r="I95" s="93">
        <f t="shared" si="18"/>
        <v>244492.6</v>
      </c>
      <c r="J95" s="88">
        <f t="shared" si="19"/>
        <v>266974.67816091952</v>
      </c>
      <c r="K95" s="112">
        <f t="shared" si="16"/>
        <v>31.3215</v>
      </c>
      <c r="L95" s="84">
        <v>0</v>
      </c>
      <c r="M95" s="115"/>
      <c r="N95" s="111">
        <f t="shared" si="17"/>
        <v>338196.04388564109</v>
      </c>
      <c r="O95" s="112" t="s">
        <v>42</v>
      </c>
      <c r="P95" s="116" t="s">
        <v>64</v>
      </c>
    </row>
    <row r="96" spans="1:16" x14ac:dyDescent="0.2">
      <c r="A96" s="116" t="s">
        <v>83</v>
      </c>
      <c r="B96" s="116" t="s">
        <v>84</v>
      </c>
      <c r="C96" s="98">
        <v>232267.97</v>
      </c>
      <c r="D96" s="1">
        <v>3</v>
      </c>
      <c r="E96" s="116">
        <v>14.15</v>
      </c>
      <c r="F96" s="115">
        <f t="shared" si="20"/>
        <v>17.121500000000001</v>
      </c>
      <c r="G96" s="114" t="s">
        <v>903</v>
      </c>
      <c r="H96" s="113">
        <f t="shared" si="15"/>
        <v>0</v>
      </c>
      <c r="I96" s="93">
        <f t="shared" si="18"/>
        <v>239451.51546391755</v>
      </c>
      <c r="J96" s="88">
        <f t="shared" si="19"/>
        <v>260975.24719101124</v>
      </c>
      <c r="K96" s="112">
        <f t="shared" si="16"/>
        <v>29.3215</v>
      </c>
      <c r="L96" s="84">
        <v>0</v>
      </c>
      <c r="M96" s="115"/>
      <c r="N96" s="111">
        <f t="shared" si="17"/>
        <v>328626.0602587774</v>
      </c>
      <c r="O96" s="112" t="s">
        <v>42</v>
      </c>
      <c r="P96" s="116" t="s">
        <v>64</v>
      </c>
    </row>
    <row r="97" spans="1:16" x14ac:dyDescent="0.2">
      <c r="A97" s="116" t="s">
        <v>85</v>
      </c>
      <c r="B97" s="116" t="s">
        <v>86</v>
      </c>
      <c r="C97" s="98">
        <v>206468.35</v>
      </c>
      <c r="D97" s="1">
        <v>3</v>
      </c>
      <c r="E97" s="116">
        <v>14.15</v>
      </c>
      <c r="F97" s="115">
        <f t="shared" si="20"/>
        <v>17.121500000000001</v>
      </c>
      <c r="G97" s="114" t="s">
        <v>1302</v>
      </c>
      <c r="H97" s="113">
        <f t="shared" si="15"/>
        <v>0</v>
      </c>
      <c r="I97" s="93">
        <f t="shared" si="18"/>
        <v>212853.96907216497</v>
      </c>
      <c r="J97" s="88">
        <f t="shared" si="19"/>
        <v>231986.91011235956</v>
      </c>
      <c r="K97" s="112">
        <f t="shared" si="16"/>
        <v>29.3215</v>
      </c>
      <c r="L97" s="84">
        <v>0</v>
      </c>
      <c r="M97" s="115"/>
      <c r="N97" s="111">
        <f t="shared" si="17"/>
        <v>292123.27652680804</v>
      </c>
      <c r="O97" s="112" t="s">
        <v>42</v>
      </c>
      <c r="P97" s="116" t="s">
        <v>64</v>
      </c>
    </row>
    <row r="98" spans="1:16" x14ac:dyDescent="0.2">
      <c r="A98" s="116" t="s">
        <v>89</v>
      </c>
      <c r="B98" s="116" t="s">
        <v>90</v>
      </c>
      <c r="C98" s="98">
        <v>232267.97</v>
      </c>
      <c r="D98" s="1">
        <v>3</v>
      </c>
      <c r="E98" s="116">
        <v>14.15</v>
      </c>
      <c r="F98" s="115">
        <f t="shared" si="20"/>
        <v>17.121500000000001</v>
      </c>
      <c r="G98" s="114" t="s">
        <v>903</v>
      </c>
      <c r="H98" s="113">
        <f t="shared" si="15"/>
        <v>0</v>
      </c>
      <c r="I98" s="93">
        <f t="shared" si="18"/>
        <v>239451.51546391755</v>
      </c>
      <c r="J98" s="88">
        <f t="shared" si="19"/>
        <v>260975.24719101124</v>
      </c>
      <c r="K98" s="112">
        <f t="shared" si="16"/>
        <v>29.3215</v>
      </c>
      <c r="L98" s="84">
        <v>0</v>
      </c>
      <c r="M98" s="115"/>
      <c r="N98" s="111">
        <f t="shared" si="17"/>
        <v>328626.0602587774</v>
      </c>
      <c r="O98" s="112" t="s">
        <v>42</v>
      </c>
      <c r="P98" s="116" t="s">
        <v>64</v>
      </c>
    </row>
    <row r="99" spans="1:16" x14ac:dyDescent="0.2">
      <c r="A99" s="116" t="s">
        <v>102</v>
      </c>
      <c r="B99" s="116" t="s">
        <v>103</v>
      </c>
      <c r="C99" s="98">
        <v>206468.35</v>
      </c>
      <c r="D99" s="1">
        <v>3</v>
      </c>
      <c r="E99" s="116">
        <v>14.15</v>
      </c>
      <c r="F99" s="115">
        <f t="shared" si="20"/>
        <v>17.121500000000001</v>
      </c>
      <c r="G99" s="114" t="s">
        <v>1300</v>
      </c>
      <c r="H99" s="113">
        <f t="shared" ref="H99:H147" si="21">(IF(G99=$G$3,$H$3)+IF(G99=$G$4,$H$4)+IF(G99=$G$5,$H$5)+IF(G99=$G$6,$H$6)+IF(G99=$G$7,$H$7)+IF(G99=$G$8,$H$8)+IF(G99=$G$9,$H$9)+IF(G99=$G$10,$H$10)+IF(G99=$G$11,$H$11))</f>
        <v>0</v>
      </c>
      <c r="I99" s="93">
        <f t="shared" si="18"/>
        <v>212853.96907216497</v>
      </c>
      <c r="J99" s="88">
        <f t="shared" si="19"/>
        <v>231986.91011235956</v>
      </c>
      <c r="K99" s="112">
        <f t="shared" si="16"/>
        <v>29.3215</v>
      </c>
      <c r="L99" s="84">
        <v>0</v>
      </c>
      <c r="M99" s="115"/>
      <c r="N99" s="111">
        <f t="shared" si="17"/>
        <v>292123.27652680804</v>
      </c>
      <c r="O99" s="112" t="s">
        <v>42</v>
      </c>
      <c r="P99" s="116" t="s">
        <v>64</v>
      </c>
    </row>
    <row r="100" spans="1:16" x14ac:dyDescent="0.2">
      <c r="A100" s="116" t="s">
        <v>115</v>
      </c>
      <c r="B100" s="116" t="s">
        <v>116</v>
      </c>
      <c r="C100" s="98">
        <v>237714.18</v>
      </c>
      <c r="D100" s="1">
        <v>3</v>
      </c>
      <c r="E100" s="116">
        <v>14.15</v>
      </c>
      <c r="F100" s="115">
        <f t="shared" si="20"/>
        <v>17.121500000000001</v>
      </c>
      <c r="G100" s="114" t="s">
        <v>903</v>
      </c>
      <c r="H100" s="113">
        <f t="shared" si="21"/>
        <v>0</v>
      </c>
      <c r="I100" s="93">
        <f t="shared" si="18"/>
        <v>245066.1649484536</v>
      </c>
      <c r="J100" s="88">
        <f t="shared" si="19"/>
        <v>267094.58426966291</v>
      </c>
      <c r="K100" s="112">
        <f t="shared" si="16"/>
        <v>29.3215</v>
      </c>
      <c r="L100" s="84">
        <v>0</v>
      </c>
      <c r="M100" s="115"/>
      <c r="N100" s="111">
        <f t="shared" si="17"/>
        <v>336331.67087586748</v>
      </c>
      <c r="O100" s="112" t="s">
        <v>42</v>
      </c>
      <c r="P100" s="116" t="s">
        <v>64</v>
      </c>
    </row>
    <row r="101" spans="1:16" x14ac:dyDescent="0.2">
      <c r="A101" s="116" t="s">
        <v>126</v>
      </c>
      <c r="B101" s="116" t="s">
        <v>127</v>
      </c>
      <c r="C101" s="98">
        <v>237714.18</v>
      </c>
      <c r="D101" s="1">
        <v>3</v>
      </c>
      <c r="E101" s="116">
        <v>14.15</v>
      </c>
      <c r="F101" s="115">
        <f t="shared" si="20"/>
        <v>17.121500000000001</v>
      </c>
      <c r="G101" s="114" t="s">
        <v>903</v>
      </c>
      <c r="H101" s="113">
        <f t="shared" si="21"/>
        <v>0</v>
      </c>
      <c r="I101" s="93">
        <f t="shared" si="18"/>
        <v>245066.1649484536</v>
      </c>
      <c r="J101" s="88">
        <f t="shared" si="19"/>
        <v>267094.58426966291</v>
      </c>
      <c r="K101" s="112">
        <f t="shared" si="16"/>
        <v>29.3215</v>
      </c>
      <c r="L101" s="84">
        <v>0</v>
      </c>
      <c r="M101" s="115"/>
      <c r="N101" s="111">
        <f t="shared" si="17"/>
        <v>336331.67087586748</v>
      </c>
      <c r="O101" s="112" t="s">
        <v>42</v>
      </c>
      <c r="P101" s="116" t="s">
        <v>64</v>
      </c>
    </row>
    <row r="102" spans="1:16" x14ac:dyDescent="0.2">
      <c r="A102" s="116" t="s">
        <v>130</v>
      </c>
      <c r="B102" s="116" t="s">
        <v>131</v>
      </c>
      <c r="C102" s="98">
        <v>316354.5</v>
      </c>
      <c r="D102" s="1">
        <v>3</v>
      </c>
      <c r="E102" s="116">
        <v>14.15</v>
      </c>
      <c r="F102" s="115">
        <f t="shared" si="20"/>
        <v>17.121500000000001</v>
      </c>
      <c r="G102" s="114" t="s">
        <v>903</v>
      </c>
      <c r="H102" s="113">
        <f t="shared" si="21"/>
        <v>0</v>
      </c>
      <c r="I102" s="93">
        <f t="shared" si="18"/>
        <v>326138.65979381447</v>
      </c>
      <c r="J102" s="88">
        <f t="shared" si="19"/>
        <v>355454.49438202247</v>
      </c>
      <c r="K102" s="112">
        <f t="shared" si="16"/>
        <v>29.3215</v>
      </c>
      <c r="L102" s="84">
        <v>0</v>
      </c>
      <c r="M102" s="115"/>
      <c r="N102" s="111">
        <f t="shared" si="17"/>
        <v>447596.51096160786</v>
      </c>
      <c r="O102" s="112" t="s">
        <v>42</v>
      </c>
      <c r="P102" s="116" t="s">
        <v>64</v>
      </c>
    </row>
    <row r="103" spans="1:16" x14ac:dyDescent="0.2">
      <c r="A103" s="116" t="s">
        <v>136</v>
      </c>
      <c r="B103" s="116" t="s">
        <v>137</v>
      </c>
      <c r="C103" s="98">
        <v>237714.18</v>
      </c>
      <c r="D103" s="1">
        <v>3</v>
      </c>
      <c r="E103" s="116">
        <v>14.15</v>
      </c>
      <c r="F103" s="115">
        <f t="shared" si="20"/>
        <v>17.121500000000001</v>
      </c>
      <c r="G103" s="114" t="s">
        <v>903</v>
      </c>
      <c r="H103" s="113">
        <f t="shared" si="21"/>
        <v>0</v>
      </c>
      <c r="I103" s="93">
        <f t="shared" si="18"/>
        <v>245066.1649484536</v>
      </c>
      <c r="J103" s="88">
        <f t="shared" si="19"/>
        <v>267094.58426966291</v>
      </c>
      <c r="K103" s="112">
        <f t="shared" si="16"/>
        <v>29.3215</v>
      </c>
      <c r="L103" s="84">
        <v>0</v>
      </c>
      <c r="M103" s="115"/>
      <c r="N103" s="111">
        <f t="shared" si="17"/>
        <v>336331.67087586748</v>
      </c>
      <c r="O103" s="112" t="s">
        <v>42</v>
      </c>
      <c r="P103" s="116" t="s">
        <v>64</v>
      </c>
    </row>
    <row r="104" spans="1:16" x14ac:dyDescent="0.2">
      <c r="A104" s="116" t="s">
        <v>176</v>
      </c>
      <c r="B104" s="116" t="s">
        <v>177</v>
      </c>
      <c r="C104" s="98">
        <v>316354.5</v>
      </c>
      <c r="D104" s="1">
        <v>4</v>
      </c>
      <c r="E104" s="116">
        <v>14.15</v>
      </c>
      <c r="F104" s="115">
        <f t="shared" si="20"/>
        <v>17.121500000000001</v>
      </c>
      <c r="G104" s="114" t="s">
        <v>903</v>
      </c>
      <c r="H104" s="113">
        <f t="shared" si="21"/>
        <v>0</v>
      </c>
      <c r="I104" s="93">
        <f t="shared" si="18"/>
        <v>329535.9375</v>
      </c>
      <c r="J104" s="88">
        <f t="shared" si="19"/>
        <v>359493.75</v>
      </c>
      <c r="K104" s="112">
        <f t="shared" si="16"/>
        <v>30.3215</v>
      </c>
      <c r="L104" s="84">
        <v>0</v>
      </c>
      <c r="M104" s="115"/>
      <c r="N104" s="111">
        <f t="shared" si="17"/>
        <v>454020.25014889817</v>
      </c>
      <c r="O104" s="112" t="s">
        <v>42</v>
      </c>
      <c r="P104" s="116" t="s">
        <v>64</v>
      </c>
    </row>
    <row r="105" spans="1:16" x14ac:dyDescent="0.2">
      <c r="A105" s="116" t="s">
        <v>191</v>
      </c>
      <c r="B105" s="116" t="s">
        <v>192</v>
      </c>
      <c r="C105" s="98">
        <v>237714.18</v>
      </c>
      <c r="D105" s="1">
        <v>3</v>
      </c>
      <c r="E105" s="116">
        <v>14.15</v>
      </c>
      <c r="F105" s="115">
        <f t="shared" si="20"/>
        <v>17.121500000000001</v>
      </c>
      <c r="G105" s="114" t="s">
        <v>903</v>
      </c>
      <c r="H105" s="113">
        <f t="shared" si="21"/>
        <v>0</v>
      </c>
      <c r="I105" s="93">
        <f t="shared" si="18"/>
        <v>245066.1649484536</v>
      </c>
      <c r="J105" s="88">
        <f t="shared" si="19"/>
        <v>267094.58426966291</v>
      </c>
      <c r="K105" s="112">
        <f t="shared" si="16"/>
        <v>29.3215</v>
      </c>
      <c r="L105" s="84"/>
      <c r="M105" s="115"/>
      <c r="N105" s="111">
        <f t="shared" si="17"/>
        <v>336331.67087586748</v>
      </c>
      <c r="O105" s="112" t="s">
        <v>42</v>
      </c>
      <c r="P105" s="116" t="s">
        <v>64</v>
      </c>
    </row>
    <row r="106" spans="1:16" x14ac:dyDescent="0.2">
      <c r="A106" s="116" t="s">
        <v>1561</v>
      </c>
      <c r="B106" s="116" t="s">
        <v>1556</v>
      </c>
      <c r="C106" s="98">
        <v>305142</v>
      </c>
      <c r="D106" s="1">
        <v>3</v>
      </c>
      <c r="E106" s="116">
        <v>14.15</v>
      </c>
      <c r="F106" s="115">
        <f t="shared" ref="F106:F112" si="22">E106*1.21</f>
        <v>17.121500000000001</v>
      </c>
      <c r="G106" s="114" t="s">
        <v>903</v>
      </c>
      <c r="H106" s="113">
        <f t="shared" ref="H106:H113" si="23">(IF(G106=$G$3,$H$3)+IF(G106=$G$4,$H$4)+IF(G106=$G$5,$H$5)+IF(G106=$G$6,$H$6)+IF(G106=$G$7,$H$7)+IF(G106=$G$8,$H$8)+IF(G106=$G$9,$H$9)+IF(G106=$G$10,$H$10)+IF(G106=$G$11,$H$11))</f>
        <v>0</v>
      </c>
      <c r="I106" s="93">
        <f t="shared" si="18"/>
        <v>314579.381443299</v>
      </c>
      <c r="J106" s="88">
        <f t="shared" si="19"/>
        <v>342856.17977528088</v>
      </c>
      <c r="K106" s="112">
        <f t="shared" si="16"/>
        <v>29.3215</v>
      </c>
      <c r="L106" s="84"/>
      <c r="M106" s="115"/>
      <c r="N106" s="111">
        <f t="shared" si="17"/>
        <v>431732.42216515628</v>
      </c>
      <c r="O106" s="112" t="s">
        <v>25</v>
      </c>
      <c r="P106" s="116" t="s">
        <v>64</v>
      </c>
    </row>
    <row r="107" spans="1:16" x14ac:dyDescent="0.2">
      <c r="A107" s="116" t="s">
        <v>1562</v>
      </c>
      <c r="B107" s="116" t="s">
        <v>1557</v>
      </c>
      <c r="C107" s="98">
        <v>305142</v>
      </c>
      <c r="D107" s="1">
        <v>3</v>
      </c>
      <c r="E107" s="116">
        <v>14.15</v>
      </c>
      <c r="F107" s="115">
        <f t="shared" si="22"/>
        <v>17.121500000000001</v>
      </c>
      <c r="G107" s="114" t="s">
        <v>903</v>
      </c>
      <c r="H107" s="113">
        <f t="shared" si="23"/>
        <v>0</v>
      </c>
      <c r="I107" s="93">
        <f t="shared" si="18"/>
        <v>314579.381443299</v>
      </c>
      <c r="J107" s="88">
        <f t="shared" si="19"/>
        <v>342856.17977528088</v>
      </c>
      <c r="K107" s="112">
        <f t="shared" si="16"/>
        <v>29.3215</v>
      </c>
      <c r="L107" s="84"/>
      <c r="M107" s="115"/>
      <c r="N107" s="111">
        <f t="shared" si="17"/>
        <v>431732.42216515628</v>
      </c>
      <c r="O107" s="112" t="s">
        <v>25</v>
      </c>
      <c r="P107" s="116" t="s">
        <v>64</v>
      </c>
    </row>
    <row r="108" spans="1:16" x14ac:dyDescent="0.2">
      <c r="A108" s="116" t="s">
        <v>1563</v>
      </c>
      <c r="B108" s="116" t="s">
        <v>1558</v>
      </c>
      <c r="C108" s="98">
        <v>344944</v>
      </c>
      <c r="D108" s="1">
        <v>3</v>
      </c>
      <c r="E108" s="116">
        <v>14.15</v>
      </c>
      <c r="F108" s="115">
        <f t="shared" si="22"/>
        <v>17.121500000000001</v>
      </c>
      <c r="G108" s="114" t="s">
        <v>903</v>
      </c>
      <c r="H108" s="113">
        <f t="shared" si="23"/>
        <v>0</v>
      </c>
      <c r="I108" s="93">
        <f t="shared" si="18"/>
        <v>355612.37113402062</v>
      </c>
      <c r="J108" s="88">
        <f t="shared" si="19"/>
        <v>387577.52808988764</v>
      </c>
      <c r="K108" s="112">
        <f t="shared" si="16"/>
        <v>29.3215</v>
      </c>
      <c r="L108" s="84"/>
      <c r="M108" s="115"/>
      <c r="N108" s="111">
        <f t="shared" si="17"/>
        <v>488046.57710619213</v>
      </c>
      <c r="O108" s="112" t="s">
        <v>25</v>
      </c>
      <c r="P108" s="116" t="s">
        <v>64</v>
      </c>
    </row>
    <row r="109" spans="1:16" x14ac:dyDescent="0.2">
      <c r="A109" s="116" t="s">
        <v>1564</v>
      </c>
      <c r="B109" s="116" t="s">
        <v>1559</v>
      </c>
      <c r="C109" s="98">
        <v>437813</v>
      </c>
      <c r="D109" s="1">
        <v>3</v>
      </c>
      <c r="E109" s="116">
        <v>14.15</v>
      </c>
      <c r="F109" s="115">
        <f t="shared" si="22"/>
        <v>17.121500000000001</v>
      </c>
      <c r="G109" s="114" t="s">
        <v>903</v>
      </c>
      <c r="H109" s="113">
        <f t="shared" si="23"/>
        <v>0</v>
      </c>
      <c r="I109" s="93">
        <f t="shared" si="18"/>
        <v>451353.60824742267</v>
      </c>
      <c r="J109" s="88">
        <f t="shared" si="19"/>
        <v>491924.71910112357</v>
      </c>
      <c r="K109" s="112">
        <f t="shared" si="16"/>
        <v>29.3215</v>
      </c>
      <c r="L109" s="84"/>
      <c r="M109" s="115"/>
      <c r="N109" s="111">
        <f t="shared" si="17"/>
        <v>619442.97063463426</v>
      </c>
      <c r="O109" s="112" t="s">
        <v>25</v>
      </c>
      <c r="P109" s="116" t="s">
        <v>64</v>
      </c>
    </row>
    <row r="110" spans="1:16" x14ac:dyDescent="0.2">
      <c r="A110" s="116" t="s">
        <v>1639</v>
      </c>
      <c r="B110" s="116" t="s">
        <v>1640</v>
      </c>
      <c r="C110" s="98">
        <v>398012</v>
      </c>
      <c r="D110" s="1">
        <v>3</v>
      </c>
      <c r="E110" s="116">
        <v>14.15</v>
      </c>
      <c r="F110" s="115">
        <f t="shared" si="22"/>
        <v>17.121500000000001</v>
      </c>
      <c r="G110" s="114" t="s">
        <v>903</v>
      </c>
      <c r="H110" s="113">
        <f t="shared" si="23"/>
        <v>0</v>
      </c>
      <c r="I110" s="93">
        <f t="shared" si="18"/>
        <v>410321.64948453609</v>
      </c>
      <c r="J110" s="88">
        <f t="shared" si="19"/>
        <v>447204.49438202247</v>
      </c>
      <c r="K110" s="112">
        <f t="shared" si="16"/>
        <v>29.3215</v>
      </c>
      <c r="L110" s="84"/>
      <c r="M110" s="115"/>
      <c r="N110" s="111">
        <f t="shared" si="17"/>
        <v>563130.23055101617</v>
      </c>
      <c r="O110" s="112" t="s">
        <v>25</v>
      </c>
      <c r="P110" s="116" t="s">
        <v>64</v>
      </c>
    </row>
    <row r="111" spans="1:16" x14ac:dyDescent="0.2">
      <c r="A111" s="116" t="s">
        <v>1565</v>
      </c>
      <c r="B111" s="116" t="s">
        <v>1560</v>
      </c>
      <c r="C111" s="98">
        <v>563850</v>
      </c>
      <c r="D111" s="1">
        <v>3</v>
      </c>
      <c r="E111" s="116">
        <v>14.15</v>
      </c>
      <c r="F111" s="115">
        <f t="shared" si="22"/>
        <v>17.121500000000001</v>
      </c>
      <c r="G111" s="114" t="s">
        <v>903</v>
      </c>
      <c r="H111" s="113">
        <f t="shared" si="23"/>
        <v>0</v>
      </c>
      <c r="I111" s="93">
        <f t="shared" si="18"/>
        <v>581288.65979381441</v>
      </c>
      <c r="J111" s="88">
        <f t="shared" si="19"/>
        <v>633539.32584269659</v>
      </c>
      <c r="K111" s="112">
        <f t="shared" si="16"/>
        <v>29.3215</v>
      </c>
      <c r="L111" s="84"/>
      <c r="M111" s="115"/>
      <c r="N111" s="111">
        <f t="shared" si="17"/>
        <v>797767.35499480041</v>
      </c>
      <c r="O111" s="112" t="s">
        <v>25</v>
      </c>
      <c r="P111" s="116" t="s">
        <v>64</v>
      </c>
    </row>
    <row r="112" spans="1:16" x14ac:dyDescent="0.2">
      <c r="A112" s="116" t="s">
        <v>1666</v>
      </c>
      <c r="B112" s="116" t="s">
        <v>1667</v>
      </c>
      <c r="C112" s="98">
        <v>466569</v>
      </c>
      <c r="D112" s="1">
        <v>3</v>
      </c>
      <c r="E112" s="116">
        <v>14.15</v>
      </c>
      <c r="F112" s="115">
        <f t="shared" si="22"/>
        <v>17.121500000000001</v>
      </c>
      <c r="G112" s="114" t="s">
        <v>903</v>
      </c>
      <c r="H112" s="113">
        <f t="shared" ref="H112" si="24">(IF(G112=$G$3,$H$3)+IF(G112=$G$4,$H$4)+IF(G112=$G$5,$H$5)+IF(G112=$G$6,$H$6)+IF(G112=$G$7,$H$7)+IF(G112=$G$8,$H$8)+IF(G112=$G$9,$H$9)+IF(G112=$G$10,$H$10)+IF(G112=$G$11,$H$11))</f>
        <v>0</v>
      </c>
      <c r="I112" s="93">
        <f t="shared" si="18"/>
        <v>480998.96907216497</v>
      </c>
      <c r="J112" s="88">
        <f t="shared" si="19"/>
        <v>524234.83146067418</v>
      </c>
      <c r="K112" s="112">
        <f t="shared" si="16"/>
        <v>29.3215</v>
      </c>
      <c r="L112" s="84"/>
      <c r="M112" s="115"/>
      <c r="N112" s="111">
        <f t="shared" si="17"/>
        <v>660128.61053927289</v>
      </c>
      <c r="O112" s="112" t="s">
        <v>1094</v>
      </c>
      <c r="P112" s="116" t="s">
        <v>1668</v>
      </c>
    </row>
    <row r="113" spans="1:16" x14ac:dyDescent="0.2">
      <c r="A113" s="116" t="s">
        <v>1552</v>
      </c>
      <c r="B113" s="116" t="s">
        <v>1540</v>
      </c>
      <c r="C113" s="98">
        <v>56639</v>
      </c>
      <c r="D113" s="1">
        <v>8</v>
      </c>
      <c r="E113" s="116">
        <v>14.15</v>
      </c>
      <c r="F113" s="115">
        <f t="shared" si="20"/>
        <v>17.121500000000001</v>
      </c>
      <c r="G113" s="114" t="s">
        <v>903</v>
      </c>
      <c r="H113" s="113">
        <f t="shared" si="23"/>
        <v>0</v>
      </c>
      <c r="I113" s="93">
        <f t="shared" si="18"/>
        <v>61564.130434782608</v>
      </c>
      <c r="J113" s="88">
        <f t="shared" si="19"/>
        <v>67427.380952380947</v>
      </c>
      <c r="K113" s="112">
        <f t="shared" si="16"/>
        <v>34.3215</v>
      </c>
      <c r="L113" s="84">
        <v>9900</v>
      </c>
      <c r="M113" s="115"/>
      <c r="N113" s="111">
        <f t="shared" si="17"/>
        <v>96136.744140015391</v>
      </c>
      <c r="O113" s="112" t="s">
        <v>1555</v>
      </c>
      <c r="P113" s="116" t="s">
        <v>28</v>
      </c>
    </row>
    <row r="114" spans="1:16" x14ac:dyDescent="0.2">
      <c r="A114" s="116" t="s">
        <v>1475</v>
      </c>
      <c r="B114" s="116" t="s">
        <v>1476</v>
      </c>
      <c r="C114" s="98">
        <v>118800</v>
      </c>
      <c r="D114" s="1">
        <v>3</v>
      </c>
      <c r="E114" s="116">
        <v>14.15</v>
      </c>
      <c r="F114" s="115">
        <f t="shared" si="20"/>
        <v>17.121500000000001</v>
      </c>
      <c r="G114" s="114" t="s">
        <v>1300</v>
      </c>
      <c r="H114" s="113">
        <f t="shared" si="21"/>
        <v>0</v>
      </c>
      <c r="I114" s="93">
        <f t="shared" si="18"/>
        <v>122474.22680412371</v>
      </c>
      <c r="J114" s="88">
        <f t="shared" si="19"/>
        <v>133483.14606741574</v>
      </c>
      <c r="K114" s="112">
        <f t="shared" si="16"/>
        <v>29.3215</v>
      </c>
      <c r="L114" s="84">
        <v>13685</v>
      </c>
      <c r="M114" s="115"/>
      <c r="N114" s="111">
        <f t="shared" si="17"/>
        <v>181770.06122795475</v>
      </c>
      <c r="O114" s="112" t="s">
        <v>1090</v>
      </c>
      <c r="P114" s="116" t="s">
        <v>18</v>
      </c>
    </row>
    <row r="115" spans="1:16" x14ac:dyDescent="0.2">
      <c r="A115" s="116" t="s">
        <v>1126</v>
      </c>
      <c r="B115" s="116" t="s">
        <v>1481</v>
      </c>
      <c r="C115" s="98">
        <v>160600</v>
      </c>
      <c r="D115" s="1">
        <v>3</v>
      </c>
      <c r="E115" s="116">
        <v>14.15</v>
      </c>
      <c r="F115" s="115">
        <f t="shared" si="20"/>
        <v>17.121500000000001</v>
      </c>
      <c r="G115" s="114" t="s">
        <v>1620</v>
      </c>
      <c r="H115" s="113">
        <f t="shared" si="21"/>
        <v>21.538</v>
      </c>
      <c r="I115" s="93">
        <f t="shared" si="18"/>
        <v>165567.01030927835</v>
      </c>
      <c r="J115" s="88">
        <f t="shared" si="19"/>
        <v>180449.4382022472</v>
      </c>
      <c r="K115" s="112">
        <f t="shared" si="16"/>
        <v>50.859499999999997</v>
      </c>
      <c r="L115" s="84">
        <v>13685</v>
      </c>
      <c r="M115" s="115"/>
      <c r="N115" s="111">
        <f t="shared" si="17"/>
        <v>340503.00144483673</v>
      </c>
      <c r="O115" s="112" t="s">
        <v>1090</v>
      </c>
      <c r="P115" s="116" t="s">
        <v>18</v>
      </c>
    </row>
    <row r="116" spans="1:16" x14ac:dyDescent="0.2">
      <c r="A116" s="116" t="s">
        <v>1477</v>
      </c>
      <c r="B116" s="116" t="s">
        <v>1478</v>
      </c>
      <c r="C116" s="98">
        <v>170500</v>
      </c>
      <c r="D116" s="1">
        <v>3</v>
      </c>
      <c r="E116" s="116">
        <v>14.15</v>
      </c>
      <c r="F116" s="115">
        <f t="shared" si="20"/>
        <v>17.121500000000001</v>
      </c>
      <c r="G116" s="114" t="s">
        <v>1619</v>
      </c>
      <c r="H116" s="113">
        <f t="shared" si="21"/>
        <v>16.213999999999999</v>
      </c>
      <c r="I116" s="93">
        <f t="shared" si="18"/>
        <v>175773.19587628866</v>
      </c>
      <c r="J116" s="88">
        <f t="shared" si="19"/>
        <v>191573.03370786516</v>
      </c>
      <c r="K116" s="112">
        <f t="shared" si="16"/>
        <v>45.535499999999999</v>
      </c>
      <c r="L116" s="84">
        <v>13685.49</v>
      </c>
      <c r="M116" s="115"/>
      <c r="N116" s="111">
        <f t="shared" si="17"/>
        <v>326733.43866380851</v>
      </c>
      <c r="O116" s="112" t="s">
        <v>35</v>
      </c>
      <c r="P116" s="116" t="s">
        <v>18</v>
      </c>
    </row>
    <row r="117" spans="1:16" x14ac:dyDescent="0.2">
      <c r="A117" s="116" t="s">
        <v>174</v>
      </c>
      <c r="B117" s="116" t="s">
        <v>175</v>
      </c>
      <c r="C117" s="98">
        <v>154351.85</v>
      </c>
      <c r="D117" s="1">
        <v>3</v>
      </c>
      <c r="E117" s="116">
        <v>14.15</v>
      </c>
      <c r="F117" s="115">
        <f>E117*1.21</f>
        <v>17.121500000000001</v>
      </c>
      <c r="G117" s="114" t="s">
        <v>903</v>
      </c>
      <c r="H117" s="113">
        <f>(IF(G117=$G$3,$H$3)+IF(G117=$G$4,$H$4)+IF(G117=$G$5,$H$5)+IF(G117=$G$6,$H$6)+IF(G117=$G$7,$H$7)+IF(G117=$G$8,$H$8)+IF(G117=$G$9,$H$9)+IF(G117=$G$10,$H$10)+IF(G117=$G$11,$H$11))</f>
        <v>0</v>
      </c>
      <c r="I117" s="93">
        <f t="shared" si="18"/>
        <v>159125.61855670105</v>
      </c>
      <c r="J117" s="88">
        <f t="shared" si="19"/>
        <v>173429.04494382022</v>
      </c>
      <c r="K117" s="112">
        <f t="shared" si="16"/>
        <v>29.3215</v>
      </c>
      <c r="L117" s="84">
        <v>0</v>
      </c>
      <c r="M117" s="115"/>
      <c r="N117" s="111">
        <f t="shared" si="17"/>
        <v>218385.85991496709</v>
      </c>
      <c r="O117" s="112" t="s">
        <v>35</v>
      </c>
      <c r="P117" s="116" t="s">
        <v>18</v>
      </c>
    </row>
    <row r="118" spans="1:16" x14ac:dyDescent="0.2">
      <c r="A118" s="116" t="s">
        <v>256</v>
      </c>
      <c r="B118" s="116" t="s">
        <v>257</v>
      </c>
      <c r="C118" s="98">
        <v>92142.64</v>
      </c>
      <c r="D118" s="1">
        <v>3</v>
      </c>
      <c r="E118" s="116">
        <v>14.15</v>
      </c>
      <c r="F118" s="115">
        <f>E118*1.21</f>
        <v>17.121500000000001</v>
      </c>
      <c r="G118" s="114" t="s">
        <v>903</v>
      </c>
      <c r="H118" s="113">
        <f>(IF(G118=$G$3,$H$3)+IF(G118=$G$4,$H$4)+IF(G118=$G$5,$H$5)+IF(G118=$G$6,$H$6)+IF(G118=$G$7,$H$7)+IF(G118=$G$8,$H$8)+IF(G118=$G$9,$H$9)+IF(G118=$G$10,$H$10)+IF(G118=$G$11,$H$11))</f>
        <v>0</v>
      </c>
      <c r="I118" s="93">
        <f t="shared" si="18"/>
        <v>94992.412371134022</v>
      </c>
      <c r="J118" s="88">
        <f t="shared" si="19"/>
        <v>103531.05617977527</v>
      </c>
      <c r="K118" s="112">
        <f t="shared" si="16"/>
        <v>29.3215</v>
      </c>
      <c r="L118" s="84">
        <v>0</v>
      </c>
      <c r="M118" s="115"/>
      <c r="N118" s="111">
        <f t="shared" si="17"/>
        <v>130368.69769448983</v>
      </c>
      <c r="O118" s="112" t="s">
        <v>258</v>
      </c>
      <c r="P118" s="116" t="s">
        <v>18</v>
      </c>
    </row>
    <row r="119" spans="1:16" x14ac:dyDescent="0.2">
      <c r="A119" s="116" t="s">
        <v>16</v>
      </c>
      <c r="B119" s="116" t="s">
        <v>17</v>
      </c>
      <c r="C119" s="98">
        <v>147990.01</v>
      </c>
      <c r="D119" s="1">
        <v>3</v>
      </c>
      <c r="E119" s="116">
        <v>14.15</v>
      </c>
      <c r="F119" s="115">
        <f t="shared" si="20"/>
        <v>17.121500000000001</v>
      </c>
      <c r="G119" s="114" t="s">
        <v>1237</v>
      </c>
      <c r="H119" s="113">
        <f t="shared" si="21"/>
        <v>4.84</v>
      </c>
      <c r="I119" s="93">
        <f t="shared" si="18"/>
        <v>152567.02061855671</v>
      </c>
      <c r="J119" s="88">
        <f t="shared" si="19"/>
        <v>166280.91011235956</v>
      </c>
      <c r="K119" s="112">
        <f t="shared" si="16"/>
        <v>34.161500000000004</v>
      </c>
      <c r="L119" s="84">
        <v>0</v>
      </c>
      <c r="M119" s="115"/>
      <c r="N119" s="111">
        <f t="shared" si="17"/>
        <v>224777.31114773272</v>
      </c>
      <c r="O119" s="112" t="s">
        <v>19</v>
      </c>
      <c r="P119" s="116" t="s">
        <v>18</v>
      </c>
    </row>
    <row r="120" spans="1:16" x14ac:dyDescent="0.2">
      <c r="A120" s="116" t="s">
        <v>65</v>
      </c>
      <c r="B120" s="116" t="s">
        <v>66</v>
      </c>
      <c r="C120" s="98">
        <v>154222.99</v>
      </c>
      <c r="D120" s="1">
        <v>4</v>
      </c>
      <c r="E120" s="116">
        <v>14.15</v>
      </c>
      <c r="F120" s="115">
        <f t="shared" si="20"/>
        <v>17.121500000000001</v>
      </c>
      <c r="G120" s="114" t="s">
        <v>903</v>
      </c>
      <c r="H120" s="113">
        <f t="shared" si="21"/>
        <v>0</v>
      </c>
      <c r="I120" s="93">
        <f t="shared" ref="I120:I147" si="25">(C120/(($J$3-D120)/100))</f>
        <v>160648.94791666666</v>
      </c>
      <c r="J120" s="88">
        <f t="shared" ref="J120:J147" si="26">(C120/(($J$3-D120)/100-(0.08)))</f>
        <v>175253.39772727271</v>
      </c>
      <c r="K120" s="112">
        <f t="shared" si="16"/>
        <v>30.3215</v>
      </c>
      <c r="L120" s="84">
        <v>0</v>
      </c>
      <c r="M120" s="115"/>
      <c r="N120" s="111">
        <f t="shared" si="17"/>
        <v>221335.11771923906</v>
      </c>
      <c r="O120" s="112" t="s">
        <v>67</v>
      </c>
      <c r="P120" s="116" t="s">
        <v>18</v>
      </c>
    </row>
    <row r="121" spans="1:16" x14ac:dyDescent="0.2">
      <c r="A121" s="116" t="s">
        <v>1624</v>
      </c>
      <c r="B121" s="116" t="s">
        <v>1623</v>
      </c>
      <c r="C121" s="98">
        <v>144842</v>
      </c>
      <c r="D121" s="1">
        <v>3</v>
      </c>
      <c r="E121" s="116">
        <v>14.15</v>
      </c>
      <c r="F121" s="115">
        <f t="shared" ref="F121:F122" si="27">E121*1.21</f>
        <v>17.121500000000001</v>
      </c>
      <c r="G121" s="114" t="s">
        <v>903</v>
      </c>
      <c r="H121" s="113">
        <f t="shared" ref="H121:H122" si="28">(IF(G121=$G$3,$H$3)+IF(G121=$G$4,$H$4)+IF(G121=$G$5,$H$5)+IF(G121=$G$6,$H$6)+IF(G121=$G$7,$H$7)+IF(G121=$G$8,$H$8)+IF(G121=$G$9,$H$9)+IF(G121=$G$10,$H$10)+IF(G121=$G$11,$H$11))</f>
        <v>0</v>
      </c>
      <c r="I121" s="93">
        <f t="shared" si="25"/>
        <v>149321.64948453609</v>
      </c>
      <c r="J121" s="88">
        <f t="shared" si="26"/>
        <v>162743.82022471909</v>
      </c>
      <c r="K121" s="112">
        <f t="shared" si="16"/>
        <v>29.3215</v>
      </c>
      <c r="L121" s="84">
        <v>13685</v>
      </c>
      <c r="M121" s="115"/>
      <c r="N121" s="111">
        <f t="shared" si="17"/>
        <v>218615.77810083688</v>
      </c>
      <c r="O121" s="112" t="s">
        <v>67</v>
      </c>
      <c r="P121" s="116" t="s">
        <v>18</v>
      </c>
    </row>
    <row r="122" spans="1:16" x14ac:dyDescent="0.2">
      <c r="A122" s="116" t="s">
        <v>1626</v>
      </c>
      <c r="B122" s="116" t="s">
        <v>1625</v>
      </c>
      <c r="C122" s="98">
        <v>99240</v>
      </c>
      <c r="D122" s="1">
        <v>3</v>
      </c>
      <c r="E122" s="116">
        <v>14.15</v>
      </c>
      <c r="F122" s="115">
        <f t="shared" si="27"/>
        <v>17.121500000000001</v>
      </c>
      <c r="G122" s="114" t="s">
        <v>1620</v>
      </c>
      <c r="H122" s="113">
        <f t="shared" si="28"/>
        <v>21.538</v>
      </c>
      <c r="I122" s="93">
        <f t="shared" si="25"/>
        <v>102309.27835051547</v>
      </c>
      <c r="J122" s="88">
        <f t="shared" si="26"/>
        <v>111505.61797752809</v>
      </c>
      <c r="K122" s="112">
        <f t="shared" si="16"/>
        <v>50.859499999999997</v>
      </c>
      <c r="L122" s="84">
        <v>11455</v>
      </c>
      <c r="M122" s="115"/>
      <c r="N122" s="111">
        <f t="shared" si="17"/>
        <v>213406.5470945554</v>
      </c>
      <c r="O122" s="112" t="s">
        <v>67</v>
      </c>
      <c r="P122" s="116" t="s">
        <v>18</v>
      </c>
    </row>
    <row r="123" spans="1:16" x14ac:dyDescent="0.2">
      <c r="A123" s="116" t="s">
        <v>1071</v>
      </c>
      <c r="B123" s="116" t="s">
        <v>1072</v>
      </c>
      <c r="C123" s="98">
        <v>106501</v>
      </c>
      <c r="D123" s="1">
        <v>3</v>
      </c>
      <c r="E123" s="116">
        <v>14.15</v>
      </c>
      <c r="F123" s="115">
        <f t="shared" si="20"/>
        <v>17.121500000000001</v>
      </c>
      <c r="G123" s="114" t="s">
        <v>1620</v>
      </c>
      <c r="H123" s="113">
        <f t="shared" si="21"/>
        <v>21.538</v>
      </c>
      <c r="I123" s="93">
        <f t="shared" si="25"/>
        <v>109794.84536082475</v>
      </c>
      <c r="J123" s="88">
        <f t="shared" si="26"/>
        <v>119664.04494382022</v>
      </c>
      <c r="K123" s="112">
        <f t="shared" si="16"/>
        <v>50.859499999999997</v>
      </c>
      <c r="L123" s="84">
        <v>11455.49</v>
      </c>
      <c r="M123" s="115"/>
      <c r="N123" s="111">
        <f t="shared" si="17"/>
        <v>228183.03652476062</v>
      </c>
      <c r="O123" s="112" t="s">
        <v>1092</v>
      </c>
      <c r="P123" s="116" t="s">
        <v>18</v>
      </c>
    </row>
    <row r="124" spans="1:16" x14ac:dyDescent="0.2">
      <c r="A124" s="116" t="s">
        <v>1647</v>
      </c>
      <c r="B124" s="116" t="s">
        <v>1651</v>
      </c>
      <c r="C124" s="98">
        <v>108922</v>
      </c>
      <c r="D124" s="1">
        <v>3</v>
      </c>
      <c r="E124" s="116">
        <v>14.15</v>
      </c>
      <c r="F124" s="115">
        <f t="shared" si="20"/>
        <v>17.121500000000001</v>
      </c>
      <c r="G124" s="114" t="s">
        <v>1620</v>
      </c>
      <c r="H124" s="113">
        <f t="shared" ref="H124" si="29">(IF(G124=$G$3,$H$3)+IF(G124=$G$4,$H$4)+IF(G124=$G$5,$H$5)+IF(G124=$G$6,$H$6)+IF(G124=$G$7,$H$7)+IF(G124=$G$8,$H$8)+IF(G124=$G$9,$H$9)+IF(G124=$G$10,$H$10)+IF(G124=$G$11,$H$11))</f>
        <v>21.538</v>
      </c>
      <c r="I124" s="93">
        <f t="shared" si="25"/>
        <v>112290.72164948453</v>
      </c>
      <c r="J124" s="88">
        <f t="shared" si="26"/>
        <v>122384.26966292135</v>
      </c>
      <c r="K124" s="112">
        <f t="shared" si="16"/>
        <v>50.859499999999997</v>
      </c>
      <c r="L124" s="84">
        <v>11455</v>
      </c>
      <c r="M124" s="115"/>
      <c r="N124" s="111">
        <f t="shared" si="17"/>
        <v>233109.23632238174</v>
      </c>
      <c r="O124" s="112" t="s">
        <v>67</v>
      </c>
      <c r="P124" s="116" t="s">
        <v>18</v>
      </c>
    </row>
    <row r="125" spans="1:16" x14ac:dyDescent="0.2">
      <c r="A125" s="116" t="s">
        <v>1195</v>
      </c>
      <c r="B125" s="116" t="s">
        <v>1196</v>
      </c>
      <c r="C125" s="98">
        <v>114425</v>
      </c>
      <c r="D125" s="1">
        <v>3</v>
      </c>
      <c r="E125" s="116">
        <v>14.15</v>
      </c>
      <c r="F125" s="115">
        <f>E125*1.21</f>
        <v>17.121500000000001</v>
      </c>
      <c r="G125" s="114" t="s">
        <v>1460</v>
      </c>
      <c r="H125" s="113">
        <f>(IF(G125=$G$3,$H$3)+IF(G125=$G$4,$H$4)+IF(G125=$G$5,$H$5)+IF(G125=$G$6,$H$6)+IF(G125=$G$7,$H$7)+IF(G125=$G$8,$H$8)+IF(G125=$G$9,$H$9)+IF(G125=$G$10,$H$10)+IF(G125=$G$11,$H$11))</f>
        <v>10.285</v>
      </c>
      <c r="I125" s="93">
        <f t="shared" si="25"/>
        <v>117963.9175257732</v>
      </c>
      <c r="J125" s="88">
        <f t="shared" si="26"/>
        <v>128567.41573033707</v>
      </c>
      <c r="K125" s="112">
        <f t="shared" si="16"/>
        <v>39.606499999999997</v>
      </c>
      <c r="L125" s="84">
        <v>11455</v>
      </c>
      <c r="M125" s="115"/>
      <c r="N125" s="111">
        <f t="shared" si="17"/>
        <v>200920.75376489191</v>
      </c>
      <c r="O125" s="112" t="s">
        <v>1092</v>
      </c>
      <c r="P125" s="116" t="s">
        <v>18</v>
      </c>
    </row>
    <row r="126" spans="1:16" x14ac:dyDescent="0.2">
      <c r="A126" s="116" t="s">
        <v>1581</v>
      </c>
      <c r="B126" s="116" t="s">
        <v>1582</v>
      </c>
      <c r="C126" s="98">
        <v>154366</v>
      </c>
      <c r="D126" s="1">
        <v>3</v>
      </c>
      <c r="E126" s="116">
        <v>14.15</v>
      </c>
      <c r="F126" s="115">
        <f>E126*1.21</f>
        <v>17.121500000000001</v>
      </c>
      <c r="G126" s="114" t="s">
        <v>1460</v>
      </c>
      <c r="H126" s="113">
        <f>(IF(G126=$G$3,$H$3)+IF(G126=$G$4,$H$4)+IF(G126=$G$5,$H$5)+IF(G126=$G$6,$H$6)+IF(G126=$G$7,$H$7)+IF(G126=$G$8,$H$8)+IF(G126=$G$9,$H$9)+IF(G126=$G$10,$H$10)+IF(G126=$G$11,$H$11))</f>
        <v>10.285</v>
      </c>
      <c r="I126" s="93">
        <f t="shared" si="25"/>
        <v>159140.20618556702</v>
      </c>
      <c r="J126" s="88">
        <f t="shared" si="26"/>
        <v>173444.94382022473</v>
      </c>
      <c r="K126" s="112">
        <f t="shared" si="16"/>
        <v>39.606499999999997</v>
      </c>
      <c r="L126" s="84">
        <v>13685</v>
      </c>
      <c r="M126" s="115"/>
      <c r="N126" s="111">
        <f t="shared" si="17"/>
        <v>269285.35434276867</v>
      </c>
      <c r="O126" s="112" t="s">
        <v>1092</v>
      </c>
      <c r="P126" s="116" t="s">
        <v>18</v>
      </c>
    </row>
    <row r="127" spans="1:16" x14ac:dyDescent="0.2">
      <c r="A127" s="116" t="s">
        <v>1131</v>
      </c>
      <c r="B127" s="116" t="s">
        <v>1132</v>
      </c>
      <c r="C127" s="98">
        <v>164081</v>
      </c>
      <c r="D127" s="1">
        <v>3</v>
      </c>
      <c r="E127" s="116">
        <v>14.15</v>
      </c>
      <c r="F127" s="115">
        <f t="shared" si="20"/>
        <v>17.121500000000001</v>
      </c>
      <c r="G127" s="114" t="s">
        <v>903</v>
      </c>
      <c r="H127" s="113">
        <f t="shared" si="21"/>
        <v>0</v>
      </c>
      <c r="I127" s="93">
        <f t="shared" si="25"/>
        <v>169155.67010309279</v>
      </c>
      <c r="J127" s="88">
        <f t="shared" si="26"/>
        <v>184360.67415730338</v>
      </c>
      <c r="K127" s="112">
        <f t="shared" si="16"/>
        <v>29.3215</v>
      </c>
      <c r="L127" s="84">
        <v>13685.49</v>
      </c>
      <c r="M127" s="115"/>
      <c r="N127" s="111">
        <f t="shared" si="17"/>
        <v>245836.70996080845</v>
      </c>
      <c r="O127" s="112" t="s">
        <v>1092</v>
      </c>
      <c r="P127" s="116" t="s">
        <v>18</v>
      </c>
    </row>
    <row r="128" spans="1:16" x14ac:dyDescent="0.2">
      <c r="A128" s="116" t="s">
        <v>1634</v>
      </c>
      <c r="B128" s="116" t="s">
        <v>1633</v>
      </c>
      <c r="C128" s="98">
        <v>114639</v>
      </c>
      <c r="D128" s="1">
        <v>11</v>
      </c>
      <c r="E128" s="116">
        <v>14.15</v>
      </c>
      <c r="F128" s="115">
        <f t="shared" ref="F128" si="30">E128*1.21</f>
        <v>17.121500000000001</v>
      </c>
      <c r="G128" s="114" t="s">
        <v>1460</v>
      </c>
      <c r="H128" s="113">
        <f t="shared" ref="H128" si="31">(IF(G128=$G$3,$H$3)+IF(G128=$G$4,$H$4)+IF(G128=$G$5,$H$5)+IF(G128=$G$6,$H$6)+IF(G128=$G$7,$H$7)+IF(G128=$G$8,$H$8)+IF(G128=$G$9,$H$9)+IF(G128=$G$10,$H$10)+IF(G128=$G$11,$H$11))</f>
        <v>10.285</v>
      </c>
      <c r="I128" s="93">
        <f t="shared" si="25"/>
        <v>128807.86516853933</v>
      </c>
      <c r="J128" s="88">
        <f t="shared" si="26"/>
        <v>141529.62962962961</v>
      </c>
      <c r="K128" s="112">
        <f t="shared" si="16"/>
        <v>47.606499999999997</v>
      </c>
      <c r="L128" s="84">
        <v>11445.49</v>
      </c>
      <c r="M128" s="115"/>
      <c r="N128" s="111">
        <f t="shared" si="17"/>
        <v>230249.34925735061</v>
      </c>
      <c r="O128" s="112" t="s">
        <v>15</v>
      </c>
      <c r="P128" s="116" t="s">
        <v>18</v>
      </c>
    </row>
    <row r="129" spans="1:16" x14ac:dyDescent="0.2">
      <c r="A129" s="116" t="s">
        <v>949</v>
      </c>
      <c r="B129" s="116" t="s">
        <v>952</v>
      </c>
      <c r="C129" s="98">
        <v>237616.17</v>
      </c>
      <c r="D129" s="1">
        <v>5</v>
      </c>
      <c r="E129" s="116">
        <v>16</v>
      </c>
      <c r="F129" s="115">
        <f t="shared" si="20"/>
        <v>19.36</v>
      </c>
      <c r="G129" s="114" t="s">
        <v>903</v>
      </c>
      <c r="H129" s="113">
        <f t="shared" si="21"/>
        <v>0</v>
      </c>
      <c r="I129" s="93">
        <f t="shared" si="25"/>
        <v>250122.28421052636</v>
      </c>
      <c r="J129" s="88">
        <f t="shared" si="26"/>
        <v>273122.03448275861</v>
      </c>
      <c r="K129" s="112">
        <f t="shared" si="16"/>
        <v>33.56</v>
      </c>
      <c r="L129" s="84">
        <v>0</v>
      </c>
      <c r="M129" s="115"/>
      <c r="N129" s="111">
        <f t="shared" si="17"/>
        <v>357640.23178807949</v>
      </c>
      <c r="O129" s="112" t="s">
        <v>42</v>
      </c>
      <c r="P129" s="116" t="s">
        <v>955</v>
      </c>
    </row>
    <row r="130" spans="1:16" x14ac:dyDescent="0.2">
      <c r="A130" s="116" t="s">
        <v>950</v>
      </c>
      <c r="B130" s="116" t="s">
        <v>953</v>
      </c>
      <c r="C130" s="98">
        <v>313645.31</v>
      </c>
      <c r="D130" s="1">
        <v>3</v>
      </c>
      <c r="E130" s="116">
        <v>16</v>
      </c>
      <c r="F130" s="115">
        <f t="shared" si="20"/>
        <v>19.36</v>
      </c>
      <c r="G130" s="114" t="s">
        <v>903</v>
      </c>
      <c r="H130" s="113">
        <f t="shared" si="21"/>
        <v>0</v>
      </c>
      <c r="I130" s="93">
        <f t="shared" si="25"/>
        <v>323345.68041237112</v>
      </c>
      <c r="J130" s="88">
        <f t="shared" si="26"/>
        <v>352410.46067415731</v>
      </c>
      <c r="K130" s="112">
        <f t="shared" si="16"/>
        <v>31.56</v>
      </c>
      <c r="L130" s="84">
        <v>0</v>
      </c>
      <c r="M130" s="115"/>
      <c r="N130" s="111">
        <f t="shared" si="17"/>
        <v>458277.77615429572</v>
      </c>
      <c r="O130" s="112" t="s">
        <v>42</v>
      </c>
      <c r="P130" s="116" t="s">
        <v>955</v>
      </c>
    </row>
    <row r="131" spans="1:16" x14ac:dyDescent="0.2">
      <c r="A131" s="116" t="s">
        <v>951</v>
      </c>
      <c r="B131" s="116" t="s">
        <v>954</v>
      </c>
      <c r="C131" s="98">
        <v>224031.5</v>
      </c>
      <c r="D131" s="1">
        <v>3</v>
      </c>
      <c r="E131" s="116">
        <v>16</v>
      </c>
      <c r="F131" s="115">
        <f t="shared" si="20"/>
        <v>19.36</v>
      </c>
      <c r="G131" s="114" t="s">
        <v>903</v>
      </c>
      <c r="H131" s="113">
        <f t="shared" si="21"/>
        <v>0</v>
      </c>
      <c r="I131" s="93">
        <f t="shared" si="25"/>
        <v>230960.30927835053</v>
      </c>
      <c r="J131" s="88">
        <f t="shared" si="26"/>
        <v>251720.78651685393</v>
      </c>
      <c r="K131" s="112">
        <f t="shared" si="16"/>
        <v>31.56</v>
      </c>
      <c r="L131" s="84">
        <v>0</v>
      </c>
      <c r="M131" s="115"/>
      <c r="N131" s="111">
        <f t="shared" si="17"/>
        <v>327340.00584453536</v>
      </c>
      <c r="O131" s="112" t="s">
        <v>42</v>
      </c>
      <c r="P131" s="116" t="s">
        <v>955</v>
      </c>
    </row>
    <row r="132" spans="1:16" x14ac:dyDescent="0.2">
      <c r="A132" s="116" t="s">
        <v>223</v>
      </c>
      <c r="B132" s="116" t="s">
        <v>224</v>
      </c>
      <c r="C132" s="98">
        <v>247300.01</v>
      </c>
      <c r="D132" s="1">
        <v>3</v>
      </c>
      <c r="E132" s="116">
        <v>16</v>
      </c>
      <c r="F132" s="115">
        <f t="shared" si="20"/>
        <v>19.36</v>
      </c>
      <c r="G132" s="114" t="s">
        <v>1300</v>
      </c>
      <c r="H132" s="113">
        <f t="shared" si="21"/>
        <v>0</v>
      </c>
      <c r="I132" s="93">
        <f t="shared" si="25"/>
        <v>254948.46391752578</v>
      </c>
      <c r="J132" s="88">
        <f t="shared" si="26"/>
        <v>277865.17977528088</v>
      </c>
      <c r="K132" s="112">
        <f t="shared" si="16"/>
        <v>31.56</v>
      </c>
      <c r="L132" s="84">
        <v>0</v>
      </c>
      <c r="M132" s="115"/>
      <c r="N132" s="111">
        <f t="shared" si="17"/>
        <v>361338.4132086499</v>
      </c>
      <c r="O132" s="112" t="s">
        <v>42</v>
      </c>
      <c r="P132" s="116" t="s">
        <v>41</v>
      </c>
    </row>
    <row r="133" spans="1:16" x14ac:dyDescent="0.2">
      <c r="A133" s="116" t="s">
        <v>200</v>
      </c>
      <c r="B133" s="116" t="s">
        <v>201</v>
      </c>
      <c r="C133" s="98">
        <v>5148.01</v>
      </c>
      <c r="D133" s="1">
        <v>3</v>
      </c>
      <c r="E133" s="116">
        <v>14.5</v>
      </c>
      <c r="F133" s="115">
        <f t="shared" si="20"/>
        <v>17.544999999999998</v>
      </c>
      <c r="G133" s="114" t="s">
        <v>903</v>
      </c>
      <c r="H133" s="113">
        <f t="shared" si="21"/>
        <v>0</v>
      </c>
      <c r="I133" s="93">
        <f t="shared" si="25"/>
        <v>5307.2268041237121</v>
      </c>
      <c r="J133" s="88">
        <f t="shared" si="26"/>
        <v>5784.2808988764045</v>
      </c>
      <c r="K133" s="112">
        <f t="shared" si="16"/>
        <v>29.744999999999997</v>
      </c>
      <c r="L133" s="84">
        <v>0</v>
      </c>
      <c r="M133" s="115"/>
      <c r="N133" s="111">
        <f t="shared" si="17"/>
        <v>7327.6065760444098</v>
      </c>
      <c r="O133" s="112" t="s">
        <v>203</v>
      </c>
      <c r="P133" s="116" t="s">
        <v>202</v>
      </c>
    </row>
    <row r="134" spans="1:16" x14ac:dyDescent="0.2">
      <c r="A134" s="116" t="s">
        <v>113</v>
      </c>
      <c r="B134" s="116" t="s">
        <v>114</v>
      </c>
      <c r="C134" s="98">
        <v>149483</v>
      </c>
      <c r="D134" s="1">
        <v>3</v>
      </c>
      <c r="E134" s="116">
        <v>16</v>
      </c>
      <c r="F134" s="115">
        <f t="shared" si="20"/>
        <v>19.36</v>
      </c>
      <c r="G134" s="114" t="s">
        <v>903</v>
      </c>
      <c r="H134" s="113">
        <f t="shared" si="21"/>
        <v>0</v>
      </c>
      <c r="I134" s="93">
        <f t="shared" si="25"/>
        <v>154106.18556701031</v>
      </c>
      <c r="J134" s="88">
        <f t="shared" si="26"/>
        <v>167958.42696629214</v>
      </c>
      <c r="K134" s="112">
        <f t="shared" si="16"/>
        <v>31.56</v>
      </c>
      <c r="L134" s="84">
        <v>0</v>
      </c>
      <c r="M134" s="115"/>
      <c r="N134" s="111">
        <f t="shared" si="17"/>
        <v>218414.66978375218</v>
      </c>
      <c r="O134" s="112" t="s">
        <v>42</v>
      </c>
      <c r="P134" s="116" t="s">
        <v>41</v>
      </c>
    </row>
    <row r="135" spans="1:16" x14ac:dyDescent="0.2">
      <c r="A135" s="116" t="s">
        <v>39</v>
      </c>
      <c r="B135" s="116" t="s">
        <v>40</v>
      </c>
      <c r="C135" s="98">
        <v>177505</v>
      </c>
      <c r="D135" s="1">
        <v>10</v>
      </c>
      <c r="E135" s="116">
        <v>16</v>
      </c>
      <c r="F135" s="115">
        <f t="shared" si="20"/>
        <v>19.36</v>
      </c>
      <c r="G135" s="114" t="s">
        <v>903</v>
      </c>
      <c r="H135" s="113">
        <f t="shared" si="21"/>
        <v>0</v>
      </c>
      <c r="I135" s="93">
        <f t="shared" si="25"/>
        <v>197227.77777777778</v>
      </c>
      <c r="J135" s="88">
        <f t="shared" si="26"/>
        <v>216469.51219512193</v>
      </c>
      <c r="K135" s="112">
        <f t="shared" si="16"/>
        <v>38.56</v>
      </c>
      <c r="L135" s="84">
        <v>0</v>
      </c>
      <c r="M135" s="115"/>
      <c r="N135" s="111">
        <f t="shared" si="17"/>
        <v>288907.87760416669</v>
      </c>
      <c r="O135" s="112" t="s">
        <v>42</v>
      </c>
      <c r="P135" s="116" t="s">
        <v>41</v>
      </c>
    </row>
    <row r="136" spans="1:16" x14ac:dyDescent="0.2">
      <c r="A136" s="116" t="s">
        <v>53</v>
      </c>
      <c r="B136" s="116" t="s">
        <v>54</v>
      </c>
      <c r="C136" s="98">
        <v>163318.54</v>
      </c>
      <c r="D136" s="1">
        <v>2.5</v>
      </c>
      <c r="E136" s="116">
        <v>16</v>
      </c>
      <c r="F136" s="115">
        <f t="shared" si="20"/>
        <v>19.36</v>
      </c>
      <c r="G136" s="114" t="s">
        <v>903</v>
      </c>
      <c r="H136" s="113">
        <f t="shared" si="21"/>
        <v>0</v>
      </c>
      <c r="I136" s="93">
        <f t="shared" si="25"/>
        <v>167506.1948717949</v>
      </c>
      <c r="J136" s="88">
        <f t="shared" si="26"/>
        <v>182478.8156424581</v>
      </c>
      <c r="K136" s="112">
        <f t="shared" si="16"/>
        <v>31.06</v>
      </c>
      <c r="L136" s="84">
        <v>0</v>
      </c>
      <c r="M136" s="115"/>
      <c r="N136" s="111">
        <f t="shared" si="17"/>
        <v>236899.53582825646</v>
      </c>
      <c r="O136" s="112" t="s">
        <v>42</v>
      </c>
      <c r="P136" s="116" t="s">
        <v>41</v>
      </c>
    </row>
    <row r="137" spans="1:16" x14ac:dyDescent="0.2">
      <c r="A137" s="116" t="s">
        <v>55</v>
      </c>
      <c r="B137" s="116" t="s">
        <v>56</v>
      </c>
      <c r="C137" s="98">
        <v>177445.29</v>
      </c>
      <c r="D137" s="1">
        <v>2.5</v>
      </c>
      <c r="E137" s="116">
        <v>16</v>
      </c>
      <c r="F137" s="115">
        <f t="shared" si="20"/>
        <v>19.36</v>
      </c>
      <c r="G137" s="114" t="s">
        <v>903</v>
      </c>
      <c r="H137" s="113">
        <f t="shared" si="21"/>
        <v>0</v>
      </c>
      <c r="I137" s="93">
        <f t="shared" si="25"/>
        <v>181995.16923076924</v>
      </c>
      <c r="J137" s="88">
        <f t="shared" si="26"/>
        <v>198262.8938547486</v>
      </c>
      <c r="K137" s="112">
        <f t="shared" si="16"/>
        <v>31.06</v>
      </c>
      <c r="L137" s="84">
        <v>0</v>
      </c>
      <c r="M137" s="115"/>
      <c r="N137" s="111">
        <f t="shared" si="17"/>
        <v>257390.90513489992</v>
      </c>
      <c r="O137" s="112" t="s">
        <v>42</v>
      </c>
      <c r="P137" s="116" t="s">
        <v>41</v>
      </c>
    </row>
    <row r="138" spans="1:16" x14ac:dyDescent="0.2">
      <c r="A138" s="116" t="s">
        <v>117</v>
      </c>
      <c r="B138" s="116" t="s">
        <v>118</v>
      </c>
      <c r="C138" s="98">
        <v>201245.99</v>
      </c>
      <c r="D138" s="1">
        <v>3</v>
      </c>
      <c r="E138" s="116">
        <v>16</v>
      </c>
      <c r="F138" s="115">
        <f t="shared" si="20"/>
        <v>19.36</v>
      </c>
      <c r="G138" s="114" t="s">
        <v>1300</v>
      </c>
      <c r="H138" s="113">
        <f t="shared" si="21"/>
        <v>0</v>
      </c>
      <c r="I138" s="93">
        <f t="shared" si="25"/>
        <v>207470.09278350516</v>
      </c>
      <c r="J138" s="88">
        <f t="shared" si="26"/>
        <v>226119.08988764044</v>
      </c>
      <c r="K138" s="112">
        <f t="shared" si="16"/>
        <v>31.56</v>
      </c>
      <c r="L138" s="84">
        <v>0</v>
      </c>
      <c r="M138" s="115"/>
      <c r="N138" s="111">
        <f t="shared" si="17"/>
        <v>294047.32612507301</v>
      </c>
      <c r="O138" s="112" t="s">
        <v>42</v>
      </c>
      <c r="P138" s="116" t="s">
        <v>41</v>
      </c>
    </row>
    <row r="139" spans="1:16" x14ac:dyDescent="0.2">
      <c r="A139" s="116" t="s">
        <v>70</v>
      </c>
      <c r="B139" s="116" t="s">
        <v>71</v>
      </c>
      <c r="C139" s="98">
        <v>13907.72</v>
      </c>
      <c r="D139" s="1">
        <v>3</v>
      </c>
      <c r="E139" s="116">
        <v>14</v>
      </c>
      <c r="F139" s="115">
        <f t="shared" si="20"/>
        <v>16.939999999999998</v>
      </c>
      <c r="G139" s="114" t="s">
        <v>903</v>
      </c>
      <c r="H139" s="113">
        <f t="shared" si="21"/>
        <v>0</v>
      </c>
      <c r="I139" s="93">
        <f t="shared" si="25"/>
        <v>14337.855670103092</v>
      </c>
      <c r="J139" s="88">
        <f t="shared" si="26"/>
        <v>15626.651685393257</v>
      </c>
      <c r="K139" s="112">
        <f t="shared" si="16"/>
        <v>29.139999999999997</v>
      </c>
      <c r="L139" s="84">
        <v>2400</v>
      </c>
      <c r="M139" s="115"/>
      <c r="N139" s="111">
        <f t="shared" si="17"/>
        <v>22027.039232289018</v>
      </c>
      <c r="O139" s="112" t="s">
        <v>73</v>
      </c>
      <c r="P139" s="116" t="s">
        <v>72</v>
      </c>
    </row>
    <row r="140" spans="1:16" x14ac:dyDescent="0.2">
      <c r="A140" s="116" t="s">
        <v>122</v>
      </c>
      <c r="B140" s="116" t="s">
        <v>123</v>
      </c>
      <c r="C140" s="98">
        <v>23919.29</v>
      </c>
      <c r="D140" s="1">
        <v>3</v>
      </c>
      <c r="E140" s="116">
        <v>14</v>
      </c>
      <c r="F140" s="115">
        <f t="shared" si="20"/>
        <v>16.939999999999998</v>
      </c>
      <c r="G140" s="114" t="s">
        <v>903</v>
      </c>
      <c r="H140" s="113">
        <f t="shared" si="21"/>
        <v>0</v>
      </c>
      <c r="I140" s="93">
        <f t="shared" si="25"/>
        <v>24659.061855670105</v>
      </c>
      <c r="J140" s="88">
        <f t="shared" si="26"/>
        <v>26875.606741573036</v>
      </c>
      <c r="K140" s="112">
        <f t="shared" si="16"/>
        <v>29.139999999999997</v>
      </c>
      <c r="L140" s="84">
        <v>11455</v>
      </c>
      <c r="M140" s="115"/>
      <c r="N140" s="111">
        <f t="shared" si="17"/>
        <v>45210.701383008753</v>
      </c>
      <c r="O140" s="112" t="s">
        <v>73</v>
      </c>
      <c r="P140" s="116" t="s">
        <v>72</v>
      </c>
    </row>
    <row r="141" spans="1:16" x14ac:dyDescent="0.2">
      <c r="A141" s="116" t="s">
        <v>124</v>
      </c>
      <c r="B141" s="116" t="s">
        <v>125</v>
      </c>
      <c r="C141" s="98">
        <v>30015.43</v>
      </c>
      <c r="D141" s="1">
        <v>3</v>
      </c>
      <c r="E141" s="116">
        <v>14</v>
      </c>
      <c r="F141" s="115">
        <f t="shared" si="20"/>
        <v>16.939999999999998</v>
      </c>
      <c r="G141" s="114" t="s">
        <v>903</v>
      </c>
      <c r="H141" s="113">
        <f t="shared" si="21"/>
        <v>0</v>
      </c>
      <c r="I141" s="93">
        <f t="shared" si="25"/>
        <v>30943.742268041238</v>
      </c>
      <c r="J141" s="88">
        <f t="shared" si="26"/>
        <v>33725.20224719101</v>
      </c>
      <c r="K141" s="112">
        <f t="shared" si="16"/>
        <v>29.139999999999997</v>
      </c>
      <c r="L141" s="84">
        <v>6266.49</v>
      </c>
      <c r="M141" s="115"/>
      <c r="N141" s="111">
        <f t="shared" si="17"/>
        <v>48625.26787186</v>
      </c>
      <c r="O141" s="112" t="s">
        <v>29</v>
      </c>
      <c r="P141" s="116" t="s">
        <v>72</v>
      </c>
    </row>
    <row r="142" spans="1:16" x14ac:dyDescent="0.2">
      <c r="A142" s="116" t="s">
        <v>208</v>
      </c>
      <c r="B142" s="116" t="s">
        <v>209</v>
      </c>
      <c r="C142" s="98">
        <v>146750.56</v>
      </c>
      <c r="D142" s="1">
        <v>3</v>
      </c>
      <c r="E142" s="116">
        <v>14</v>
      </c>
      <c r="F142" s="115">
        <f t="shared" si="20"/>
        <v>16.939999999999998</v>
      </c>
      <c r="G142" s="114" t="s">
        <v>903</v>
      </c>
      <c r="H142" s="113">
        <f t="shared" si="21"/>
        <v>0</v>
      </c>
      <c r="I142" s="93">
        <f t="shared" si="25"/>
        <v>151289.23711340205</v>
      </c>
      <c r="J142" s="88">
        <f t="shared" si="26"/>
        <v>164888.26966292135</v>
      </c>
      <c r="K142" s="112">
        <f t="shared" ref="K142:K205" si="32">(D142+8+1.2)+(F142+H142)</f>
        <v>29.139999999999997</v>
      </c>
      <c r="L142" s="84">
        <v>0</v>
      </c>
      <c r="M142" s="115"/>
      <c r="N142" s="111">
        <f t="shared" ref="N142:N205" si="33">C142/((100-K142)/100)+L142</f>
        <v>207099.29438329098</v>
      </c>
      <c r="O142" s="112" t="s">
        <v>29</v>
      </c>
      <c r="P142" s="116" t="s">
        <v>72</v>
      </c>
    </row>
    <row r="143" spans="1:16" x14ac:dyDescent="0.2">
      <c r="A143" s="116" t="s">
        <v>259</v>
      </c>
      <c r="B143" s="116" t="s">
        <v>260</v>
      </c>
      <c r="C143" s="98">
        <v>35577.35</v>
      </c>
      <c r="D143" s="1">
        <v>3</v>
      </c>
      <c r="E143" s="116">
        <v>14</v>
      </c>
      <c r="F143" s="115">
        <f t="shared" si="20"/>
        <v>16.939999999999998</v>
      </c>
      <c r="G143" s="114" t="s">
        <v>903</v>
      </c>
      <c r="H143" s="113">
        <f t="shared" si="21"/>
        <v>0</v>
      </c>
      <c r="I143" s="93">
        <f t="shared" si="25"/>
        <v>36677.680412371134</v>
      </c>
      <c r="J143" s="88">
        <f t="shared" si="26"/>
        <v>39974.550561797754</v>
      </c>
      <c r="K143" s="112">
        <f t="shared" si="32"/>
        <v>29.139999999999997</v>
      </c>
      <c r="L143" s="84">
        <v>0</v>
      </c>
      <c r="M143" s="115"/>
      <c r="N143" s="111">
        <f t="shared" si="33"/>
        <v>50207.945244143382</v>
      </c>
      <c r="O143" s="112" t="s">
        <v>29</v>
      </c>
      <c r="P143" s="116" t="s">
        <v>72</v>
      </c>
    </row>
    <row r="144" spans="1:16" x14ac:dyDescent="0.2">
      <c r="A144" s="116" t="s">
        <v>261</v>
      </c>
      <c r="B144" s="116" t="s">
        <v>262</v>
      </c>
      <c r="C144" s="98">
        <v>44200.01</v>
      </c>
      <c r="D144" s="1">
        <v>3</v>
      </c>
      <c r="E144" s="116">
        <v>14</v>
      </c>
      <c r="F144" s="115">
        <f t="shared" si="20"/>
        <v>16.939999999999998</v>
      </c>
      <c r="G144" s="114" t="s">
        <v>903</v>
      </c>
      <c r="H144" s="113">
        <f t="shared" si="21"/>
        <v>0</v>
      </c>
      <c r="I144" s="93">
        <f t="shared" si="25"/>
        <v>45567.020618556708</v>
      </c>
      <c r="J144" s="88">
        <f t="shared" si="26"/>
        <v>49662.932584269663</v>
      </c>
      <c r="K144" s="112">
        <f t="shared" si="32"/>
        <v>29.139999999999997</v>
      </c>
      <c r="L144" s="84">
        <v>0</v>
      </c>
      <c r="M144" s="115"/>
      <c r="N144" s="111">
        <f t="shared" si="33"/>
        <v>62376.531188258537</v>
      </c>
      <c r="O144" s="112" t="s">
        <v>263</v>
      </c>
      <c r="P144" s="116" t="s">
        <v>72</v>
      </c>
    </row>
    <row r="145" spans="1:16" x14ac:dyDescent="0.2">
      <c r="A145" s="116" t="s">
        <v>254</v>
      </c>
      <c r="B145" s="116" t="s">
        <v>255</v>
      </c>
      <c r="C145" s="98">
        <v>46692.09</v>
      </c>
      <c r="D145" s="1">
        <v>3</v>
      </c>
      <c r="E145" s="116">
        <v>14</v>
      </c>
      <c r="F145" s="115">
        <f t="shared" si="20"/>
        <v>16.939999999999998</v>
      </c>
      <c r="G145" s="114" t="s">
        <v>903</v>
      </c>
      <c r="H145" s="113">
        <f t="shared" si="21"/>
        <v>0</v>
      </c>
      <c r="I145" s="93">
        <f t="shared" si="25"/>
        <v>48136.175257731957</v>
      </c>
      <c r="J145" s="88">
        <f t="shared" si="26"/>
        <v>52463.02247191011</v>
      </c>
      <c r="K145" s="112">
        <f t="shared" si="32"/>
        <v>29.139999999999997</v>
      </c>
      <c r="L145" s="84">
        <v>0</v>
      </c>
      <c r="M145" s="115"/>
      <c r="N145" s="111">
        <f t="shared" si="33"/>
        <v>65893.437764606264</v>
      </c>
      <c r="O145" s="112" t="s">
        <v>29</v>
      </c>
      <c r="P145" s="116" t="s">
        <v>72</v>
      </c>
    </row>
    <row r="146" spans="1:16" x14ac:dyDescent="0.2">
      <c r="A146" s="116" t="s">
        <v>317</v>
      </c>
      <c r="B146" s="116" t="s">
        <v>318</v>
      </c>
      <c r="C146" s="98">
        <v>90350</v>
      </c>
      <c r="D146" s="1">
        <v>3</v>
      </c>
      <c r="E146" s="116">
        <v>14</v>
      </c>
      <c r="F146" s="115">
        <f t="shared" si="20"/>
        <v>16.939999999999998</v>
      </c>
      <c r="G146" s="114" t="s">
        <v>903</v>
      </c>
      <c r="H146" s="113">
        <f t="shared" si="21"/>
        <v>0</v>
      </c>
      <c r="I146" s="93">
        <f t="shared" si="25"/>
        <v>93144.32989690722</v>
      </c>
      <c r="J146" s="88">
        <f t="shared" si="26"/>
        <v>101516.85393258427</v>
      </c>
      <c r="K146" s="112">
        <f t="shared" si="32"/>
        <v>29.139999999999997</v>
      </c>
      <c r="L146" s="84">
        <v>0</v>
      </c>
      <c r="M146" s="115"/>
      <c r="N146" s="111">
        <f t="shared" si="33"/>
        <v>127504.93931696302</v>
      </c>
      <c r="O146" s="112" t="s">
        <v>319</v>
      </c>
      <c r="P146" s="116" t="s">
        <v>72</v>
      </c>
    </row>
    <row r="147" spans="1:16" x14ac:dyDescent="0.2">
      <c r="A147" s="116" t="s">
        <v>320</v>
      </c>
      <c r="B147" s="116" t="s">
        <v>321</v>
      </c>
      <c r="C147" s="98">
        <v>31384</v>
      </c>
      <c r="D147" s="1">
        <v>3</v>
      </c>
      <c r="E147" s="116">
        <v>14</v>
      </c>
      <c r="F147" s="115">
        <f t="shared" si="20"/>
        <v>16.939999999999998</v>
      </c>
      <c r="G147" s="114" t="s">
        <v>903</v>
      </c>
      <c r="H147" s="113">
        <f t="shared" si="21"/>
        <v>0</v>
      </c>
      <c r="I147" s="93">
        <f t="shared" si="25"/>
        <v>32354.639175257733</v>
      </c>
      <c r="J147" s="88">
        <f t="shared" si="26"/>
        <v>35262.921348314609</v>
      </c>
      <c r="K147" s="112">
        <f t="shared" si="32"/>
        <v>29.139999999999997</v>
      </c>
      <c r="L147" s="84">
        <v>0</v>
      </c>
      <c r="M147" s="115"/>
      <c r="N147" s="111">
        <f t="shared" si="33"/>
        <v>44290.149590742309</v>
      </c>
      <c r="O147" s="112" t="s">
        <v>263</v>
      </c>
      <c r="P147" s="116" t="s">
        <v>72</v>
      </c>
    </row>
    <row r="148" spans="1:16" x14ac:dyDescent="0.2">
      <c r="A148" s="116" t="s">
        <v>425</v>
      </c>
      <c r="B148" s="116" t="s">
        <v>426</v>
      </c>
      <c r="C148" s="98">
        <v>18700.009999999998</v>
      </c>
      <c r="D148" s="1">
        <v>3</v>
      </c>
      <c r="E148" s="116">
        <v>14</v>
      </c>
      <c r="F148" s="115">
        <f t="shared" si="20"/>
        <v>16.939999999999998</v>
      </c>
      <c r="G148" s="114" t="s">
        <v>903</v>
      </c>
      <c r="H148" s="113">
        <f>(IF(G148='base para costos'!$G$3,'base para costos'!$H$3)+IF(G148='base para costos'!$G$4,'base para costos'!$H$4)+IF(G148='base para costos'!$G$5,'base para costos'!$H$5)+IF(G148='base para costos'!$G$6,'base para costos'!$H$6)+IF(G148='base para costos'!$G$7,'base para costos'!$H$7)+IF(G148='base para costos'!$G$8,'base para costos'!$H$8)+IF(G148='base para costos'!$G$9,'base para costos'!$H$9)+IF(G148='base para costos'!$G$10,'base para costos'!$H$10)+IF(G148='base para costos'!$G$11,'base para costos'!$H$11))</f>
        <v>0</v>
      </c>
      <c r="I148" s="93">
        <f>(C148/(('base para costos'!$J$3-D148)/100))</f>
        <v>19278.360824742267</v>
      </c>
      <c r="J148" s="88">
        <f>(C148/(('base para costos'!$J$3-D148)/100-(0.08)))</f>
        <v>21011.247191011233</v>
      </c>
      <c r="K148" s="112">
        <f t="shared" si="32"/>
        <v>29.139999999999997</v>
      </c>
      <c r="L148" s="84">
        <v>0</v>
      </c>
      <c r="M148" s="115"/>
      <c r="N148" s="111">
        <f t="shared" si="33"/>
        <v>26390.079029071407</v>
      </c>
      <c r="O148" s="112" t="s">
        <v>263</v>
      </c>
      <c r="P148" s="116" t="s">
        <v>72</v>
      </c>
    </row>
    <row r="149" spans="1:16" x14ac:dyDescent="0.2">
      <c r="A149" s="116" t="s">
        <v>1572</v>
      </c>
      <c r="B149" s="116" t="s">
        <v>1573</v>
      </c>
      <c r="C149" s="98">
        <v>63000</v>
      </c>
      <c r="D149" s="1">
        <v>3</v>
      </c>
      <c r="E149" s="116">
        <v>14</v>
      </c>
      <c r="F149" s="115">
        <f>E149*1.21</f>
        <v>16.939999999999998</v>
      </c>
      <c r="G149" s="114" t="s">
        <v>903</v>
      </c>
      <c r="H149" s="113">
        <f>(IF(G149='base para costos'!$G$3,'base para costos'!$H$3)+IF(G149='base para costos'!$G$4,'base para costos'!$H$4)+IF(G149='base para costos'!$G$5,'base para costos'!$H$5)+IF(G149='base para costos'!$G$6,'base para costos'!$H$6)+IF(G149='base para costos'!$G$7,'base para costos'!$H$7)+IF(G149='base para costos'!$G$8,'base para costos'!$H$8)+IF(G149='base para costos'!$G$9,'base para costos'!$H$9)+IF(G149='base para costos'!$G$10,'base para costos'!$H$10)+IF(G149='base para costos'!$G$11,'base para costos'!$H$11))</f>
        <v>0</v>
      </c>
      <c r="I149" s="93">
        <f>(C149/(('base para costos'!$J$3-D149)/100))</f>
        <v>64948.453608247422</v>
      </c>
      <c r="J149" s="88">
        <f>(C149/(('base para costos'!$J$3-D149)/100-(0.08)))</f>
        <v>70786.516853932582</v>
      </c>
      <c r="K149" s="112">
        <f t="shared" si="32"/>
        <v>29.139999999999997</v>
      </c>
      <c r="L149" s="84">
        <v>14455</v>
      </c>
      <c r="M149" s="115"/>
      <c r="N149" s="111">
        <f t="shared" si="33"/>
        <v>103362.70533446231</v>
      </c>
      <c r="O149" s="112"/>
      <c r="P149" s="116"/>
    </row>
    <row r="150" spans="1:16" x14ac:dyDescent="0.2">
      <c r="A150" s="116" t="s">
        <v>1570</v>
      </c>
      <c r="B150" s="116" t="s">
        <v>1571</v>
      </c>
      <c r="C150" s="98">
        <v>95611</v>
      </c>
      <c r="D150" s="1">
        <v>3</v>
      </c>
      <c r="E150" s="116">
        <v>14</v>
      </c>
      <c r="F150" s="115">
        <f t="shared" si="20"/>
        <v>16.939999999999998</v>
      </c>
      <c r="G150" s="114" t="s">
        <v>903</v>
      </c>
      <c r="H150" s="113">
        <f>(IF(G150='base para costos'!$G$3,'base para costos'!$H$3)+IF(G150='base para costos'!$G$4,'base para costos'!$H$4)+IF(G150='base para costos'!$G$5,'base para costos'!$H$5)+IF(G150='base para costos'!$G$6,'base para costos'!$H$6)+IF(G150='base para costos'!$G$7,'base para costos'!$H$7)+IF(G150='base para costos'!$G$8,'base para costos'!$H$8)+IF(G150='base para costos'!$G$9,'base para costos'!$H$9)+IF(G150='base para costos'!$G$10,'base para costos'!$H$10)+IF(G150='base para costos'!$G$11,'base para costos'!$H$11))</f>
        <v>0</v>
      </c>
      <c r="I150" s="93">
        <f>(C150/(('base para costos'!$J$3-D150)/100))</f>
        <v>98568.041237113401</v>
      </c>
      <c r="J150" s="88">
        <f>(C150/(('base para costos'!$J$3-D150)/100-(0.08)))</f>
        <v>107428.08988764045</v>
      </c>
      <c r="K150" s="112">
        <f t="shared" si="32"/>
        <v>29.139999999999997</v>
      </c>
      <c r="L150" s="84">
        <v>11455</v>
      </c>
      <c r="M150" s="115"/>
      <c r="N150" s="111">
        <f t="shared" si="33"/>
        <v>146384.43832909962</v>
      </c>
      <c r="O150" s="112"/>
      <c r="P150" s="116"/>
    </row>
    <row r="151" spans="1:16" x14ac:dyDescent="0.2">
      <c r="A151" s="116" t="s">
        <v>357</v>
      </c>
      <c r="B151" s="116" t="s">
        <v>358</v>
      </c>
      <c r="C151" s="98">
        <v>56938.87</v>
      </c>
      <c r="D151" s="1">
        <v>3</v>
      </c>
      <c r="E151" s="116">
        <v>14</v>
      </c>
      <c r="F151" s="115">
        <f t="shared" si="20"/>
        <v>16.939999999999998</v>
      </c>
      <c r="G151" s="114" t="s">
        <v>1237</v>
      </c>
      <c r="H151" s="113">
        <f>(IF(G151='base para costos'!$G$3,'base para costos'!$H$3)+IF(G151='base para costos'!$G$4,'base para costos'!$H$4)+IF(G151='base para costos'!$G$5,'base para costos'!$H$5)+IF(G151='base para costos'!$G$6,'base para costos'!$H$6)+IF(G151='base para costos'!$G$7,'base para costos'!$H$7)+IF(G151='base para costos'!$G$8,'base para costos'!$H$8)+IF(G151='base para costos'!$G$9,'base para costos'!$H$9)+IF(G151='base para costos'!$G$10,'base para costos'!$H$10)+IF(G151='base para costos'!$G$11,'base para costos'!$H$11))</f>
        <v>4.84</v>
      </c>
      <c r="I151" s="93">
        <f>(C151/(('base para costos'!$J$3-D151)/100))</f>
        <v>58699.865979381444</v>
      </c>
      <c r="J151" s="88">
        <f>(C151/(('base para costos'!$J$3-D151)/100-(0.08)))</f>
        <v>63976.258426966291</v>
      </c>
      <c r="K151" s="112">
        <f t="shared" si="32"/>
        <v>33.979999999999997</v>
      </c>
      <c r="L151" s="84">
        <v>9899.49</v>
      </c>
      <c r="M151" s="115"/>
      <c r="N151" s="111">
        <f t="shared" si="33"/>
        <v>96144.370339291112</v>
      </c>
      <c r="O151" s="112" t="s">
        <v>29</v>
      </c>
      <c r="P151" s="116" t="s">
        <v>72</v>
      </c>
    </row>
    <row r="152" spans="1:16" x14ac:dyDescent="0.2">
      <c r="A152" s="116" t="s">
        <v>359</v>
      </c>
      <c r="B152" s="116" t="s">
        <v>360</v>
      </c>
      <c r="C152" s="98">
        <v>18451.8</v>
      </c>
      <c r="D152" s="1">
        <v>3</v>
      </c>
      <c r="E152" s="116">
        <v>14</v>
      </c>
      <c r="F152" s="115">
        <f t="shared" si="20"/>
        <v>16.939999999999998</v>
      </c>
      <c r="G152" s="114" t="s">
        <v>903</v>
      </c>
      <c r="H152" s="113">
        <f>(IF(G152='base para costos'!$G$3,'base para costos'!$H$3)+IF(G152='base para costos'!$G$4,'base para costos'!$H$4)+IF(G152='base para costos'!$G$5,'base para costos'!$H$5)+IF(G152='base para costos'!$G$6,'base para costos'!$H$6)+IF(G152='base para costos'!$G$7,'base para costos'!$H$7)+IF(G152='base para costos'!$G$8,'base para costos'!$H$8)+IF(G152='base para costos'!$G$9,'base para costos'!$H$9)+IF(G152='base para costos'!$G$10,'base para costos'!$H$10)+IF(G152='base para costos'!$G$11,'base para costos'!$H$11))</f>
        <v>0</v>
      </c>
      <c r="I152" s="93">
        <f>(C152/(('base para costos'!$J$3-D152)/100))</f>
        <v>19022.474226804123</v>
      </c>
      <c r="J152" s="88">
        <f>(C152/(('base para costos'!$J$3-D152)/100-(0.08)))</f>
        <v>20732.359550561796</v>
      </c>
      <c r="K152" s="112">
        <f t="shared" si="32"/>
        <v>29.139999999999997</v>
      </c>
      <c r="L152" s="84">
        <v>0</v>
      </c>
      <c r="M152" s="115"/>
      <c r="N152" s="111">
        <f t="shared" si="33"/>
        <v>26039.796782387806</v>
      </c>
      <c r="O152" s="112" t="s">
        <v>73</v>
      </c>
      <c r="P152" s="116" t="s">
        <v>72</v>
      </c>
    </row>
    <row r="153" spans="1:16" x14ac:dyDescent="0.2">
      <c r="A153" s="116" t="s">
        <v>575</v>
      </c>
      <c r="B153" s="116" t="s">
        <v>576</v>
      </c>
      <c r="C153" s="98">
        <v>17000</v>
      </c>
      <c r="D153" s="1">
        <v>3</v>
      </c>
      <c r="E153" s="116">
        <v>14</v>
      </c>
      <c r="F153" s="115">
        <f t="shared" si="20"/>
        <v>16.939999999999998</v>
      </c>
      <c r="G153" s="114" t="s">
        <v>903</v>
      </c>
      <c r="H153" s="113">
        <f>(IF(G153='base para costos'!$G$3,'base para costos'!$H$3)+IF(G153='base para costos'!$G$4,'base para costos'!$H$4)+IF(G153='base para costos'!$G$5,'base para costos'!$H$5)+IF(G153='base para costos'!$G$6,'base para costos'!$H$6)+IF(G153='base para costos'!$G$7,'base para costos'!$H$7)+IF(G153='base para costos'!$G$8,'base para costos'!$H$8)+IF(G153='base para costos'!$G$9,'base para costos'!$H$9)+IF(G153='base para costos'!$G$10,'base para costos'!$H$10)+IF(G153='base para costos'!$G$11,'base para costos'!$H$11))</f>
        <v>0</v>
      </c>
      <c r="I153" s="93">
        <f>(C153/(('base para costos'!$J$3-D153)/100))</f>
        <v>17525.773195876289</v>
      </c>
      <c r="J153" s="88">
        <f>(C153/(('base para costos'!$J$3-D153)/100-(0.08)))</f>
        <v>19101.123595505618</v>
      </c>
      <c r="K153" s="112">
        <f t="shared" si="32"/>
        <v>29.139999999999997</v>
      </c>
      <c r="L153" s="84">
        <v>0</v>
      </c>
      <c r="M153" s="115"/>
      <c r="N153" s="111">
        <f t="shared" si="33"/>
        <v>23990.968106124754</v>
      </c>
      <c r="O153" s="112" t="s">
        <v>263</v>
      </c>
      <c r="P153" s="116" t="s">
        <v>72</v>
      </c>
    </row>
    <row r="154" spans="1:16" x14ac:dyDescent="0.2">
      <c r="A154" s="116" t="s">
        <v>407</v>
      </c>
      <c r="B154" s="116" t="s">
        <v>408</v>
      </c>
      <c r="C154" s="98">
        <v>27000</v>
      </c>
      <c r="D154" s="1">
        <v>3</v>
      </c>
      <c r="E154" s="116">
        <v>14</v>
      </c>
      <c r="F154" s="115">
        <f t="shared" si="20"/>
        <v>16.939999999999998</v>
      </c>
      <c r="G154" s="114" t="s">
        <v>903</v>
      </c>
      <c r="H154" s="113">
        <f>(IF(G154='base para costos'!$G$3,'base para costos'!$H$3)+IF(G154='base para costos'!$G$4,'base para costos'!$H$4)+IF(G154='base para costos'!$G$5,'base para costos'!$H$5)+IF(G154='base para costos'!$G$6,'base para costos'!$H$6)+IF(G154='base para costos'!$G$7,'base para costos'!$H$7)+IF(G154='base para costos'!$G$8,'base para costos'!$H$8)+IF(G154='base para costos'!$G$9,'base para costos'!$H$9)+IF(G154='base para costos'!$G$10,'base para costos'!$H$10)+IF(G154='base para costos'!$G$11,'base para costos'!$H$11))</f>
        <v>0</v>
      </c>
      <c r="I154" s="93">
        <f>(C154/(('base para costos'!$J$3-D154)/100))</f>
        <v>27835.051546391755</v>
      </c>
      <c r="J154" s="88">
        <f>(C154/(('base para costos'!$J$3-D154)/100-(0.08)))</f>
        <v>30337.078651685391</v>
      </c>
      <c r="K154" s="112">
        <f t="shared" si="32"/>
        <v>29.139999999999997</v>
      </c>
      <c r="L154" s="84">
        <v>9899</v>
      </c>
      <c r="M154" s="115"/>
      <c r="N154" s="111">
        <f t="shared" si="33"/>
        <v>48002.302286198137</v>
      </c>
      <c r="O154" s="112" t="s">
        <v>263</v>
      </c>
      <c r="P154" s="116" t="s">
        <v>72</v>
      </c>
    </row>
    <row r="155" spans="1:16" x14ac:dyDescent="0.2">
      <c r="A155" s="116" t="s">
        <v>586</v>
      </c>
      <c r="B155" s="116" t="s">
        <v>587</v>
      </c>
      <c r="C155" s="98">
        <v>7500</v>
      </c>
      <c r="D155" s="1">
        <v>3</v>
      </c>
      <c r="E155" s="116">
        <v>14</v>
      </c>
      <c r="F155" s="115">
        <f t="shared" si="20"/>
        <v>16.939999999999998</v>
      </c>
      <c r="G155" s="114" t="s">
        <v>1301</v>
      </c>
      <c r="H155" s="113">
        <f>(IF(G155='base para costos'!$G$3,'base para costos'!$H$3)+IF(G155='base para costos'!$G$4,'base para costos'!$H$4)+IF(G155='base para costos'!$G$5,'base para costos'!$H$5)+IF(G155='base para costos'!$G$6,'base para costos'!$H$6)+IF(G155='base para costos'!$G$7,'base para costos'!$H$7)+IF(G155='base para costos'!$G$8,'base para costos'!$H$8)+IF(G155='base para costos'!$G$9,'base para costos'!$H$9)+IF(G155='base para costos'!$G$10,'base para costos'!$H$10)+IF(G155='base para costos'!$G$11,'base para costos'!$H$11))</f>
        <v>0</v>
      </c>
      <c r="I155" s="93">
        <f>(C155/(('base para costos'!$J$3-D155)/100))</f>
        <v>7731.9587628865984</v>
      </c>
      <c r="J155" s="88">
        <f>(C155/(('base para costos'!$J$3-D155)/100-(0.08)))</f>
        <v>8426.9662921348317</v>
      </c>
      <c r="K155" s="112">
        <f t="shared" si="32"/>
        <v>29.139999999999997</v>
      </c>
      <c r="L155" s="84">
        <v>6266</v>
      </c>
      <c r="M155" s="115"/>
      <c r="N155" s="111">
        <f t="shared" si="33"/>
        <v>16850.250635055039</v>
      </c>
      <c r="O155" s="112" t="s">
        <v>73</v>
      </c>
      <c r="P155" s="116" t="s">
        <v>72</v>
      </c>
    </row>
    <row r="156" spans="1:16" x14ac:dyDescent="0.2">
      <c r="A156" s="116" t="s">
        <v>558</v>
      </c>
      <c r="B156" s="116" t="s">
        <v>559</v>
      </c>
      <c r="C156" s="98">
        <v>18700.009999999998</v>
      </c>
      <c r="D156" s="1">
        <v>3</v>
      </c>
      <c r="E156" s="116">
        <v>14</v>
      </c>
      <c r="F156" s="115">
        <f t="shared" si="20"/>
        <v>16.939999999999998</v>
      </c>
      <c r="G156" s="114" t="s">
        <v>903</v>
      </c>
      <c r="H156" s="113">
        <f>(IF(G156='base para costos'!$G$3,'base para costos'!$H$3)+IF(G156='base para costos'!$G$4,'base para costos'!$H$4)+IF(G156='base para costos'!$G$5,'base para costos'!$H$5)+IF(G156='base para costos'!$G$6,'base para costos'!$H$6)+IF(G156='base para costos'!$G$7,'base para costos'!$H$7)+IF(G156='base para costos'!$G$8,'base para costos'!$H$8)+IF(G156='base para costos'!$G$9,'base para costos'!$H$9)+IF(G156='base para costos'!$G$10,'base para costos'!$H$10)+IF(G156='base para costos'!$G$11,'base para costos'!$H$11))</f>
        <v>0</v>
      </c>
      <c r="I156" s="93">
        <f>(C156/(('base para costos'!$J$3-D156)/100))</f>
        <v>19278.360824742267</v>
      </c>
      <c r="J156" s="88">
        <f>(C156/(('base para costos'!$J$3-D156)/100-(0.08)))</f>
        <v>21011.247191011233</v>
      </c>
      <c r="K156" s="112">
        <f t="shared" si="32"/>
        <v>29.139999999999997</v>
      </c>
      <c r="L156" s="84">
        <v>0</v>
      </c>
      <c r="M156" s="115"/>
      <c r="N156" s="111">
        <f t="shared" si="33"/>
        <v>26390.079029071407</v>
      </c>
      <c r="O156" s="112" t="s">
        <v>263</v>
      </c>
      <c r="P156" s="116" t="s">
        <v>72</v>
      </c>
    </row>
    <row r="157" spans="1:16" x14ac:dyDescent="0.2">
      <c r="A157" s="116" t="s">
        <v>935</v>
      </c>
      <c r="B157" s="116" t="s">
        <v>1580</v>
      </c>
      <c r="C157" s="98">
        <v>30415</v>
      </c>
      <c r="D157" s="1">
        <v>3</v>
      </c>
      <c r="E157" s="116">
        <v>14</v>
      </c>
      <c r="F157" s="115">
        <f t="shared" ref="F157" si="34">E157*1.21</f>
        <v>16.939999999999998</v>
      </c>
      <c r="G157" s="114" t="s">
        <v>903</v>
      </c>
      <c r="H157" s="113">
        <f>(IF(G157='base para costos'!$G$3,'base para costos'!$H$3)+IF(G157='base para costos'!$G$4,'base para costos'!$H$4)+IF(G157='base para costos'!$G$5,'base para costos'!$H$5)+IF(G157='base para costos'!$G$6,'base para costos'!$H$6)+IF(G157='base para costos'!$G$7,'base para costos'!$H$7)+IF(G157='base para costos'!$G$8,'base para costos'!$H$8)+IF(G157='base para costos'!$G$9,'base para costos'!$H$9)+IF(G157='base para costos'!$G$10,'base para costos'!$H$10)+IF(G157='base para costos'!$G$11,'base para costos'!$H$11))</f>
        <v>0</v>
      </c>
      <c r="I157" s="93">
        <f>(C157/(('base para costos'!$J$3-D157)/100))</f>
        <v>31355.670103092783</v>
      </c>
      <c r="J157" s="88">
        <f>(C157/(('base para costos'!$J$3-D157)/100-(0.08)))</f>
        <v>34174.157303370783</v>
      </c>
      <c r="K157" s="112">
        <f t="shared" si="32"/>
        <v>29.139999999999997</v>
      </c>
      <c r="L157" s="84">
        <v>9900</v>
      </c>
      <c r="M157" s="115"/>
      <c r="N157" s="111">
        <f t="shared" si="33"/>
        <v>52822.664408693199</v>
      </c>
      <c r="O157" s="112"/>
      <c r="P157" s="116"/>
    </row>
    <row r="158" spans="1:16" x14ac:dyDescent="0.2">
      <c r="A158" s="116" t="s">
        <v>431</v>
      </c>
      <c r="B158" s="116" t="s">
        <v>432</v>
      </c>
      <c r="C158" s="98">
        <v>18451.8</v>
      </c>
      <c r="D158" s="1">
        <v>3</v>
      </c>
      <c r="E158" s="116">
        <v>14</v>
      </c>
      <c r="F158" s="115">
        <f t="shared" si="20"/>
        <v>16.939999999999998</v>
      </c>
      <c r="G158" s="114" t="s">
        <v>903</v>
      </c>
      <c r="H158" s="113">
        <f>(IF(G158='base para costos'!$G$3,'base para costos'!$H$3)+IF(G158='base para costos'!$G$4,'base para costos'!$H$4)+IF(G158='base para costos'!$G$5,'base para costos'!$H$5)+IF(G158='base para costos'!$G$6,'base para costos'!$H$6)+IF(G158='base para costos'!$G$7,'base para costos'!$H$7)+IF(G158='base para costos'!$G$8,'base para costos'!$H$8)+IF(G158='base para costos'!$G$9,'base para costos'!$H$9)+IF(G158='base para costos'!$G$10,'base para costos'!$H$10)+IF(G158='base para costos'!$G$11,'base para costos'!$H$11))</f>
        <v>0</v>
      </c>
      <c r="I158" s="93">
        <f>(C158/(('base para costos'!$J$3-D158)/100))</f>
        <v>19022.474226804123</v>
      </c>
      <c r="J158" s="88">
        <f>(C158/(('base para costos'!$J$3-D158)/100-(0.08)))</f>
        <v>20732.359550561796</v>
      </c>
      <c r="K158" s="112">
        <f t="shared" si="32"/>
        <v>29.139999999999997</v>
      </c>
      <c r="L158" s="84">
        <v>0</v>
      </c>
      <c r="M158" s="115"/>
      <c r="N158" s="111">
        <f t="shared" si="33"/>
        <v>26039.796782387806</v>
      </c>
      <c r="O158" s="112" t="s">
        <v>73</v>
      </c>
      <c r="P158" s="116" t="s">
        <v>72</v>
      </c>
    </row>
    <row r="159" spans="1:16" x14ac:dyDescent="0.2">
      <c r="A159" s="116" t="s">
        <v>433</v>
      </c>
      <c r="B159" s="116" t="s">
        <v>434</v>
      </c>
      <c r="C159" s="98">
        <v>18451.8</v>
      </c>
      <c r="D159" s="1">
        <v>3</v>
      </c>
      <c r="E159" s="116">
        <v>14</v>
      </c>
      <c r="F159" s="115">
        <f t="shared" si="20"/>
        <v>16.939999999999998</v>
      </c>
      <c r="G159" s="114" t="s">
        <v>903</v>
      </c>
      <c r="H159" s="113">
        <f>(IF(G159='base para costos'!$G$3,'base para costos'!$H$3)+IF(G159='base para costos'!$G$4,'base para costos'!$H$4)+IF(G159='base para costos'!$G$5,'base para costos'!$H$5)+IF(G159='base para costos'!$G$6,'base para costos'!$H$6)+IF(G159='base para costos'!$G$7,'base para costos'!$H$7)+IF(G159='base para costos'!$G$8,'base para costos'!$H$8)+IF(G159='base para costos'!$G$9,'base para costos'!$H$9)+IF(G159='base para costos'!$G$10,'base para costos'!$H$10)+IF(G159='base para costos'!$G$11,'base para costos'!$H$11))</f>
        <v>0</v>
      </c>
      <c r="I159" s="93">
        <f>(C159/(('base para costos'!$J$3-D159)/100))</f>
        <v>19022.474226804123</v>
      </c>
      <c r="J159" s="88">
        <f>(C159/(('base para costos'!$J$3-D159)/100-(0.08)))</f>
        <v>20732.359550561796</v>
      </c>
      <c r="K159" s="112">
        <f t="shared" si="32"/>
        <v>29.139999999999997</v>
      </c>
      <c r="L159" s="84">
        <v>0</v>
      </c>
      <c r="M159" s="115"/>
      <c r="N159" s="111">
        <f t="shared" si="33"/>
        <v>26039.796782387806</v>
      </c>
      <c r="O159" s="112" t="s">
        <v>73</v>
      </c>
      <c r="P159" s="116" t="s">
        <v>72</v>
      </c>
    </row>
    <row r="160" spans="1:16" x14ac:dyDescent="0.2">
      <c r="A160" s="116" t="s">
        <v>1567</v>
      </c>
      <c r="B160" s="116" t="s">
        <v>1568</v>
      </c>
      <c r="C160" s="98">
        <v>42400</v>
      </c>
      <c r="D160" s="1">
        <v>3</v>
      </c>
      <c r="E160" s="116">
        <v>14</v>
      </c>
      <c r="F160" s="115">
        <f t="shared" si="20"/>
        <v>16.939999999999998</v>
      </c>
      <c r="G160" s="114" t="s">
        <v>903</v>
      </c>
      <c r="H160" s="113">
        <f>(IF(G160='base para costos'!$G$3,'base para costos'!$H$3)+IF(G160='base para costos'!$G$4,'base para costos'!$H$4)+IF(G160='base para costos'!$G$5,'base para costos'!$H$5)+IF(G160='base para costos'!$G$6,'base para costos'!$H$6)+IF(G160='base para costos'!$G$7,'base para costos'!$H$7)+IF(G160='base para costos'!$G$8,'base para costos'!$H$8)+IF(G160='base para costos'!$G$9,'base para costos'!$H$9)+IF(G160='base para costos'!$G$10,'base para costos'!$H$10)+IF(G160='base para costos'!$G$11,'base para costos'!$H$11))</f>
        <v>0</v>
      </c>
      <c r="I160" s="93">
        <f>(C160/(('base para costos'!$J$3-D160)/100))</f>
        <v>43711.340206185567</v>
      </c>
      <c r="J160" s="88">
        <f>(C160/(('base para costos'!$J$3-D160)/100-(0.08)))</f>
        <v>47640.449438202246</v>
      </c>
      <c r="K160" s="112">
        <f t="shared" si="32"/>
        <v>29.139999999999997</v>
      </c>
      <c r="L160" s="84">
        <v>11455</v>
      </c>
      <c r="M160" s="115"/>
      <c r="N160" s="111">
        <f t="shared" si="33"/>
        <v>71291.296923511138</v>
      </c>
      <c r="O160" s="112" t="s">
        <v>1569</v>
      </c>
      <c r="P160" s="116" t="s">
        <v>72</v>
      </c>
    </row>
    <row r="161" spans="1:16" x14ac:dyDescent="0.2">
      <c r="A161" s="116" t="s">
        <v>456</v>
      </c>
      <c r="B161" s="116" t="s">
        <v>457</v>
      </c>
      <c r="C161" s="98">
        <v>33149.99</v>
      </c>
      <c r="D161" s="1">
        <v>3</v>
      </c>
      <c r="E161" s="116">
        <v>14</v>
      </c>
      <c r="F161" s="115">
        <f t="shared" si="20"/>
        <v>16.939999999999998</v>
      </c>
      <c r="G161" s="114" t="s">
        <v>903</v>
      </c>
      <c r="H161" s="113">
        <f>(IF(G161='base para costos'!$G$3,'base para costos'!$H$3)+IF(G161='base para costos'!$G$4,'base para costos'!$H$4)+IF(G161='base para costos'!$G$5,'base para costos'!$H$5)+IF(G161='base para costos'!$G$6,'base para costos'!$H$6)+IF(G161='base para costos'!$G$7,'base para costos'!$H$7)+IF(G161='base para costos'!$G$8,'base para costos'!$H$8)+IF(G161='base para costos'!$G$9,'base para costos'!$H$9)+IF(G161='base para costos'!$G$10,'base para costos'!$H$10)+IF(G161='base para costos'!$G$11,'base para costos'!$H$11))</f>
        <v>0</v>
      </c>
      <c r="I161" s="93">
        <f>(C161/(('base para costos'!$J$3-D161)/100))</f>
        <v>34175.247422680412</v>
      </c>
      <c r="J161" s="88">
        <f>(C161/(('base para costos'!$J$3-D161)/100-(0.08)))</f>
        <v>37247.179775280892</v>
      </c>
      <c r="K161" s="112">
        <f t="shared" si="32"/>
        <v>29.139999999999997</v>
      </c>
      <c r="L161" s="84">
        <v>0</v>
      </c>
      <c r="M161" s="115"/>
      <c r="N161" s="111">
        <f t="shared" si="33"/>
        <v>46782.373694609087</v>
      </c>
      <c r="O161" s="112" t="s">
        <v>263</v>
      </c>
      <c r="P161" s="116" t="s">
        <v>72</v>
      </c>
    </row>
    <row r="162" spans="1:16" x14ac:dyDescent="0.2">
      <c r="A162" s="116" t="s">
        <v>519</v>
      </c>
      <c r="B162" s="116" t="s">
        <v>520</v>
      </c>
      <c r="C162" s="98">
        <v>23164.17</v>
      </c>
      <c r="D162" s="1">
        <v>3</v>
      </c>
      <c r="E162" s="116">
        <v>14.15</v>
      </c>
      <c r="F162" s="115">
        <f t="shared" si="20"/>
        <v>17.121500000000001</v>
      </c>
      <c r="G162" s="114" t="s">
        <v>903</v>
      </c>
      <c r="H162" s="113">
        <f>(IF(G162='base para costos'!$G$3,'base para costos'!$H$3)+IF(G162='base para costos'!$G$4,'base para costos'!$H$4)+IF(G162='base para costos'!$G$5,'base para costos'!$H$5)+IF(G162='base para costos'!$G$6,'base para costos'!$H$6)+IF(G162='base para costos'!$G$7,'base para costos'!$H$7)+IF(G162='base para costos'!$G$8,'base para costos'!$H$8)+IF(G162='base para costos'!$G$9,'base para costos'!$H$9)+IF(G162='base para costos'!$G$10,'base para costos'!$H$10)+IF(G162='base para costos'!$G$11,'base para costos'!$H$11))</f>
        <v>0</v>
      </c>
      <c r="I162" s="93">
        <f>(C162/(('base para costos'!$J$3-D162)/100))</f>
        <v>23880.587628865978</v>
      </c>
      <c r="J162" s="88">
        <f>(C162/(('base para costos'!$J$3-D162)/100-(0.08)))</f>
        <v>26027.157303370783</v>
      </c>
      <c r="K162" s="112">
        <f t="shared" si="32"/>
        <v>29.3215</v>
      </c>
      <c r="L162" s="84">
        <v>0</v>
      </c>
      <c r="M162" s="115"/>
      <c r="N162" s="111">
        <f t="shared" si="33"/>
        <v>32773.9977503767</v>
      </c>
      <c r="O162" s="112" t="s">
        <v>121</v>
      </c>
      <c r="P162" s="116" t="s">
        <v>28</v>
      </c>
    </row>
    <row r="163" spans="1:16" x14ac:dyDescent="0.2">
      <c r="A163" s="116" t="s">
        <v>159</v>
      </c>
      <c r="B163" s="116" t="s">
        <v>160</v>
      </c>
      <c r="C163" s="98">
        <v>47600.75</v>
      </c>
      <c r="D163" s="1">
        <v>3</v>
      </c>
      <c r="E163" s="116">
        <v>14.15</v>
      </c>
      <c r="F163" s="115">
        <f t="shared" si="20"/>
        <v>17.121500000000001</v>
      </c>
      <c r="G163" s="114" t="s">
        <v>903</v>
      </c>
      <c r="H163" s="113">
        <f t="shared" ref="H163:H187" si="35">(IF(G163=$G$3,$H$3)+IF(G163=$G$4,$H$4)+IF(G163=$G$5,$H$5)+IF(G163=$G$6,$H$6)+IF(G163=$G$7,$H$7)+IF(G163=$G$8,$H$8)+IF(G163=$G$9,$H$9)+IF(G163=$G$10,$H$10)+IF(G163=$G$11,$H$11))</f>
        <v>0</v>
      </c>
      <c r="I163" s="93">
        <f t="shared" ref="I163:I194" si="36">(C163/(($J$3-D163)/100))</f>
        <v>49072.938144329899</v>
      </c>
      <c r="J163" s="88">
        <f t="shared" ref="J163:J194" si="37">(C163/(($J$3-D163)/100-(0.08)))</f>
        <v>53483.988764044945</v>
      </c>
      <c r="K163" s="112">
        <f t="shared" si="32"/>
        <v>29.3215</v>
      </c>
      <c r="L163" s="84">
        <v>0</v>
      </c>
      <c r="M163" s="115"/>
      <c r="N163" s="111">
        <f t="shared" si="33"/>
        <v>67348.274227664704</v>
      </c>
      <c r="O163" s="112" t="s">
        <v>161</v>
      </c>
      <c r="P163" s="116" t="s">
        <v>28</v>
      </c>
    </row>
    <row r="164" spans="1:16" x14ac:dyDescent="0.2">
      <c r="A164" s="116" t="s">
        <v>26</v>
      </c>
      <c r="B164" s="116" t="s">
        <v>1136</v>
      </c>
      <c r="C164" s="98">
        <v>114286</v>
      </c>
      <c r="D164" s="1">
        <v>3</v>
      </c>
      <c r="E164" s="116">
        <v>14.15</v>
      </c>
      <c r="F164" s="115">
        <f t="shared" si="20"/>
        <v>17.121500000000001</v>
      </c>
      <c r="G164" s="114" t="s">
        <v>903</v>
      </c>
      <c r="H164" s="113">
        <f t="shared" si="35"/>
        <v>0</v>
      </c>
      <c r="I164" s="93">
        <f t="shared" si="36"/>
        <v>117820.61855670104</v>
      </c>
      <c r="J164" s="88">
        <f t="shared" si="37"/>
        <v>128411.23595505618</v>
      </c>
      <c r="K164" s="112">
        <f t="shared" si="32"/>
        <v>29.3215</v>
      </c>
      <c r="L164" s="84"/>
      <c r="M164" s="115"/>
      <c r="N164" s="111">
        <f t="shared" si="33"/>
        <v>161698.39484425957</v>
      </c>
      <c r="O164" s="112" t="s">
        <v>29</v>
      </c>
      <c r="P164" s="116" t="s">
        <v>28</v>
      </c>
    </row>
    <row r="165" spans="1:16" x14ac:dyDescent="0.2">
      <c r="A165" s="116" t="s">
        <v>119</v>
      </c>
      <c r="B165" s="116" t="s">
        <v>120</v>
      </c>
      <c r="C165" s="98">
        <v>48935.22</v>
      </c>
      <c r="D165" s="1">
        <v>3</v>
      </c>
      <c r="E165" s="116">
        <v>14.15</v>
      </c>
      <c r="F165" s="115">
        <f t="shared" si="20"/>
        <v>17.121500000000001</v>
      </c>
      <c r="G165" s="114" t="s">
        <v>1190</v>
      </c>
      <c r="H165" s="113">
        <f t="shared" si="35"/>
        <v>0</v>
      </c>
      <c r="I165" s="93">
        <f t="shared" si="36"/>
        <v>50448.680412371134</v>
      </c>
      <c r="J165" s="88">
        <f t="shared" si="37"/>
        <v>54983.393258426964</v>
      </c>
      <c r="K165" s="112">
        <f t="shared" si="32"/>
        <v>29.3215</v>
      </c>
      <c r="L165" s="84">
        <v>0</v>
      </c>
      <c r="M165" s="115"/>
      <c r="N165" s="111">
        <f t="shared" si="33"/>
        <v>69236.359005921186</v>
      </c>
      <c r="O165" s="112" t="s">
        <v>121</v>
      </c>
      <c r="P165" s="116" t="s">
        <v>28</v>
      </c>
    </row>
    <row r="166" spans="1:16" x14ac:dyDescent="0.2">
      <c r="A166" s="116" t="s">
        <v>245</v>
      </c>
      <c r="B166" s="116" t="s">
        <v>246</v>
      </c>
      <c r="C166" s="98">
        <v>204765.57</v>
      </c>
      <c r="D166" s="1">
        <v>3</v>
      </c>
      <c r="E166" s="116">
        <v>14.15</v>
      </c>
      <c r="F166" s="115">
        <f t="shared" si="20"/>
        <v>17.121500000000001</v>
      </c>
      <c r="G166" s="114" t="s">
        <v>903</v>
      </c>
      <c r="H166" s="113">
        <f t="shared" si="35"/>
        <v>0</v>
      </c>
      <c r="I166" s="93">
        <f t="shared" si="36"/>
        <v>211098.5257731959</v>
      </c>
      <c r="J166" s="88">
        <f t="shared" si="37"/>
        <v>230073.67415730338</v>
      </c>
      <c r="K166" s="112">
        <f t="shared" si="32"/>
        <v>29.3215</v>
      </c>
      <c r="L166" s="84">
        <v>0</v>
      </c>
      <c r="M166" s="115"/>
      <c r="N166" s="111">
        <f t="shared" si="33"/>
        <v>289714.08561302238</v>
      </c>
      <c r="O166" s="112" t="s">
        <v>29</v>
      </c>
      <c r="P166" s="116" t="s">
        <v>28</v>
      </c>
    </row>
    <row r="167" spans="1:16" x14ac:dyDescent="0.2">
      <c r="A167" s="116" t="s">
        <v>1050</v>
      </c>
      <c r="B167" s="116" t="s">
        <v>1051</v>
      </c>
      <c r="C167" s="98">
        <v>103545</v>
      </c>
      <c r="D167" s="1">
        <v>20</v>
      </c>
      <c r="E167" s="116">
        <v>14.15</v>
      </c>
      <c r="F167" s="115">
        <f t="shared" si="20"/>
        <v>17.121500000000001</v>
      </c>
      <c r="G167" s="114" t="s">
        <v>903</v>
      </c>
      <c r="H167" s="113">
        <f t="shared" si="35"/>
        <v>0</v>
      </c>
      <c r="I167" s="93">
        <f t="shared" si="36"/>
        <v>129431.25</v>
      </c>
      <c r="J167" s="88">
        <f t="shared" si="37"/>
        <v>143812.49999999997</v>
      </c>
      <c r="K167" s="112">
        <f t="shared" si="32"/>
        <v>46.3215</v>
      </c>
      <c r="L167" s="84">
        <v>0</v>
      </c>
      <c r="M167" s="115"/>
      <c r="N167" s="111">
        <f t="shared" si="33"/>
        <v>192898.46027739227</v>
      </c>
      <c r="O167" s="112" t="s">
        <v>29</v>
      </c>
      <c r="P167" s="116" t="s">
        <v>28</v>
      </c>
    </row>
    <row r="168" spans="1:16" x14ac:dyDescent="0.2">
      <c r="A168" s="116" t="s">
        <v>1314</v>
      </c>
      <c r="B168" s="116" t="s">
        <v>1313</v>
      </c>
      <c r="C168" s="98">
        <v>397580</v>
      </c>
      <c r="D168" s="1">
        <v>3</v>
      </c>
      <c r="E168" s="116">
        <v>14.15</v>
      </c>
      <c r="F168" s="115">
        <f t="shared" si="20"/>
        <v>17.121500000000001</v>
      </c>
      <c r="G168" s="114" t="s">
        <v>903</v>
      </c>
      <c r="H168" s="113">
        <f t="shared" si="35"/>
        <v>0</v>
      </c>
      <c r="I168" s="93">
        <f t="shared" si="36"/>
        <v>409876.28865979385</v>
      </c>
      <c r="J168" s="88">
        <f t="shared" si="37"/>
        <v>446719.10112359549</v>
      </c>
      <c r="K168" s="112">
        <f t="shared" si="32"/>
        <v>29.3215</v>
      </c>
      <c r="L168" s="84"/>
      <c r="M168" s="115"/>
      <c r="N168" s="111">
        <f t="shared" si="33"/>
        <v>562519.01214655093</v>
      </c>
      <c r="O168" s="112" t="s">
        <v>1094</v>
      </c>
      <c r="P168" s="116" t="s">
        <v>1304</v>
      </c>
    </row>
    <row r="169" spans="1:16" x14ac:dyDescent="0.2">
      <c r="A169" s="116" t="s">
        <v>1312</v>
      </c>
      <c r="B169" s="116" t="s">
        <v>1311</v>
      </c>
      <c r="C169" s="98">
        <v>583494</v>
      </c>
      <c r="D169" s="1">
        <v>3</v>
      </c>
      <c r="E169" s="116">
        <v>14.15</v>
      </c>
      <c r="F169" s="115">
        <f t="shared" si="20"/>
        <v>17.121500000000001</v>
      </c>
      <c r="G169" s="114" t="s">
        <v>1237</v>
      </c>
      <c r="H169" s="113">
        <f t="shared" si="35"/>
        <v>4.84</v>
      </c>
      <c r="I169" s="93">
        <f t="shared" si="36"/>
        <v>601540.20618556708</v>
      </c>
      <c r="J169" s="88">
        <f t="shared" si="37"/>
        <v>655611.23595505615</v>
      </c>
      <c r="K169" s="112">
        <f t="shared" si="32"/>
        <v>34.161500000000004</v>
      </c>
      <c r="L169" s="84"/>
      <c r="M169" s="115"/>
      <c r="N169" s="111">
        <f t="shared" si="33"/>
        <v>886250.44616751594</v>
      </c>
      <c r="O169" s="112" t="s">
        <v>1094</v>
      </c>
      <c r="P169" s="116" t="s">
        <v>112</v>
      </c>
    </row>
    <row r="170" spans="1:16" x14ac:dyDescent="0.2">
      <c r="A170" s="116" t="s">
        <v>1310</v>
      </c>
      <c r="B170" s="116" t="s">
        <v>1309</v>
      </c>
      <c r="C170" s="98">
        <v>604712</v>
      </c>
      <c r="D170" s="1">
        <v>3</v>
      </c>
      <c r="E170" s="116">
        <v>14.15</v>
      </c>
      <c r="F170" s="115">
        <f t="shared" si="20"/>
        <v>17.121500000000001</v>
      </c>
      <c r="G170" s="114" t="s">
        <v>903</v>
      </c>
      <c r="H170" s="113">
        <f t="shared" si="35"/>
        <v>0</v>
      </c>
      <c r="I170" s="93">
        <f t="shared" si="36"/>
        <v>623414.43298969069</v>
      </c>
      <c r="J170" s="88">
        <f t="shared" si="37"/>
        <v>679451.68539325846</v>
      </c>
      <c r="K170" s="112">
        <f t="shared" si="32"/>
        <v>29.3215</v>
      </c>
      <c r="L170" s="84">
        <v>0</v>
      </c>
      <c r="M170" s="115"/>
      <c r="N170" s="111">
        <f t="shared" si="33"/>
        <v>855581.25879864453</v>
      </c>
      <c r="O170" s="112" t="s">
        <v>1094</v>
      </c>
      <c r="P170" s="116" t="s">
        <v>112</v>
      </c>
    </row>
    <row r="171" spans="1:16" x14ac:dyDescent="0.2">
      <c r="A171" s="116" t="s">
        <v>1097</v>
      </c>
      <c r="B171" s="116" t="s">
        <v>1098</v>
      </c>
      <c r="C171" s="98">
        <v>737519.54</v>
      </c>
      <c r="D171" s="1">
        <v>3</v>
      </c>
      <c r="E171" s="116">
        <v>14.15</v>
      </c>
      <c r="F171" s="115">
        <f t="shared" si="20"/>
        <v>17.121500000000001</v>
      </c>
      <c r="G171" s="114" t="s">
        <v>903</v>
      </c>
      <c r="H171" s="113">
        <f t="shared" si="35"/>
        <v>0</v>
      </c>
      <c r="I171" s="93">
        <f t="shared" si="36"/>
        <v>760329.42268041242</v>
      </c>
      <c r="J171" s="88">
        <f t="shared" si="37"/>
        <v>828673.64044943824</v>
      </c>
      <c r="K171" s="112">
        <f t="shared" si="32"/>
        <v>29.3215</v>
      </c>
      <c r="L171" s="84">
        <v>0</v>
      </c>
      <c r="M171" s="115"/>
      <c r="N171" s="111">
        <f t="shared" si="33"/>
        <v>1043484.9918999413</v>
      </c>
      <c r="O171" s="112" t="s">
        <v>15</v>
      </c>
      <c r="P171" s="116" t="s">
        <v>112</v>
      </c>
    </row>
    <row r="172" spans="1:16" x14ac:dyDescent="0.2">
      <c r="A172" s="116" t="s">
        <v>110</v>
      </c>
      <c r="B172" s="116" t="s">
        <v>111</v>
      </c>
      <c r="C172" s="98">
        <v>850000</v>
      </c>
      <c r="D172" s="1">
        <v>3</v>
      </c>
      <c r="E172" s="116">
        <v>14.15</v>
      </c>
      <c r="F172" s="115">
        <f t="shared" si="20"/>
        <v>17.121500000000001</v>
      </c>
      <c r="G172" s="114" t="s">
        <v>903</v>
      </c>
      <c r="H172" s="113">
        <f t="shared" si="35"/>
        <v>0</v>
      </c>
      <c r="I172" s="93">
        <f t="shared" si="36"/>
        <v>876288.65979381441</v>
      </c>
      <c r="J172" s="88">
        <f t="shared" si="37"/>
        <v>955056.17977528088</v>
      </c>
      <c r="K172" s="112">
        <f t="shared" si="32"/>
        <v>29.3215</v>
      </c>
      <c r="L172" s="84">
        <v>0</v>
      </c>
      <c r="M172" s="115"/>
      <c r="N172" s="111">
        <f t="shared" si="33"/>
        <v>1202628.805082168</v>
      </c>
      <c r="O172" s="112" t="s">
        <v>15</v>
      </c>
      <c r="P172" s="116" t="s">
        <v>112</v>
      </c>
    </row>
    <row r="173" spans="1:16" x14ac:dyDescent="0.2">
      <c r="A173" s="116" t="s">
        <v>1162</v>
      </c>
      <c r="B173" s="116" t="s">
        <v>1163</v>
      </c>
      <c r="C173" s="98">
        <v>17504.45</v>
      </c>
      <c r="D173" s="1">
        <v>3</v>
      </c>
      <c r="E173" s="116">
        <v>14.15</v>
      </c>
      <c r="F173" s="115">
        <f t="shared" si="20"/>
        <v>17.121500000000001</v>
      </c>
      <c r="G173" s="114" t="s">
        <v>1619</v>
      </c>
      <c r="H173" s="113">
        <f t="shared" si="35"/>
        <v>16.213999999999999</v>
      </c>
      <c r="I173" s="93">
        <f t="shared" si="36"/>
        <v>18045.824742268043</v>
      </c>
      <c r="J173" s="88">
        <f t="shared" si="37"/>
        <v>19667.921348314609</v>
      </c>
      <c r="K173" s="112">
        <f t="shared" si="32"/>
        <v>45.535499999999999</v>
      </c>
      <c r="L173" s="84">
        <v>5873</v>
      </c>
      <c r="M173" s="115"/>
      <c r="N173" s="111">
        <f t="shared" si="33"/>
        <v>38012.191583508524</v>
      </c>
      <c r="O173" s="112" t="s">
        <v>1166</v>
      </c>
      <c r="P173" s="116" t="s">
        <v>28</v>
      </c>
    </row>
    <row r="174" spans="1:16" x14ac:dyDescent="0.2">
      <c r="A174" s="116" t="s">
        <v>1149</v>
      </c>
      <c r="B174" s="116" t="s">
        <v>1148</v>
      </c>
      <c r="C174" s="98">
        <v>116696.23</v>
      </c>
      <c r="D174" s="1">
        <v>3</v>
      </c>
      <c r="E174" s="116">
        <v>14.5</v>
      </c>
      <c r="F174" s="115">
        <f t="shared" ref="F174:F243" si="38">E174*1.21</f>
        <v>17.544999999999998</v>
      </c>
      <c r="G174" s="114" t="s">
        <v>903</v>
      </c>
      <c r="H174" s="113">
        <f t="shared" si="35"/>
        <v>0</v>
      </c>
      <c r="I174" s="93">
        <f t="shared" si="36"/>
        <v>120305.39175257731</v>
      </c>
      <c r="J174" s="88">
        <f t="shared" si="37"/>
        <v>131119.35955056178</v>
      </c>
      <c r="K174" s="112">
        <f t="shared" si="32"/>
        <v>29.744999999999997</v>
      </c>
      <c r="L174" s="84">
        <v>0</v>
      </c>
      <c r="M174" s="115"/>
      <c r="N174" s="111">
        <f t="shared" si="33"/>
        <v>166103.80755818091</v>
      </c>
      <c r="O174" s="112" t="s">
        <v>153</v>
      </c>
      <c r="P174" s="116" t="s">
        <v>1165</v>
      </c>
    </row>
    <row r="175" spans="1:16" x14ac:dyDescent="0.2">
      <c r="A175" s="116" t="s">
        <v>1147</v>
      </c>
      <c r="B175" s="116" t="s">
        <v>1150</v>
      </c>
      <c r="C175" s="98">
        <v>114526.31</v>
      </c>
      <c r="D175" s="1">
        <v>3</v>
      </c>
      <c r="E175" s="116">
        <v>14.5</v>
      </c>
      <c r="F175" s="115">
        <f t="shared" si="38"/>
        <v>17.544999999999998</v>
      </c>
      <c r="G175" s="114" t="s">
        <v>903</v>
      </c>
      <c r="H175" s="113">
        <f t="shared" si="35"/>
        <v>0</v>
      </c>
      <c r="I175" s="93">
        <f t="shared" si="36"/>
        <v>118068.36082474227</v>
      </c>
      <c r="J175" s="88">
        <f t="shared" si="37"/>
        <v>128681.24719101124</v>
      </c>
      <c r="K175" s="112">
        <f t="shared" si="32"/>
        <v>29.744999999999997</v>
      </c>
      <c r="L175" s="84">
        <v>0</v>
      </c>
      <c r="M175" s="115"/>
      <c r="N175" s="111">
        <f t="shared" si="33"/>
        <v>163015.17329727422</v>
      </c>
      <c r="O175" s="112" t="s">
        <v>153</v>
      </c>
      <c r="P175" s="116" t="s">
        <v>1165</v>
      </c>
    </row>
    <row r="176" spans="1:16" x14ac:dyDescent="0.2">
      <c r="A176" s="116" t="s">
        <v>1151</v>
      </c>
      <c r="B176" s="116" t="s">
        <v>1152</v>
      </c>
      <c r="C176" s="98">
        <v>114526.31</v>
      </c>
      <c r="D176" s="1">
        <v>3</v>
      </c>
      <c r="E176" s="116">
        <v>14.5</v>
      </c>
      <c r="F176" s="115">
        <f t="shared" si="38"/>
        <v>17.544999999999998</v>
      </c>
      <c r="G176" s="114" t="s">
        <v>903</v>
      </c>
      <c r="H176" s="113">
        <f t="shared" si="35"/>
        <v>0</v>
      </c>
      <c r="I176" s="93">
        <f t="shared" si="36"/>
        <v>118068.36082474227</v>
      </c>
      <c r="J176" s="88">
        <f t="shared" si="37"/>
        <v>128681.24719101124</v>
      </c>
      <c r="K176" s="112">
        <f t="shared" si="32"/>
        <v>29.744999999999997</v>
      </c>
      <c r="L176" s="84">
        <v>0</v>
      </c>
      <c r="M176" s="115"/>
      <c r="N176" s="111">
        <f t="shared" si="33"/>
        <v>163015.17329727422</v>
      </c>
      <c r="O176" s="112" t="s">
        <v>153</v>
      </c>
      <c r="P176" s="116" t="s">
        <v>1165</v>
      </c>
    </row>
    <row r="177" spans="1:16" x14ac:dyDescent="0.2">
      <c r="A177" s="116" t="s">
        <v>180</v>
      </c>
      <c r="B177" s="116" t="s">
        <v>181</v>
      </c>
      <c r="C177" s="98">
        <v>14076</v>
      </c>
      <c r="D177" s="1">
        <v>3</v>
      </c>
      <c r="E177" s="116">
        <v>13.5</v>
      </c>
      <c r="F177" s="115">
        <f t="shared" si="38"/>
        <v>16.335000000000001</v>
      </c>
      <c r="G177" s="114" t="s">
        <v>903</v>
      </c>
      <c r="H177" s="113">
        <f t="shared" si="35"/>
        <v>0</v>
      </c>
      <c r="I177" s="93">
        <f t="shared" si="36"/>
        <v>14511.340206185567</v>
      </c>
      <c r="J177" s="88">
        <f t="shared" si="37"/>
        <v>15815.730337078652</v>
      </c>
      <c r="K177" s="112">
        <f t="shared" si="32"/>
        <v>28.535</v>
      </c>
      <c r="L177" s="84">
        <v>0</v>
      </c>
      <c r="M177" s="115"/>
      <c r="N177" s="111">
        <f t="shared" si="33"/>
        <v>19696.3548590219</v>
      </c>
      <c r="O177" s="112" t="s">
        <v>183</v>
      </c>
      <c r="P177" s="116" t="s">
        <v>182</v>
      </c>
    </row>
    <row r="178" spans="1:16" x14ac:dyDescent="0.2">
      <c r="A178" s="116" t="s">
        <v>1200</v>
      </c>
      <c r="B178" s="116" t="s">
        <v>1197</v>
      </c>
      <c r="C178" s="98">
        <v>12584.7</v>
      </c>
      <c r="D178" s="1">
        <v>3</v>
      </c>
      <c r="E178" s="116">
        <v>13.15</v>
      </c>
      <c r="F178" s="115">
        <f t="shared" si="38"/>
        <v>15.9115</v>
      </c>
      <c r="G178" s="114" t="s">
        <v>1619</v>
      </c>
      <c r="H178" s="113">
        <f t="shared" si="35"/>
        <v>16.213999999999999</v>
      </c>
      <c r="I178" s="93">
        <f t="shared" si="36"/>
        <v>12973.917525773197</v>
      </c>
      <c r="J178" s="88">
        <f t="shared" si="37"/>
        <v>14140.112359550563</v>
      </c>
      <c r="K178" s="112">
        <f t="shared" si="32"/>
        <v>44.325500000000005</v>
      </c>
      <c r="L178" s="84">
        <v>4843.99</v>
      </c>
      <c r="M178" s="115"/>
      <c r="N178" s="111">
        <f t="shared" si="33"/>
        <v>27448.054697482694</v>
      </c>
      <c r="O178" s="112" t="s">
        <v>153</v>
      </c>
      <c r="P178" s="116" t="s">
        <v>182</v>
      </c>
    </row>
    <row r="179" spans="1:16" x14ac:dyDescent="0.2">
      <c r="A179" s="116" t="s">
        <v>1202</v>
      </c>
      <c r="B179" s="116" t="s">
        <v>1201</v>
      </c>
      <c r="C179" s="98">
        <v>30040.89</v>
      </c>
      <c r="D179" s="1">
        <v>3</v>
      </c>
      <c r="E179" s="116">
        <v>13.15</v>
      </c>
      <c r="F179" s="115">
        <f t="shared" si="38"/>
        <v>15.9115</v>
      </c>
      <c r="G179" s="114" t="s">
        <v>1237</v>
      </c>
      <c r="H179" s="113">
        <f t="shared" si="35"/>
        <v>4.84</v>
      </c>
      <c r="I179" s="93">
        <f t="shared" si="36"/>
        <v>30969.98969072165</v>
      </c>
      <c r="J179" s="88">
        <f t="shared" si="37"/>
        <v>33753.808988764045</v>
      </c>
      <c r="K179" s="112">
        <f t="shared" si="32"/>
        <v>32.951499999999996</v>
      </c>
      <c r="L179" s="84">
        <v>5238</v>
      </c>
      <c r="M179" s="115"/>
      <c r="N179" s="111">
        <f t="shared" si="33"/>
        <v>50042.715989172015</v>
      </c>
      <c r="O179" s="112" t="s">
        <v>153</v>
      </c>
      <c r="P179" s="116" t="s">
        <v>182</v>
      </c>
    </row>
    <row r="180" spans="1:16" x14ac:dyDescent="0.2">
      <c r="A180" s="116" t="s">
        <v>1199</v>
      </c>
      <c r="B180" s="116" t="s">
        <v>1198</v>
      </c>
      <c r="C180" s="98">
        <v>11722.78</v>
      </c>
      <c r="D180" s="1">
        <v>3</v>
      </c>
      <c r="E180" s="116">
        <v>16</v>
      </c>
      <c r="F180" s="115">
        <f t="shared" si="38"/>
        <v>19.36</v>
      </c>
      <c r="G180" s="114" t="s">
        <v>903</v>
      </c>
      <c r="H180" s="113">
        <f t="shared" si="35"/>
        <v>0</v>
      </c>
      <c r="I180" s="93">
        <f t="shared" si="36"/>
        <v>12085.340206185569</v>
      </c>
      <c r="J180" s="88">
        <f t="shared" si="37"/>
        <v>13171.662921348316</v>
      </c>
      <c r="K180" s="112">
        <f t="shared" si="32"/>
        <v>31.56</v>
      </c>
      <c r="L180" s="84">
        <v>2000</v>
      </c>
      <c r="M180" s="115"/>
      <c r="N180" s="111">
        <f t="shared" si="33"/>
        <v>19128.55055523086</v>
      </c>
      <c r="O180" s="112" t="s">
        <v>153</v>
      </c>
      <c r="P180" s="116" t="s">
        <v>581</v>
      </c>
    </row>
    <row r="181" spans="1:16" x14ac:dyDescent="0.2">
      <c r="A181" s="116" t="s">
        <v>1204</v>
      </c>
      <c r="B181" s="116" t="s">
        <v>1203</v>
      </c>
      <c r="C181" s="98">
        <v>26793.23</v>
      </c>
      <c r="D181" s="1">
        <v>3</v>
      </c>
      <c r="E181" s="116">
        <v>13.15</v>
      </c>
      <c r="F181" s="115">
        <f t="shared" si="38"/>
        <v>15.9115</v>
      </c>
      <c r="G181" s="114" t="s">
        <v>903</v>
      </c>
      <c r="H181" s="113">
        <f t="shared" si="35"/>
        <v>0</v>
      </c>
      <c r="I181" s="93">
        <f t="shared" si="36"/>
        <v>27621.886597938144</v>
      </c>
      <c r="J181" s="88">
        <f t="shared" si="37"/>
        <v>30104.752808988764</v>
      </c>
      <c r="K181" s="112">
        <f t="shared" si="32"/>
        <v>28.111499999999999</v>
      </c>
      <c r="L181" s="84">
        <v>4843.99</v>
      </c>
      <c r="M181" s="115"/>
      <c r="N181" s="111">
        <f t="shared" si="33"/>
        <v>42114.527012178587</v>
      </c>
      <c r="O181" s="112" t="s">
        <v>153</v>
      </c>
      <c r="P181" s="116" t="s">
        <v>182</v>
      </c>
    </row>
    <row r="182" spans="1:16" x14ac:dyDescent="0.2">
      <c r="A182" s="116" t="s">
        <v>1206</v>
      </c>
      <c r="B182" s="116" t="s">
        <v>1205</v>
      </c>
      <c r="C182" s="98">
        <v>16157.13</v>
      </c>
      <c r="D182" s="1">
        <v>3</v>
      </c>
      <c r="E182" s="116">
        <v>15.5</v>
      </c>
      <c r="F182" s="115">
        <f t="shared" si="38"/>
        <v>18.754999999999999</v>
      </c>
      <c r="G182" s="114" t="s">
        <v>903</v>
      </c>
      <c r="H182" s="113">
        <f t="shared" si="35"/>
        <v>0</v>
      </c>
      <c r="I182" s="93">
        <f t="shared" si="36"/>
        <v>16656.83505154639</v>
      </c>
      <c r="J182" s="88">
        <f t="shared" si="37"/>
        <v>18154.078651685391</v>
      </c>
      <c r="K182" s="112">
        <f t="shared" si="32"/>
        <v>30.954999999999998</v>
      </c>
      <c r="L182" s="84">
        <v>0</v>
      </c>
      <c r="M182" s="115"/>
      <c r="N182" s="111">
        <f t="shared" si="33"/>
        <v>23400.868998479251</v>
      </c>
      <c r="O182" s="112" t="s">
        <v>153</v>
      </c>
      <c r="P182" s="116" t="s">
        <v>411</v>
      </c>
    </row>
    <row r="183" spans="1:16" x14ac:dyDescent="0.2">
      <c r="A183" s="116" t="s">
        <v>1211</v>
      </c>
      <c r="B183" s="116" t="s">
        <v>1207</v>
      </c>
      <c r="C183" s="98">
        <v>13802.57</v>
      </c>
      <c r="D183" s="1">
        <v>3</v>
      </c>
      <c r="E183" s="116">
        <v>15.5</v>
      </c>
      <c r="F183" s="115">
        <f t="shared" si="38"/>
        <v>18.754999999999999</v>
      </c>
      <c r="G183" s="114" t="s">
        <v>902</v>
      </c>
      <c r="H183" s="113">
        <f t="shared" si="35"/>
        <v>0</v>
      </c>
      <c r="I183" s="93">
        <f t="shared" si="36"/>
        <v>14229.453608247422</v>
      </c>
      <c r="J183" s="88">
        <f t="shared" si="37"/>
        <v>15508.505617977527</v>
      </c>
      <c r="K183" s="112">
        <f t="shared" si="32"/>
        <v>30.954999999999998</v>
      </c>
      <c r="L183" s="84">
        <v>2000</v>
      </c>
      <c r="M183" s="115"/>
      <c r="N183" s="111">
        <f t="shared" si="33"/>
        <v>21990.68723296401</v>
      </c>
      <c r="O183" s="112" t="s">
        <v>153</v>
      </c>
      <c r="P183" s="116" t="s">
        <v>411</v>
      </c>
    </row>
    <row r="184" spans="1:16" x14ac:dyDescent="0.2">
      <c r="A184" s="116" t="s">
        <v>1212</v>
      </c>
      <c r="B184" s="116" t="s">
        <v>1208</v>
      </c>
      <c r="C184" s="98">
        <v>13802.57</v>
      </c>
      <c r="D184" s="1">
        <v>3</v>
      </c>
      <c r="E184" s="116">
        <v>15.5</v>
      </c>
      <c r="F184" s="115">
        <f t="shared" si="38"/>
        <v>18.754999999999999</v>
      </c>
      <c r="G184" s="114" t="s">
        <v>1237</v>
      </c>
      <c r="H184" s="113">
        <f t="shared" si="35"/>
        <v>4.84</v>
      </c>
      <c r="I184" s="93">
        <f t="shared" si="36"/>
        <v>14229.453608247422</v>
      </c>
      <c r="J184" s="88">
        <f t="shared" si="37"/>
        <v>15508.505617977527</v>
      </c>
      <c r="K184" s="112">
        <f t="shared" si="32"/>
        <v>35.795000000000002</v>
      </c>
      <c r="L184" s="84"/>
      <c r="M184" s="115"/>
      <c r="N184" s="111">
        <f t="shared" si="33"/>
        <v>21497.655945798611</v>
      </c>
      <c r="O184" s="112" t="s">
        <v>153</v>
      </c>
      <c r="P184" s="116" t="s">
        <v>411</v>
      </c>
    </row>
    <row r="185" spans="1:16" x14ac:dyDescent="0.2">
      <c r="A185" s="116" t="s">
        <v>1213</v>
      </c>
      <c r="B185" s="116" t="s">
        <v>1209</v>
      </c>
      <c r="C185" s="98">
        <v>13802.57</v>
      </c>
      <c r="D185" s="1">
        <v>3</v>
      </c>
      <c r="E185" s="116">
        <v>15.5</v>
      </c>
      <c r="F185" s="115">
        <f t="shared" si="38"/>
        <v>18.754999999999999</v>
      </c>
      <c r="G185" s="114" t="s">
        <v>1460</v>
      </c>
      <c r="H185" s="113">
        <f t="shared" si="35"/>
        <v>10.285</v>
      </c>
      <c r="I185" s="93">
        <f t="shared" si="36"/>
        <v>14229.453608247422</v>
      </c>
      <c r="J185" s="88">
        <f t="shared" si="37"/>
        <v>15508.505617977527</v>
      </c>
      <c r="K185" s="112">
        <f t="shared" si="32"/>
        <v>41.239999999999995</v>
      </c>
      <c r="L185" s="84">
        <v>5238</v>
      </c>
      <c r="M185" s="115"/>
      <c r="N185" s="111">
        <f t="shared" si="33"/>
        <v>28727.737916950304</v>
      </c>
      <c r="O185" s="112" t="s">
        <v>153</v>
      </c>
      <c r="P185" s="116" t="s">
        <v>411</v>
      </c>
    </row>
    <row r="186" spans="1:16" x14ac:dyDescent="0.2">
      <c r="A186" s="116" t="s">
        <v>1194</v>
      </c>
      <c r="B186" s="116" t="s">
        <v>1210</v>
      </c>
      <c r="C186" s="98">
        <v>113668.24</v>
      </c>
      <c r="D186" s="1">
        <v>3</v>
      </c>
      <c r="E186" s="116">
        <v>13.65</v>
      </c>
      <c r="F186" s="115">
        <f t="shared" si="38"/>
        <v>16.516500000000001</v>
      </c>
      <c r="G186" s="114" t="s">
        <v>903</v>
      </c>
      <c r="H186" s="113">
        <f t="shared" si="35"/>
        <v>0</v>
      </c>
      <c r="I186" s="93">
        <f t="shared" si="36"/>
        <v>117183.7525773196</v>
      </c>
      <c r="J186" s="88">
        <f t="shared" si="37"/>
        <v>127717.12359550562</v>
      </c>
      <c r="K186" s="112">
        <f t="shared" si="32"/>
        <v>28.7165</v>
      </c>
      <c r="L186" s="84">
        <v>5873</v>
      </c>
      <c r="M186" s="115"/>
      <c r="N186" s="111">
        <f t="shared" si="33"/>
        <v>165332.39803741401</v>
      </c>
      <c r="O186" s="112" t="s">
        <v>153</v>
      </c>
      <c r="P186" s="116" t="s">
        <v>556</v>
      </c>
    </row>
    <row r="187" spans="1:16" x14ac:dyDescent="0.2">
      <c r="A187" s="116" t="s">
        <v>1345</v>
      </c>
      <c r="B187" s="116" t="s">
        <v>1425</v>
      </c>
      <c r="C187" s="98">
        <v>172543</v>
      </c>
      <c r="D187" s="1">
        <v>3</v>
      </c>
      <c r="E187" s="116">
        <v>12.15</v>
      </c>
      <c r="F187" s="115">
        <f t="shared" si="38"/>
        <v>14.701499999999999</v>
      </c>
      <c r="G187" s="114" t="s">
        <v>1619</v>
      </c>
      <c r="H187" s="113">
        <f t="shared" si="35"/>
        <v>16.213999999999999</v>
      </c>
      <c r="I187" s="93">
        <f t="shared" si="36"/>
        <v>177879.38144329897</v>
      </c>
      <c r="J187" s="88">
        <f t="shared" si="37"/>
        <v>193868.53932584269</v>
      </c>
      <c r="K187" s="112">
        <f t="shared" si="32"/>
        <v>43.115499999999997</v>
      </c>
      <c r="L187" s="84">
        <v>22411.49</v>
      </c>
      <c r="M187" s="115"/>
      <c r="N187" s="111">
        <f t="shared" si="33"/>
        <v>325733.1329783157</v>
      </c>
      <c r="O187" s="112" t="s">
        <v>1454</v>
      </c>
      <c r="P187" s="116" t="s">
        <v>10</v>
      </c>
    </row>
    <row r="188" spans="1:16" x14ac:dyDescent="0.2">
      <c r="A188" s="116" t="s">
        <v>1485</v>
      </c>
      <c r="B188" s="116" t="s">
        <v>1487</v>
      </c>
      <c r="C188" s="98">
        <v>279240</v>
      </c>
      <c r="D188" s="1">
        <v>3</v>
      </c>
      <c r="E188" s="116">
        <v>12.15</v>
      </c>
      <c r="F188" s="115">
        <f t="shared" ref="F188:F205" si="39">E188*1.21</f>
        <v>14.701499999999999</v>
      </c>
      <c r="G188" s="114" t="s">
        <v>903</v>
      </c>
      <c r="H188" s="113">
        <f t="shared" ref="H188:H205" si="40">(IF(G188=$G$3,$H$3)+IF(G188=$G$4,$H$4)+IF(G188=$G$5,$H$5)+IF(G188=$G$6,$H$6)+IF(G188=$G$7,$H$7)+IF(G188=$G$8,$H$8)+IF(G188=$G$9,$H$9)+IF(G188=$G$10,$H$10)+IF(G188=$G$11,$H$11))</f>
        <v>0</v>
      </c>
      <c r="I188" s="93">
        <f t="shared" si="36"/>
        <v>287876.28865979385</v>
      </c>
      <c r="J188" s="88">
        <f t="shared" si="37"/>
        <v>313752.80898876407</v>
      </c>
      <c r="K188" s="112">
        <f t="shared" si="32"/>
        <v>26.901499999999999</v>
      </c>
      <c r="L188" s="84">
        <v>22411</v>
      </c>
      <c r="M188" s="115"/>
      <c r="N188" s="111">
        <f t="shared" si="33"/>
        <v>404416.10270388587</v>
      </c>
      <c r="O188" s="112" t="s">
        <v>1454</v>
      </c>
      <c r="P188" s="116"/>
    </row>
    <row r="189" spans="1:16" x14ac:dyDescent="0.2">
      <c r="A189" s="116" t="s">
        <v>1346</v>
      </c>
      <c r="B189" s="116" t="s">
        <v>1424</v>
      </c>
      <c r="C189" s="98">
        <v>373306</v>
      </c>
      <c r="D189" s="1">
        <v>2</v>
      </c>
      <c r="E189" s="116">
        <v>12.15</v>
      </c>
      <c r="F189" s="115">
        <f t="shared" si="39"/>
        <v>14.701499999999999</v>
      </c>
      <c r="G189" s="114" t="s">
        <v>1301</v>
      </c>
      <c r="H189" s="113">
        <f t="shared" si="40"/>
        <v>0</v>
      </c>
      <c r="I189" s="93">
        <f t="shared" si="36"/>
        <v>380924.4897959184</v>
      </c>
      <c r="J189" s="88">
        <f t="shared" si="37"/>
        <v>414784.44444444444</v>
      </c>
      <c r="K189" s="112">
        <f t="shared" si="32"/>
        <v>25.901499999999999</v>
      </c>
      <c r="L189" s="84">
        <v>22412</v>
      </c>
      <c r="M189" s="115"/>
      <c r="N189" s="111">
        <f t="shared" si="33"/>
        <v>526208.97294817027</v>
      </c>
      <c r="O189" s="112" t="s">
        <v>1454</v>
      </c>
      <c r="P189" s="116" t="s">
        <v>10</v>
      </c>
    </row>
    <row r="190" spans="1:16" x14ac:dyDescent="0.2">
      <c r="A190" s="116" t="s">
        <v>1486</v>
      </c>
      <c r="B190" s="116" t="s">
        <v>1488</v>
      </c>
      <c r="C190" s="98">
        <v>489400</v>
      </c>
      <c r="D190" s="1">
        <v>3</v>
      </c>
      <c r="E190" s="116">
        <v>12.15</v>
      </c>
      <c r="F190" s="115">
        <f t="shared" si="39"/>
        <v>14.701499999999999</v>
      </c>
      <c r="G190" s="114" t="s">
        <v>903</v>
      </c>
      <c r="H190" s="113">
        <f t="shared" si="40"/>
        <v>0</v>
      </c>
      <c r="I190" s="93">
        <f t="shared" si="36"/>
        <v>504536.08247422683</v>
      </c>
      <c r="J190" s="88">
        <f t="shared" si="37"/>
        <v>549887.64044943824</v>
      </c>
      <c r="K190" s="112">
        <f t="shared" si="32"/>
        <v>26.901499999999999</v>
      </c>
      <c r="L190" s="84">
        <v>0</v>
      </c>
      <c r="M190" s="115"/>
      <c r="N190" s="111">
        <f t="shared" si="33"/>
        <v>669507.58223492955</v>
      </c>
      <c r="O190" s="112" t="s">
        <v>1454</v>
      </c>
      <c r="P190" s="116"/>
    </row>
    <row r="191" spans="1:16" x14ac:dyDescent="0.2">
      <c r="A191" s="116" t="s">
        <v>1238</v>
      </c>
      <c r="B191" s="116" t="s">
        <v>1239</v>
      </c>
      <c r="C191" s="98">
        <v>201600</v>
      </c>
      <c r="D191" s="1">
        <v>3</v>
      </c>
      <c r="E191" s="116">
        <v>12.15</v>
      </c>
      <c r="F191" s="115">
        <f t="shared" si="39"/>
        <v>14.701499999999999</v>
      </c>
      <c r="G191" s="114" t="s">
        <v>1300</v>
      </c>
      <c r="H191" s="113">
        <f t="shared" si="40"/>
        <v>0</v>
      </c>
      <c r="I191" s="93">
        <f t="shared" si="36"/>
        <v>207835.05154639177</v>
      </c>
      <c r="J191" s="88">
        <f t="shared" si="37"/>
        <v>226516.85393258426</v>
      </c>
      <c r="K191" s="112">
        <f t="shared" si="32"/>
        <v>26.901499999999999</v>
      </c>
      <c r="L191" s="84">
        <v>0</v>
      </c>
      <c r="M191" s="115"/>
      <c r="N191" s="111">
        <f t="shared" si="33"/>
        <v>275792.25291900657</v>
      </c>
      <c r="O191" s="112" t="s">
        <v>943</v>
      </c>
      <c r="P191" s="116" t="s">
        <v>10</v>
      </c>
    </row>
    <row r="192" spans="1:16" x14ac:dyDescent="0.2">
      <c r="A192" s="116" t="s">
        <v>178</v>
      </c>
      <c r="B192" s="116" t="s">
        <v>179</v>
      </c>
      <c r="C192" s="98">
        <v>229948.95</v>
      </c>
      <c r="D192" s="1">
        <v>3</v>
      </c>
      <c r="E192" s="116">
        <v>12.15</v>
      </c>
      <c r="F192" s="115">
        <f t="shared" si="39"/>
        <v>14.701499999999999</v>
      </c>
      <c r="G192" s="114" t="s">
        <v>903</v>
      </c>
      <c r="H192" s="113">
        <f t="shared" si="40"/>
        <v>0</v>
      </c>
      <c r="I192" s="93">
        <f t="shared" si="36"/>
        <v>237060.7731958763</v>
      </c>
      <c r="J192" s="88">
        <f t="shared" si="37"/>
        <v>258369.60674157305</v>
      </c>
      <c r="K192" s="112">
        <f t="shared" si="32"/>
        <v>26.901499999999999</v>
      </c>
      <c r="L192" s="84"/>
      <c r="M192" s="115"/>
      <c r="N192" s="111">
        <f t="shared" si="33"/>
        <v>314574.10206775792</v>
      </c>
      <c r="O192" s="112" t="s">
        <v>943</v>
      </c>
      <c r="P192" s="116" t="s">
        <v>10</v>
      </c>
    </row>
    <row r="193" spans="1:16" x14ac:dyDescent="0.2">
      <c r="A193" s="116" t="s">
        <v>1159</v>
      </c>
      <c r="B193" s="116" t="s">
        <v>1160</v>
      </c>
      <c r="C193" s="98">
        <v>247200</v>
      </c>
      <c r="D193" s="1">
        <v>3</v>
      </c>
      <c r="E193" s="116">
        <v>12.15</v>
      </c>
      <c r="F193" s="115">
        <f t="shared" si="39"/>
        <v>14.701499999999999</v>
      </c>
      <c r="G193" s="114" t="s">
        <v>1299</v>
      </c>
      <c r="H193" s="113">
        <f t="shared" si="40"/>
        <v>0</v>
      </c>
      <c r="I193" s="93">
        <f t="shared" si="36"/>
        <v>254845.36082474227</v>
      </c>
      <c r="J193" s="88">
        <f t="shared" si="37"/>
        <v>277752.80898876407</v>
      </c>
      <c r="K193" s="112">
        <f t="shared" si="32"/>
        <v>26.901499999999999</v>
      </c>
      <c r="L193" s="84">
        <v>11000</v>
      </c>
      <c r="M193" s="115"/>
      <c r="N193" s="111">
        <f t="shared" si="33"/>
        <v>349173.83393640089</v>
      </c>
      <c r="O193" s="112" t="s">
        <v>943</v>
      </c>
      <c r="P193" s="116" t="s">
        <v>10</v>
      </c>
    </row>
    <row r="194" spans="1:16" x14ac:dyDescent="0.2">
      <c r="A194" s="116" t="s">
        <v>930</v>
      </c>
      <c r="B194" s="116" t="s">
        <v>942</v>
      </c>
      <c r="C194" s="98">
        <v>278990</v>
      </c>
      <c r="D194" s="1">
        <v>3</v>
      </c>
      <c r="E194" s="116">
        <v>12.15</v>
      </c>
      <c r="F194" s="115">
        <f t="shared" si="39"/>
        <v>14.701499999999999</v>
      </c>
      <c r="G194" s="114" t="s">
        <v>1619</v>
      </c>
      <c r="H194" s="113">
        <f t="shared" si="40"/>
        <v>16.213999999999999</v>
      </c>
      <c r="I194" s="93">
        <f t="shared" si="36"/>
        <v>287618.55670103093</v>
      </c>
      <c r="J194" s="88">
        <f t="shared" si="37"/>
        <v>313471.91011235956</v>
      </c>
      <c r="K194" s="112">
        <f t="shared" si="32"/>
        <v>43.115499999999997</v>
      </c>
      <c r="L194" s="84">
        <v>22411</v>
      </c>
      <c r="M194" s="115"/>
      <c r="N194" s="111">
        <f t="shared" si="33"/>
        <v>512860.94682206924</v>
      </c>
      <c r="O194" s="112" t="s">
        <v>943</v>
      </c>
      <c r="P194" s="116" t="s">
        <v>10</v>
      </c>
    </row>
    <row r="195" spans="1:16" x14ac:dyDescent="0.2">
      <c r="A195" s="116" t="s">
        <v>8</v>
      </c>
      <c r="B195" s="116" t="s">
        <v>9</v>
      </c>
      <c r="C195" s="98">
        <v>425239.5</v>
      </c>
      <c r="D195" s="1">
        <v>10</v>
      </c>
      <c r="E195" s="116">
        <v>12.15</v>
      </c>
      <c r="F195" s="115">
        <f t="shared" si="39"/>
        <v>14.701499999999999</v>
      </c>
      <c r="G195" s="114" t="s">
        <v>1287</v>
      </c>
      <c r="H195" s="113">
        <f t="shared" si="40"/>
        <v>15.1008</v>
      </c>
      <c r="I195" s="93">
        <f t="shared" ref="I195:I224" si="41">(C195/(($J$3-D195)/100))</f>
        <v>472488.33333333331</v>
      </c>
      <c r="J195" s="88">
        <f t="shared" ref="J195:J224" si="42">(C195/(($J$3-D195)/100-(0.08)))</f>
        <v>518584.75609756092</v>
      </c>
      <c r="K195" s="112">
        <f t="shared" si="32"/>
        <v>49.002299999999998</v>
      </c>
      <c r="L195" s="84">
        <v>0</v>
      </c>
      <c r="M195" s="115"/>
      <c r="N195" s="111">
        <f t="shared" si="33"/>
        <v>833840.54575010238</v>
      </c>
      <c r="O195" s="112" t="s">
        <v>943</v>
      </c>
      <c r="P195" s="116" t="s">
        <v>10</v>
      </c>
    </row>
    <row r="196" spans="1:16" x14ac:dyDescent="0.2">
      <c r="A196" s="116" t="s">
        <v>1003</v>
      </c>
      <c r="B196" s="116" t="s">
        <v>1004</v>
      </c>
      <c r="C196" s="98">
        <v>429317</v>
      </c>
      <c r="D196" s="1">
        <v>3</v>
      </c>
      <c r="E196" s="116">
        <v>12.15</v>
      </c>
      <c r="F196" s="115">
        <f t="shared" si="39"/>
        <v>14.701499999999999</v>
      </c>
      <c r="G196" s="114" t="s">
        <v>903</v>
      </c>
      <c r="H196" s="113">
        <f t="shared" si="40"/>
        <v>0</v>
      </c>
      <c r="I196" s="93">
        <f t="shared" si="41"/>
        <v>442594.84536082478</v>
      </c>
      <c r="J196" s="88">
        <f t="shared" si="42"/>
        <v>482378.65168539324</v>
      </c>
      <c r="K196" s="112">
        <f t="shared" si="32"/>
        <v>26.901499999999999</v>
      </c>
      <c r="L196" s="84">
        <v>11200</v>
      </c>
      <c r="M196" s="115"/>
      <c r="N196" s="111">
        <f t="shared" si="33"/>
        <v>598513.00915887463</v>
      </c>
      <c r="O196" s="112" t="s">
        <v>943</v>
      </c>
      <c r="P196" s="116" t="s">
        <v>10</v>
      </c>
    </row>
    <row r="197" spans="1:16" x14ac:dyDescent="0.2">
      <c r="A197" s="116" t="s">
        <v>1479</v>
      </c>
      <c r="B197" s="116" t="s">
        <v>1489</v>
      </c>
      <c r="C197" s="98">
        <v>687790</v>
      </c>
      <c r="D197" s="1">
        <v>3</v>
      </c>
      <c r="E197" s="116">
        <v>12.15</v>
      </c>
      <c r="F197" s="115">
        <f t="shared" si="39"/>
        <v>14.701499999999999</v>
      </c>
      <c r="G197" s="114" t="s">
        <v>903</v>
      </c>
      <c r="H197" s="113">
        <f t="shared" si="40"/>
        <v>0</v>
      </c>
      <c r="I197" s="93">
        <f t="shared" si="41"/>
        <v>709061.8556701031</v>
      </c>
      <c r="J197" s="88">
        <f t="shared" si="42"/>
        <v>772797.75280898879</v>
      </c>
      <c r="K197" s="112">
        <f t="shared" si="32"/>
        <v>26.901499999999999</v>
      </c>
      <c r="L197" s="84"/>
      <c r="M197" s="115"/>
      <c r="N197" s="111">
        <f t="shared" si="33"/>
        <v>940908.50017442217</v>
      </c>
      <c r="O197" s="112" t="s">
        <v>943</v>
      </c>
      <c r="P197" s="116" t="s">
        <v>10</v>
      </c>
    </row>
    <row r="198" spans="1:16" x14ac:dyDescent="0.2">
      <c r="A198" s="116" t="s">
        <v>1122</v>
      </c>
      <c r="B198" s="116" t="s">
        <v>1123</v>
      </c>
      <c r="C198" s="98">
        <v>184000</v>
      </c>
      <c r="D198" s="1">
        <v>3</v>
      </c>
      <c r="E198" s="116">
        <v>0</v>
      </c>
      <c r="F198" s="115">
        <f t="shared" si="39"/>
        <v>0</v>
      </c>
      <c r="G198" s="114" t="s">
        <v>1621</v>
      </c>
      <c r="H198" s="113">
        <f t="shared" si="40"/>
        <v>26.861999999999998</v>
      </c>
      <c r="I198" s="93">
        <f t="shared" si="41"/>
        <v>189690.72164948453</v>
      </c>
      <c r="J198" s="88">
        <f t="shared" si="42"/>
        <v>206741.57303370786</v>
      </c>
      <c r="K198" s="112">
        <f t="shared" si="32"/>
        <v>39.061999999999998</v>
      </c>
      <c r="L198" s="84">
        <v>22400</v>
      </c>
      <c r="M198" s="115"/>
      <c r="N198" s="111">
        <f t="shared" si="33"/>
        <v>324346.24044110405</v>
      </c>
      <c r="O198" s="112" t="s">
        <v>1649</v>
      </c>
      <c r="P198" s="116" t="s">
        <v>10</v>
      </c>
    </row>
    <row r="199" spans="1:16" x14ac:dyDescent="0.2">
      <c r="A199" s="116" t="s">
        <v>1169</v>
      </c>
      <c r="B199" s="116" t="s">
        <v>1170</v>
      </c>
      <c r="C199" s="98">
        <v>351739.5</v>
      </c>
      <c r="D199" s="1">
        <v>3</v>
      </c>
      <c r="E199" s="116">
        <v>12.15</v>
      </c>
      <c r="F199" s="115">
        <f t="shared" si="39"/>
        <v>14.701499999999999</v>
      </c>
      <c r="G199" s="114" t="s">
        <v>903</v>
      </c>
      <c r="H199" s="113">
        <f t="shared" si="40"/>
        <v>0</v>
      </c>
      <c r="I199" s="93">
        <f t="shared" si="41"/>
        <v>362618.04123711342</v>
      </c>
      <c r="J199" s="88">
        <f t="shared" si="42"/>
        <v>395212.92134831462</v>
      </c>
      <c r="K199" s="112">
        <f t="shared" si="32"/>
        <v>26.901499999999999</v>
      </c>
      <c r="L199" s="84">
        <v>0</v>
      </c>
      <c r="M199" s="115"/>
      <c r="N199" s="111">
        <f t="shared" si="33"/>
        <v>481185.66044446878</v>
      </c>
      <c r="O199" s="112" t="s">
        <v>1649</v>
      </c>
      <c r="P199" s="116" t="s">
        <v>10</v>
      </c>
    </row>
    <row r="200" spans="1:16" x14ac:dyDescent="0.2">
      <c r="A200" s="116" t="s">
        <v>30</v>
      </c>
      <c r="B200" s="116" t="s">
        <v>31</v>
      </c>
      <c r="C200" s="98">
        <v>503039.25</v>
      </c>
      <c r="D200" s="1">
        <v>3</v>
      </c>
      <c r="E200" s="116">
        <v>12.15</v>
      </c>
      <c r="F200" s="115">
        <f t="shared" si="39"/>
        <v>14.701499999999999</v>
      </c>
      <c r="G200" s="114" t="s">
        <v>903</v>
      </c>
      <c r="H200" s="113">
        <f t="shared" si="40"/>
        <v>0</v>
      </c>
      <c r="I200" s="93">
        <f t="shared" si="41"/>
        <v>518597.1649484536</v>
      </c>
      <c r="J200" s="88">
        <f t="shared" si="42"/>
        <v>565212.64044943824</v>
      </c>
      <c r="K200" s="112">
        <f t="shared" si="32"/>
        <v>26.901499999999999</v>
      </c>
      <c r="L200" s="84">
        <v>0</v>
      </c>
      <c r="M200" s="115"/>
      <c r="N200" s="111">
        <f t="shared" si="33"/>
        <v>688166.3098421992</v>
      </c>
      <c r="O200" s="112" t="s">
        <v>1649</v>
      </c>
      <c r="P200" s="116" t="s">
        <v>10</v>
      </c>
    </row>
    <row r="201" spans="1:16" x14ac:dyDescent="0.2">
      <c r="A201" s="116" t="s">
        <v>1008</v>
      </c>
      <c r="B201" s="116" t="s">
        <v>1009</v>
      </c>
      <c r="C201" s="98">
        <v>178214.39999999999</v>
      </c>
      <c r="D201" s="1">
        <v>3</v>
      </c>
      <c r="E201" s="116">
        <v>12.15</v>
      </c>
      <c r="F201" s="115">
        <f t="shared" si="39"/>
        <v>14.701499999999999</v>
      </c>
      <c r="G201" s="114" t="s">
        <v>1299</v>
      </c>
      <c r="H201" s="113">
        <f t="shared" si="40"/>
        <v>0</v>
      </c>
      <c r="I201" s="93">
        <f t="shared" si="41"/>
        <v>183726.18556701031</v>
      </c>
      <c r="J201" s="88">
        <f t="shared" si="42"/>
        <v>200240.89887640448</v>
      </c>
      <c r="K201" s="112">
        <f t="shared" si="32"/>
        <v>26.901499999999999</v>
      </c>
      <c r="L201" s="84">
        <v>0</v>
      </c>
      <c r="M201" s="115"/>
      <c r="N201" s="111">
        <f t="shared" si="33"/>
        <v>243800.35158040177</v>
      </c>
      <c r="O201" s="112" t="s">
        <v>1028</v>
      </c>
      <c r="P201" s="116" t="s">
        <v>10</v>
      </c>
    </row>
    <row r="202" spans="1:16" x14ac:dyDescent="0.2">
      <c r="A202" s="116" t="s">
        <v>986</v>
      </c>
      <c r="B202" s="116" t="s">
        <v>987</v>
      </c>
      <c r="C202" s="98">
        <v>341145</v>
      </c>
      <c r="D202" s="1">
        <v>2.5</v>
      </c>
      <c r="E202" s="116">
        <v>12.15</v>
      </c>
      <c r="F202" s="115">
        <f t="shared" si="39"/>
        <v>14.701499999999999</v>
      </c>
      <c r="G202" s="114" t="s">
        <v>903</v>
      </c>
      <c r="H202" s="113">
        <f t="shared" si="40"/>
        <v>0</v>
      </c>
      <c r="I202" s="93">
        <f t="shared" si="41"/>
        <v>349892.30769230769</v>
      </c>
      <c r="J202" s="88">
        <f t="shared" si="42"/>
        <v>381167.59776536311</v>
      </c>
      <c r="K202" s="112">
        <f t="shared" si="32"/>
        <v>26.401499999999999</v>
      </c>
      <c r="L202" s="84">
        <v>0</v>
      </c>
      <c r="M202" s="115"/>
      <c r="N202" s="111">
        <f t="shared" si="33"/>
        <v>463521.67503413791</v>
      </c>
      <c r="O202" s="112" t="s">
        <v>1028</v>
      </c>
      <c r="P202" s="116" t="s">
        <v>10</v>
      </c>
    </row>
    <row r="203" spans="1:16" x14ac:dyDescent="0.2">
      <c r="A203" s="116" t="s">
        <v>1083</v>
      </c>
      <c r="B203" s="116" t="s">
        <v>1084</v>
      </c>
      <c r="C203" s="98">
        <v>240450</v>
      </c>
      <c r="D203" s="1">
        <v>3</v>
      </c>
      <c r="E203" s="116">
        <v>12.15</v>
      </c>
      <c r="F203" s="115">
        <f t="shared" si="39"/>
        <v>14.701499999999999</v>
      </c>
      <c r="G203" s="114" t="s">
        <v>1286</v>
      </c>
      <c r="H203" s="113">
        <f t="shared" si="40"/>
        <v>7.9255000000000004</v>
      </c>
      <c r="I203" s="93">
        <f t="shared" si="41"/>
        <v>247886.59793814435</v>
      </c>
      <c r="J203" s="88">
        <f t="shared" si="42"/>
        <v>270168.53932584269</v>
      </c>
      <c r="K203" s="112">
        <f t="shared" si="32"/>
        <v>34.826999999999998</v>
      </c>
      <c r="L203" s="84">
        <v>0</v>
      </c>
      <c r="M203" s="115"/>
      <c r="N203" s="111">
        <f t="shared" si="33"/>
        <v>368941.12592638051</v>
      </c>
      <c r="O203" s="112" t="s">
        <v>1029</v>
      </c>
      <c r="P203" s="116" t="s">
        <v>10</v>
      </c>
    </row>
    <row r="204" spans="1:16" x14ac:dyDescent="0.2">
      <c r="A204" s="116" t="s">
        <v>984</v>
      </c>
      <c r="B204" s="116" t="s">
        <v>985</v>
      </c>
      <c r="C204" s="98">
        <v>220000</v>
      </c>
      <c r="D204" s="1">
        <v>3</v>
      </c>
      <c r="E204" s="116">
        <v>12.15</v>
      </c>
      <c r="F204" s="115">
        <f t="shared" si="39"/>
        <v>14.701499999999999</v>
      </c>
      <c r="G204" s="114" t="s">
        <v>1460</v>
      </c>
      <c r="H204" s="113">
        <f t="shared" si="40"/>
        <v>10.285</v>
      </c>
      <c r="I204" s="93">
        <f t="shared" si="41"/>
        <v>226804.12371134022</v>
      </c>
      <c r="J204" s="88">
        <f t="shared" si="42"/>
        <v>247191.01123595505</v>
      </c>
      <c r="K204" s="112">
        <f t="shared" si="32"/>
        <v>37.186499999999995</v>
      </c>
      <c r="L204" s="84">
        <v>11200</v>
      </c>
      <c r="M204" s="115"/>
      <c r="N204" s="111">
        <f t="shared" si="33"/>
        <v>361443.18020807632</v>
      </c>
      <c r="O204" s="112" t="s">
        <v>1029</v>
      </c>
      <c r="P204" s="116" t="s">
        <v>10</v>
      </c>
    </row>
    <row r="205" spans="1:16" x14ac:dyDescent="0.2">
      <c r="A205" s="116" t="s">
        <v>1114</v>
      </c>
      <c r="B205" s="116" t="s">
        <v>1115</v>
      </c>
      <c r="C205" s="98">
        <v>377989.5</v>
      </c>
      <c r="D205" s="1">
        <v>3</v>
      </c>
      <c r="E205" s="116">
        <v>12.15</v>
      </c>
      <c r="F205" s="115">
        <f t="shared" si="39"/>
        <v>14.701499999999999</v>
      </c>
      <c r="G205" s="114" t="s">
        <v>903</v>
      </c>
      <c r="H205" s="113">
        <f t="shared" si="40"/>
        <v>0</v>
      </c>
      <c r="I205" s="93">
        <f t="shared" si="41"/>
        <v>389679.89690721652</v>
      </c>
      <c r="J205" s="88">
        <f t="shared" si="42"/>
        <v>424707.30337078648</v>
      </c>
      <c r="K205" s="112">
        <f t="shared" si="32"/>
        <v>26.901499999999999</v>
      </c>
      <c r="L205" s="84">
        <v>0</v>
      </c>
      <c r="M205" s="115"/>
      <c r="N205" s="111">
        <f t="shared" si="33"/>
        <v>517096.11004329775</v>
      </c>
      <c r="O205" s="112" t="s">
        <v>1029</v>
      </c>
      <c r="P205" s="116" t="s">
        <v>10</v>
      </c>
    </row>
    <row r="206" spans="1:16" x14ac:dyDescent="0.2">
      <c r="A206" s="116" t="s">
        <v>1104</v>
      </c>
      <c r="B206" s="116" t="s">
        <v>1105</v>
      </c>
      <c r="C206" s="98">
        <v>482989.5</v>
      </c>
      <c r="D206" s="1">
        <v>4</v>
      </c>
      <c r="E206" s="116">
        <v>12.15</v>
      </c>
      <c r="F206" s="115">
        <f t="shared" si="38"/>
        <v>14.701499999999999</v>
      </c>
      <c r="G206" s="114" t="s">
        <v>903</v>
      </c>
      <c r="H206" s="113">
        <f t="shared" ref="H206:H224" si="43">(IF(G206=$G$3,$H$3)+IF(G206=$G$4,$H$4)+IF(G206=$G$5,$H$5)+IF(G206=$G$6,$H$6)+IF(G206=$G$7,$H$7)+IF(G206=$G$8,$H$8)+IF(G206=$G$9,$H$9)+IF(G206=$G$10,$H$10)+IF(G206=$G$11,$H$11))</f>
        <v>0</v>
      </c>
      <c r="I206" s="93">
        <f t="shared" si="41"/>
        <v>503114.0625</v>
      </c>
      <c r="J206" s="88">
        <f t="shared" si="42"/>
        <v>548851.70454545459</v>
      </c>
      <c r="K206" s="112">
        <f t="shared" ref="K206:K269" si="44">(D206+8+1.2)+(F206+H206)</f>
        <v>27.901499999999999</v>
      </c>
      <c r="L206" s="84">
        <v>0</v>
      </c>
      <c r="M206" s="115"/>
      <c r="N206" s="111">
        <f t="shared" ref="N206:N269" si="45">C206/((100-K206)/100)+L206</f>
        <v>669902.28645533544</v>
      </c>
      <c r="O206" s="112" t="s">
        <v>1029</v>
      </c>
      <c r="P206" s="116" t="s">
        <v>10</v>
      </c>
    </row>
    <row r="207" spans="1:16" x14ac:dyDescent="0.2">
      <c r="A207" s="116" t="s">
        <v>988</v>
      </c>
      <c r="B207" s="116" t="s">
        <v>989</v>
      </c>
      <c r="C207" s="98">
        <v>839895</v>
      </c>
      <c r="D207" s="1">
        <v>10</v>
      </c>
      <c r="E207" s="116">
        <v>12.15</v>
      </c>
      <c r="F207" s="115">
        <f t="shared" si="38"/>
        <v>14.701499999999999</v>
      </c>
      <c r="G207" s="114" t="s">
        <v>903</v>
      </c>
      <c r="H207" s="113">
        <f t="shared" si="43"/>
        <v>0</v>
      </c>
      <c r="I207" s="93">
        <f t="shared" si="41"/>
        <v>933216.66666666663</v>
      </c>
      <c r="J207" s="88">
        <f t="shared" si="42"/>
        <v>1024262.1951219512</v>
      </c>
      <c r="K207" s="112">
        <f t="shared" si="44"/>
        <v>33.901499999999999</v>
      </c>
      <c r="L207" s="84">
        <v>0</v>
      </c>
      <c r="M207" s="115"/>
      <c r="N207" s="111">
        <f t="shared" si="45"/>
        <v>1270671.8004190715</v>
      </c>
      <c r="O207" s="112" t="s">
        <v>1029</v>
      </c>
      <c r="P207" s="116" t="s">
        <v>10</v>
      </c>
    </row>
    <row r="208" spans="1:16" x14ac:dyDescent="0.2">
      <c r="A208" s="116" t="s">
        <v>1106</v>
      </c>
      <c r="B208" s="116" t="s">
        <v>1107</v>
      </c>
      <c r="C208" s="98">
        <v>419989.5</v>
      </c>
      <c r="D208" s="1">
        <v>3</v>
      </c>
      <c r="E208" s="116">
        <v>12.15</v>
      </c>
      <c r="F208" s="115">
        <f>E208*1.21</f>
        <v>14.701499999999999</v>
      </c>
      <c r="G208" s="114" t="s">
        <v>903</v>
      </c>
      <c r="H208" s="113">
        <f>(IF(G208=$G$3,$H$3)+IF(G208=$G$4,$H$4)+IF(G208=$G$5,$H$5)+IF(G208=$G$6,$H$6)+IF(G208=$G$7,$H$7)+IF(G208=$G$8,$H$8)+IF(G208=$G$9,$H$9)+IF(G208=$G$10,$H$10)+IF(G208=$G$11,$H$11))</f>
        <v>0</v>
      </c>
      <c r="I208" s="93">
        <f t="shared" si="41"/>
        <v>432978.86597938143</v>
      </c>
      <c r="J208" s="88">
        <f t="shared" si="42"/>
        <v>471898.31460674159</v>
      </c>
      <c r="K208" s="112">
        <f t="shared" si="44"/>
        <v>26.901499999999999</v>
      </c>
      <c r="L208" s="84">
        <v>0</v>
      </c>
      <c r="M208" s="115"/>
      <c r="N208" s="111">
        <f t="shared" si="45"/>
        <v>574552.82940142415</v>
      </c>
      <c r="O208" s="112" t="s">
        <v>1650</v>
      </c>
      <c r="P208" s="116" t="s">
        <v>10</v>
      </c>
    </row>
    <row r="209" spans="1:16" x14ac:dyDescent="0.2">
      <c r="A209" s="116" t="s">
        <v>1637</v>
      </c>
      <c r="B209" s="116" t="s">
        <v>1638</v>
      </c>
      <c r="C209" s="98">
        <v>376980</v>
      </c>
      <c r="D209" s="1">
        <v>3</v>
      </c>
      <c r="E209" s="116">
        <v>12.15</v>
      </c>
      <c r="F209" s="115">
        <f t="shared" ref="F209" si="46">E209*1.21</f>
        <v>14.701499999999999</v>
      </c>
      <c r="G209" s="114" t="s">
        <v>903</v>
      </c>
      <c r="H209" s="113">
        <f t="shared" ref="H209" si="47">(IF(G209=$G$3,$H$3)+IF(G209=$G$4,$H$4)+IF(G209=$G$5,$H$5)+IF(G209=$G$6,$H$6)+IF(G209=$G$7,$H$7)+IF(G209=$G$8,$H$8)+IF(G209=$G$9,$H$9)+IF(G209=$G$10,$H$10)+IF(G209=$G$11,$H$11))</f>
        <v>0</v>
      </c>
      <c r="I209" s="93">
        <f t="shared" si="41"/>
        <v>388639.17525773199</v>
      </c>
      <c r="J209" s="88">
        <f t="shared" si="42"/>
        <v>423573.03370786516</v>
      </c>
      <c r="K209" s="112">
        <f t="shared" si="44"/>
        <v>26.901499999999999</v>
      </c>
      <c r="L209" s="84">
        <v>1</v>
      </c>
      <c r="M209" s="115"/>
      <c r="N209" s="111">
        <f t="shared" si="45"/>
        <v>515716.09675301134</v>
      </c>
      <c r="O209" s="112" t="s">
        <v>22</v>
      </c>
      <c r="P209" s="116" t="s">
        <v>10</v>
      </c>
    </row>
    <row r="210" spans="1:16" x14ac:dyDescent="0.2">
      <c r="A210" s="116" t="s">
        <v>20</v>
      </c>
      <c r="B210" s="116" t="s">
        <v>21</v>
      </c>
      <c r="C210" s="98">
        <v>524895</v>
      </c>
      <c r="D210" s="1">
        <v>3</v>
      </c>
      <c r="E210" s="116">
        <v>12.15</v>
      </c>
      <c r="F210" s="115">
        <f t="shared" si="38"/>
        <v>14.701499999999999</v>
      </c>
      <c r="G210" s="114" t="s">
        <v>903</v>
      </c>
      <c r="H210" s="113">
        <f t="shared" si="43"/>
        <v>0</v>
      </c>
      <c r="I210" s="93">
        <f t="shared" si="41"/>
        <v>541128.86597938149</v>
      </c>
      <c r="J210" s="88">
        <f t="shared" si="42"/>
        <v>589769.66292134835</v>
      </c>
      <c r="K210" s="112">
        <f t="shared" si="44"/>
        <v>26.901499999999999</v>
      </c>
      <c r="L210" s="84">
        <v>0</v>
      </c>
      <c r="M210" s="115"/>
      <c r="N210" s="111">
        <f t="shared" si="45"/>
        <v>718065.35017818422</v>
      </c>
      <c r="O210" s="112" t="s">
        <v>22</v>
      </c>
      <c r="P210" s="116" t="s">
        <v>10</v>
      </c>
    </row>
    <row r="211" spans="1:16" x14ac:dyDescent="0.2">
      <c r="A211" s="116" t="s">
        <v>132</v>
      </c>
      <c r="B211" s="116" t="s">
        <v>133</v>
      </c>
      <c r="C211" s="98">
        <v>839989.5</v>
      </c>
      <c r="D211" s="1">
        <v>3</v>
      </c>
      <c r="E211" s="116">
        <v>12.15</v>
      </c>
      <c r="F211" s="115">
        <f>E211*1.21</f>
        <v>14.701499999999999</v>
      </c>
      <c r="G211" s="114" t="s">
        <v>903</v>
      </c>
      <c r="H211" s="113">
        <f>(IF(G211=$G$3,$H$3)+IF(G211=$G$4,$H$4)+IF(G211=$G$5,$H$5)+IF(G211=$G$6,$H$6)+IF(G211=$G$7,$H$7)+IF(G211=$G$8,$H$8)+IF(G211=$G$9,$H$9)+IF(G211=$G$10,$H$10)+IF(G211=$G$11,$H$11))</f>
        <v>0</v>
      </c>
      <c r="I211" s="93">
        <f t="shared" si="41"/>
        <v>865968.55670103093</v>
      </c>
      <c r="J211" s="88">
        <f t="shared" si="42"/>
        <v>943808.42696629209</v>
      </c>
      <c r="K211" s="112">
        <f t="shared" si="44"/>
        <v>26.901499999999999</v>
      </c>
      <c r="L211" s="84">
        <v>0</v>
      </c>
      <c r="M211" s="115"/>
      <c r="N211" s="111">
        <f t="shared" si="45"/>
        <v>1149120.0229826877</v>
      </c>
      <c r="O211" s="112" t="s">
        <v>22</v>
      </c>
      <c r="P211" s="116" t="s">
        <v>10</v>
      </c>
    </row>
    <row r="212" spans="1:16" x14ac:dyDescent="0.2">
      <c r="A212" s="116" t="s">
        <v>91</v>
      </c>
      <c r="B212" s="116" t="s">
        <v>1545</v>
      </c>
      <c r="C212" s="98">
        <v>172543</v>
      </c>
      <c r="D212" s="1">
        <v>3</v>
      </c>
      <c r="E212" s="116">
        <v>12.15</v>
      </c>
      <c r="F212" s="115">
        <f>E212*1.21</f>
        <v>14.701499999999999</v>
      </c>
      <c r="G212" s="114" t="s">
        <v>1460</v>
      </c>
      <c r="H212" s="113">
        <f>(IF(G212=$G$3,$H$3)+IF(G212=$G$4,$H$4)+IF(G212=$G$5,$H$5)+IF(G212=$G$6,$H$6)+IF(G212=$G$7,$H$7)+IF(G212=$G$8,$H$8)+IF(G212=$G$9,$H$9)+IF(G212=$G$10,$H$10)+IF(G212=$G$11,$H$11))</f>
        <v>10.285</v>
      </c>
      <c r="I212" s="93">
        <f t="shared" si="41"/>
        <v>177879.38144329897</v>
      </c>
      <c r="J212" s="88">
        <f t="shared" si="42"/>
        <v>193868.53932584269</v>
      </c>
      <c r="K212" s="112">
        <f t="shared" si="44"/>
        <v>37.186499999999995</v>
      </c>
      <c r="L212" s="84">
        <v>22411.49</v>
      </c>
      <c r="M212" s="115"/>
      <c r="N212" s="111">
        <f t="shared" si="45"/>
        <v>297102.44019382773</v>
      </c>
      <c r="O212" s="112" t="s">
        <v>92</v>
      </c>
      <c r="P212" s="116" t="s">
        <v>10</v>
      </c>
    </row>
    <row r="213" spans="1:16" x14ac:dyDescent="0.2">
      <c r="A213" s="116" t="s">
        <v>33</v>
      </c>
      <c r="B213" s="116" t="s">
        <v>34</v>
      </c>
      <c r="C213" s="98">
        <v>211974</v>
      </c>
      <c r="D213" s="1">
        <v>3</v>
      </c>
      <c r="E213" s="116">
        <v>12.15</v>
      </c>
      <c r="F213" s="115">
        <f t="shared" si="38"/>
        <v>14.701499999999999</v>
      </c>
      <c r="G213" s="114" t="s">
        <v>1621</v>
      </c>
      <c r="H213" s="113">
        <f t="shared" si="43"/>
        <v>26.861999999999998</v>
      </c>
      <c r="I213" s="93">
        <f t="shared" si="41"/>
        <v>218529.89690721649</v>
      </c>
      <c r="J213" s="88">
        <f t="shared" si="42"/>
        <v>238173.03370786516</v>
      </c>
      <c r="K213" s="112">
        <f t="shared" si="44"/>
        <v>53.763499999999993</v>
      </c>
      <c r="L213" s="84">
        <v>11455.49</v>
      </c>
      <c r="M213" s="115"/>
      <c r="N213" s="111">
        <f t="shared" si="45"/>
        <v>469911.47174602305</v>
      </c>
      <c r="O213" s="112" t="s">
        <v>35</v>
      </c>
      <c r="P213" s="116" t="s">
        <v>10</v>
      </c>
    </row>
    <row r="214" spans="1:16" x14ac:dyDescent="0.2">
      <c r="A214" s="116" t="s">
        <v>1641</v>
      </c>
      <c r="B214" s="116" t="s">
        <v>1642</v>
      </c>
      <c r="C214" s="98">
        <v>164800</v>
      </c>
      <c r="D214" s="1">
        <v>3</v>
      </c>
      <c r="E214" s="116">
        <v>12.15</v>
      </c>
      <c r="F214" s="115">
        <f>E214*1.21</f>
        <v>14.701499999999999</v>
      </c>
      <c r="G214" s="114" t="s">
        <v>903</v>
      </c>
      <c r="H214" s="113">
        <f>(IF(G214=$G$3,$H$3)+IF(G214=$G$4,$H$4)+IF(G214=$G$5,$H$5)+IF(G214=$G$6,$H$6)+IF(G214=$G$7,$H$7)+IF(G214=$G$8,$H$8)+IF(G214=$G$9,$H$9)+IF(G214=$G$10,$H$10)+IF(G214=$G$11,$H$11))</f>
        <v>0</v>
      </c>
      <c r="I214" s="93">
        <f t="shared" si="41"/>
        <v>169896.90721649484</v>
      </c>
      <c r="J214" s="88">
        <f t="shared" si="42"/>
        <v>185168.53932584269</v>
      </c>
      <c r="K214" s="112">
        <f t="shared" si="44"/>
        <v>26.901499999999999</v>
      </c>
      <c r="L214" s="84">
        <v>11200</v>
      </c>
      <c r="M214" s="115"/>
      <c r="N214" s="111">
        <f t="shared" si="45"/>
        <v>236649.22262426725</v>
      </c>
      <c r="O214" s="112" t="s">
        <v>1090</v>
      </c>
      <c r="P214" s="116" t="s">
        <v>10</v>
      </c>
    </row>
    <row r="215" spans="1:16" x14ac:dyDescent="0.2">
      <c r="A215" s="116" t="s">
        <v>108</v>
      </c>
      <c r="B215" s="116" t="s">
        <v>109</v>
      </c>
      <c r="C215" s="98">
        <v>321300</v>
      </c>
      <c r="D215" s="1">
        <v>2</v>
      </c>
      <c r="E215" s="116">
        <v>12.15</v>
      </c>
      <c r="F215" s="115">
        <f>E215*1.21</f>
        <v>14.701499999999999</v>
      </c>
      <c r="G215" s="114" t="s">
        <v>1302</v>
      </c>
      <c r="H215" s="113">
        <f>(IF(G215=$G$3,$H$3)+IF(G215=$G$4,$H$4)+IF(G215=$G$5,$H$5)+IF(G215=$G$6,$H$6)+IF(G215=$G$7,$H$7)+IF(G215=$G$8,$H$8)+IF(G215=$G$9,$H$9)+IF(G215=$G$10,$H$10)+IF(G215=$G$11,$H$11))</f>
        <v>0</v>
      </c>
      <c r="I215" s="93">
        <f t="shared" si="41"/>
        <v>327857.14285714284</v>
      </c>
      <c r="J215" s="88">
        <f t="shared" si="42"/>
        <v>357000</v>
      </c>
      <c r="K215" s="112">
        <f t="shared" si="44"/>
        <v>25.901499999999999</v>
      </c>
      <c r="L215" s="84">
        <v>20100</v>
      </c>
      <c r="M215" s="115"/>
      <c r="N215" s="111">
        <f t="shared" si="45"/>
        <v>453712.0164375797</v>
      </c>
      <c r="O215" s="112" t="s">
        <v>35</v>
      </c>
      <c r="P215" s="116" t="s">
        <v>10</v>
      </c>
    </row>
    <row r="216" spans="1:16" x14ac:dyDescent="0.2">
      <c r="A216" s="116" t="s">
        <v>140</v>
      </c>
      <c r="B216" s="116" t="s">
        <v>1632</v>
      </c>
      <c r="C216" s="98">
        <v>376980</v>
      </c>
      <c r="D216" s="1">
        <v>3</v>
      </c>
      <c r="E216" s="116">
        <v>12.15</v>
      </c>
      <c r="F216" s="115">
        <f t="shared" si="38"/>
        <v>14.701499999999999</v>
      </c>
      <c r="G216" s="114" t="s">
        <v>1621</v>
      </c>
      <c r="H216" s="113">
        <f t="shared" si="43"/>
        <v>26.861999999999998</v>
      </c>
      <c r="I216" s="93">
        <f t="shared" si="41"/>
        <v>388639.17525773199</v>
      </c>
      <c r="J216" s="88">
        <f t="shared" si="42"/>
        <v>423573.03370786516</v>
      </c>
      <c r="K216" s="112">
        <f t="shared" si="44"/>
        <v>53.763499999999993</v>
      </c>
      <c r="L216" s="84">
        <v>11200</v>
      </c>
      <c r="M216" s="115"/>
      <c r="N216" s="111">
        <f t="shared" si="45"/>
        <v>826529.88007310231</v>
      </c>
      <c r="O216" s="112" t="s">
        <v>35</v>
      </c>
      <c r="P216" s="116" t="s">
        <v>10</v>
      </c>
    </row>
    <row r="217" spans="1:16" x14ac:dyDescent="0.2">
      <c r="A217" s="116" t="s">
        <v>1659</v>
      </c>
      <c r="B217" s="116" t="s">
        <v>1660</v>
      </c>
      <c r="C217" s="98">
        <v>439810</v>
      </c>
      <c r="D217" s="1">
        <v>3</v>
      </c>
      <c r="E217" s="116">
        <v>12.15</v>
      </c>
      <c r="F217" s="115">
        <f t="shared" ref="F217" si="48">E217*1.21</f>
        <v>14.701499999999999</v>
      </c>
      <c r="G217" s="114" t="s">
        <v>903</v>
      </c>
      <c r="H217" s="113">
        <f t="shared" ref="H217" si="49">(IF(G217=$G$3,$H$3)+IF(G217=$G$4,$H$4)+IF(G217=$G$5,$H$5)+IF(G217=$G$6,$H$6)+IF(G217=$G$7,$H$7)+IF(G217=$G$8,$H$8)+IF(G217=$G$9,$H$9)+IF(G217=$G$10,$H$10)+IF(G217=$G$11,$H$11))</f>
        <v>0</v>
      </c>
      <c r="I217" s="93">
        <f t="shared" si="41"/>
        <v>453412.37113402062</v>
      </c>
      <c r="J217" s="88">
        <f t="shared" si="42"/>
        <v>494168.53932584269</v>
      </c>
      <c r="K217" s="112">
        <f t="shared" si="44"/>
        <v>26.901499999999999</v>
      </c>
      <c r="L217" s="84">
        <v>22411</v>
      </c>
      <c r="M217" s="115"/>
      <c r="N217" s="111">
        <f t="shared" si="45"/>
        <v>624078.61287851329</v>
      </c>
      <c r="O217" s="112" t="s">
        <v>35</v>
      </c>
      <c r="P217" s="116" t="s">
        <v>10</v>
      </c>
    </row>
    <row r="218" spans="1:16" x14ac:dyDescent="0.2">
      <c r="A218" s="116" t="s">
        <v>1340</v>
      </c>
      <c r="B218" s="116" t="s">
        <v>1449</v>
      </c>
      <c r="C218" s="98">
        <v>220500</v>
      </c>
      <c r="D218" s="1">
        <v>3</v>
      </c>
      <c r="E218" s="116">
        <v>12.15</v>
      </c>
      <c r="F218" s="115">
        <f t="shared" si="38"/>
        <v>14.701499999999999</v>
      </c>
      <c r="G218" s="114" t="s">
        <v>1300</v>
      </c>
      <c r="H218" s="113">
        <f t="shared" si="43"/>
        <v>0</v>
      </c>
      <c r="I218" s="93">
        <f t="shared" si="41"/>
        <v>227319.58762886599</v>
      </c>
      <c r="J218" s="88">
        <f t="shared" si="42"/>
        <v>247752.80898876404</v>
      </c>
      <c r="K218" s="112">
        <f t="shared" si="44"/>
        <v>26.901499999999999</v>
      </c>
      <c r="L218" s="84">
        <v>6266</v>
      </c>
      <c r="M218" s="115"/>
      <c r="N218" s="111">
        <f t="shared" si="45"/>
        <v>307913.77663016343</v>
      </c>
      <c r="O218" s="112" t="s">
        <v>1453</v>
      </c>
      <c r="P218" s="116" t="s">
        <v>1455</v>
      </c>
    </row>
    <row r="219" spans="1:16" x14ac:dyDescent="0.2">
      <c r="A219" s="116" t="s">
        <v>1328</v>
      </c>
      <c r="B219" s="116" t="s">
        <v>1332</v>
      </c>
      <c r="C219" s="98">
        <v>55000</v>
      </c>
      <c r="D219" s="1">
        <v>3</v>
      </c>
      <c r="E219" s="116">
        <v>14.5</v>
      </c>
      <c r="F219" s="115">
        <f t="shared" si="38"/>
        <v>17.544999999999998</v>
      </c>
      <c r="G219" s="114" t="s">
        <v>903</v>
      </c>
      <c r="H219" s="113">
        <f t="shared" si="43"/>
        <v>0</v>
      </c>
      <c r="I219" s="93">
        <f t="shared" si="41"/>
        <v>56701.030927835054</v>
      </c>
      <c r="J219" s="88">
        <f t="shared" si="42"/>
        <v>61797.752808988764</v>
      </c>
      <c r="K219" s="112">
        <f t="shared" si="44"/>
        <v>29.744999999999997</v>
      </c>
      <c r="L219" s="84">
        <v>8500</v>
      </c>
      <c r="M219" s="115"/>
      <c r="N219" s="111">
        <f t="shared" si="45"/>
        <v>86786.242972030464</v>
      </c>
      <c r="O219" s="112" t="s">
        <v>1452</v>
      </c>
      <c r="P219" s="116" t="s">
        <v>1456</v>
      </c>
    </row>
    <row r="220" spans="1:16" x14ac:dyDescent="0.2">
      <c r="A220" s="116" t="s">
        <v>1329</v>
      </c>
      <c r="B220" s="116" t="s">
        <v>1330</v>
      </c>
      <c r="C220" s="98">
        <v>28000</v>
      </c>
      <c r="D220" s="1">
        <v>3</v>
      </c>
      <c r="E220" s="116">
        <v>14.5</v>
      </c>
      <c r="F220" s="115">
        <f t="shared" si="38"/>
        <v>17.544999999999998</v>
      </c>
      <c r="G220" s="114" t="s">
        <v>903</v>
      </c>
      <c r="H220" s="113">
        <f t="shared" si="43"/>
        <v>0</v>
      </c>
      <c r="I220" s="93">
        <f t="shared" si="41"/>
        <v>28865.9793814433</v>
      </c>
      <c r="J220" s="88">
        <f t="shared" si="42"/>
        <v>31460.674157303369</v>
      </c>
      <c r="K220" s="112">
        <f t="shared" si="44"/>
        <v>29.744999999999997</v>
      </c>
      <c r="L220" s="84">
        <v>8500</v>
      </c>
      <c r="M220" s="115"/>
      <c r="N220" s="111">
        <f t="shared" si="45"/>
        <v>48354.814603942781</v>
      </c>
      <c r="O220" s="112" t="s">
        <v>1452</v>
      </c>
      <c r="P220" s="116" t="s">
        <v>1456</v>
      </c>
    </row>
    <row r="221" spans="1:16" x14ac:dyDescent="0.2">
      <c r="A221" s="116" t="s">
        <v>307</v>
      </c>
      <c r="B221" s="116" t="s">
        <v>308</v>
      </c>
      <c r="C221" s="98">
        <v>6624</v>
      </c>
      <c r="D221" s="1">
        <v>3</v>
      </c>
      <c r="E221" s="116">
        <v>12.65</v>
      </c>
      <c r="F221" s="115">
        <f t="shared" si="38"/>
        <v>15.3065</v>
      </c>
      <c r="G221" s="114" t="s">
        <v>903</v>
      </c>
      <c r="H221" s="113">
        <f t="shared" si="43"/>
        <v>0</v>
      </c>
      <c r="I221" s="93">
        <f t="shared" si="41"/>
        <v>6828.8659793814431</v>
      </c>
      <c r="J221" s="88">
        <f t="shared" si="42"/>
        <v>7442.696629213483</v>
      </c>
      <c r="K221" s="112">
        <f t="shared" si="44"/>
        <v>27.506499999999999</v>
      </c>
      <c r="L221" s="84">
        <v>0</v>
      </c>
      <c r="M221" s="115"/>
      <c r="N221" s="111">
        <f t="shared" si="45"/>
        <v>9137.3709367046704</v>
      </c>
      <c r="O221" s="112" t="s">
        <v>183</v>
      </c>
      <c r="P221" s="116" t="s">
        <v>277</v>
      </c>
    </row>
    <row r="222" spans="1:16" x14ac:dyDescent="0.2">
      <c r="A222" s="116" t="s">
        <v>309</v>
      </c>
      <c r="B222" s="116" t="s">
        <v>310</v>
      </c>
      <c r="C222" s="98">
        <v>6624</v>
      </c>
      <c r="D222" s="1">
        <v>3</v>
      </c>
      <c r="E222" s="116">
        <v>12.65</v>
      </c>
      <c r="F222" s="115">
        <f t="shared" si="38"/>
        <v>15.3065</v>
      </c>
      <c r="G222" s="114" t="s">
        <v>903</v>
      </c>
      <c r="H222" s="113">
        <f t="shared" si="43"/>
        <v>0</v>
      </c>
      <c r="I222" s="93">
        <f t="shared" si="41"/>
        <v>6828.8659793814431</v>
      </c>
      <c r="J222" s="88">
        <f t="shared" si="42"/>
        <v>7442.696629213483</v>
      </c>
      <c r="K222" s="112">
        <f t="shared" si="44"/>
        <v>27.506499999999999</v>
      </c>
      <c r="L222" s="84">
        <v>0</v>
      </c>
      <c r="M222" s="115"/>
      <c r="N222" s="111">
        <f t="shared" si="45"/>
        <v>9137.3709367046704</v>
      </c>
      <c r="O222" s="112" t="s">
        <v>311</v>
      </c>
      <c r="P222" s="116" t="s">
        <v>277</v>
      </c>
    </row>
    <row r="223" spans="1:16" x14ac:dyDescent="0.2">
      <c r="A223" s="116" t="s">
        <v>275</v>
      </c>
      <c r="B223" s="116" t="s">
        <v>276</v>
      </c>
      <c r="C223" s="98">
        <v>6624</v>
      </c>
      <c r="D223" s="1">
        <v>3</v>
      </c>
      <c r="E223" s="116">
        <v>12.65</v>
      </c>
      <c r="F223" s="115">
        <f t="shared" si="38"/>
        <v>15.3065</v>
      </c>
      <c r="G223" s="114" t="s">
        <v>903</v>
      </c>
      <c r="H223" s="113">
        <f t="shared" si="43"/>
        <v>0</v>
      </c>
      <c r="I223" s="93">
        <f t="shared" si="41"/>
        <v>6828.8659793814431</v>
      </c>
      <c r="J223" s="88">
        <f t="shared" si="42"/>
        <v>7442.696629213483</v>
      </c>
      <c r="K223" s="112">
        <f t="shared" si="44"/>
        <v>27.506499999999999</v>
      </c>
      <c r="L223" s="84">
        <v>2200</v>
      </c>
      <c r="M223" s="115"/>
      <c r="N223" s="111">
        <f t="shared" si="45"/>
        <v>11337.37093670467</v>
      </c>
      <c r="O223" s="112" t="s">
        <v>183</v>
      </c>
      <c r="P223" s="116" t="s">
        <v>277</v>
      </c>
    </row>
    <row r="224" spans="1:16" x14ac:dyDescent="0.2">
      <c r="A224" s="116" t="s">
        <v>280</v>
      </c>
      <c r="B224" s="116" t="s">
        <v>281</v>
      </c>
      <c r="C224" s="98">
        <v>5790</v>
      </c>
      <c r="D224" s="1">
        <v>3</v>
      </c>
      <c r="E224" s="116">
        <v>12.65</v>
      </c>
      <c r="F224" s="115">
        <f t="shared" si="38"/>
        <v>15.3065</v>
      </c>
      <c r="G224" s="114" t="s">
        <v>903</v>
      </c>
      <c r="H224" s="113">
        <f t="shared" si="43"/>
        <v>0</v>
      </c>
      <c r="I224" s="93">
        <f t="shared" si="41"/>
        <v>5969.072164948454</v>
      </c>
      <c r="J224" s="88">
        <f t="shared" si="42"/>
        <v>6505.6179775280898</v>
      </c>
      <c r="K224" s="112">
        <f t="shared" si="44"/>
        <v>27.506499999999999</v>
      </c>
      <c r="L224" s="84">
        <v>0</v>
      </c>
      <c r="M224" s="115"/>
      <c r="N224" s="111">
        <f t="shared" si="45"/>
        <v>7986.9229655072522</v>
      </c>
      <c r="O224" s="112" t="s">
        <v>230</v>
      </c>
      <c r="P224" s="116" t="s">
        <v>277</v>
      </c>
    </row>
    <row r="225" spans="1:16" x14ac:dyDescent="0.2">
      <c r="A225" s="116" t="s">
        <v>355</v>
      </c>
      <c r="B225" s="116" t="s">
        <v>356</v>
      </c>
      <c r="C225" s="98">
        <v>5790</v>
      </c>
      <c r="D225" s="1">
        <v>3</v>
      </c>
      <c r="E225" s="116">
        <v>12.65</v>
      </c>
      <c r="F225" s="115">
        <f t="shared" si="38"/>
        <v>15.3065</v>
      </c>
      <c r="G225" s="114" t="s">
        <v>903</v>
      </c>
      <c r="H225" s="113">
        <f>(IF(G225='base para costos'!$G$3,'base para costos'!$H$3)+IF(G225='base para costos'!$G$4,'base para costos'!$H$4)+IF(G225='base para costos'!$G$5,'base para costos'!$H$5)+IF(G225='base para costos'!$G$6,'base para costos'!$H$6)+IF(G225='base para costos'!$G$7,'base para costos'!$H$7)+IF(G225='base para costos'!$G$8,'base para costos'!$H$8)+IF(G225='base para costos'!$G$9,'base para costos'!$H$9)+IF(G225='base para costos'!$G$10,'base para costos'!$H$10)+IF(G225='base para costos'!$G$11,'base para costos'!$H$11))</f>
        <v>0</v>
      </c>
      <c r="I225" s="93">
        <f>(C225/(('base para costos'!$J$3-D225)/100))</f>
        <v>5969.072164948454</v>
      </c>
      <c r="J225" s="88">
        <f>(C225/(('base para costos'!$J$3-D225)/100-(0.08)))</f>
        <v>6505.6179775280898</v>
      </c>
      <c r="K225" s="112">
        <f t="shared" si="44"/>
        <v>27.506499999999999</v>
      </c>
      <c r="L225" s="84">
        <v>0</v>
      </c>
      <c r="M225" s="115"/>
      <c r="N225" s="111">
        <f t="shared" si="45"/>
        <v>7986.9229655072522</v>
      </c>
      <c r="O225" s="112" t="s">
        <v>230</v>
      </c>
      <c r="P225" s="116" t="s">
        <v>277</v>
      </c>
    </row>
    <row r="226" spans="1:16" x14ac:dyDescent="0.2">
      <c r="A226" s="116" t="s">
        <v>446</v>
      </c>
      <c r="B226" s="116" t="s">
        <v>447</v>
      </c>
      <c r="C226" s="98">
        <v>5752.7</v>
      </c>
      <c r="D226" s="1">
        <v>3</v>
      </c>
      <c r="E226" s="116">
        <v>12.65</v>
      </c>
      <c r="F226" s="115">
        <f t="shared" si="38"/>
        <v>15.3065</v>
      </c>
      <c r="G226" s="114" t="s">
        <v>903</v>
      </c>
      <c r="H226" s="113">
        <f>(IF(G226='base para costos'!$G$3,'base para costos'!$H$3)+IF(G226='base para costos'!$G$4,'base para costos'!$H$4)+IF(G226='base para costos'!$G$5,'base para costos'!$H$5)+IF(G226='base para costos'!$G$6,'base para costos'!$H$6)+IF(G226='base para costos'!$G$7,'base para costos'!$H$7)+IF(G226='base para costos'!$G$8,'base para costos'!$H$8)+IF(G226='base para costos'!$G$9,'base para costos'!$H$9)+IF(G226='base para costos'!$G$10,'base para costos'!$H$10)+IF(G226='base para costos'!$G$11,'base para costos'!$H$11))</f>
        <v>0</v>
      </c>
      <c r="I226" s="93">
        <f>(C226/(('base para costos'!$J$3-D226)/100))</f>
        <v>5930.6185567010307</v>
      </c>
      <c r="J226" s="88">
        <f>(C226/(('base para costos'!$J$3-D226)/100-(0.08)))</f>
        <v>6463.7078651685388</v>
      </c>
      <c r="K226" s="112">
        <f t="shared" si="44"/>
        <v>27.506499999999999</v>
      </c>
      <c r="L226" s="84">
        <v>0</v>
      </c>
      <c r="M226" s="115"/>
      <c r="N226" s="111">
        <f t="shared" si="45"/>
        <v>7935.4700766275591</v>
      </c>
      <c r="O226" s="112" t="s">
        <v>230</v>
      </c>
      <c r="P226" s="116" t="s">
        <v>277</v>
      </c>
    </row>
    <row r="227" spans="1:16" x14ac:dyDescent="0.2">
      <c r="A227" s="116" t="s">
        <v>214</v>
      </c>
      <c r="B227" s="116" t="s">
        <v>215</v>
      </c>
      <c r="C227" s="98">
        <v>2390.46</v>
      </c>
      <c r="D227" s="1">
        <v>3</v>
      </c>
      <c r="E227" s="116">
        <v>15.5</v>
      </c>
      <c r="F227" s="115">
        <f t="shared" si="38"/>
        <v>18.754999999999999</v>
      </c>
      <c r="G227" s="114" t="s">
        <v>903</v>
      </c>
      <c r="H227" s="113">
        <f>(IF(G227=$G$3,$H$3)+IF(G227=$G$4,$H$4)+IF(G227=$G$5,$H$5)+IF(G227=$G$6,$H$6)+IF(G227=$G$7,$H$7)+IF(G227=$G$8,$H$8)+IF(G227=$G$9,$H$9)+IF(G227=$G$10,$H$10)+IF(G227=$G$11,$H$11))</f>
        <v>0</v>
      </c>
      <c r="I227" s="93">
        <f>(C227/(($J$3-D227)/100))</f>
        <v>2464.3917525773195</v>
      </c>
      <c r="J227" s="88">
        <f>(C227/(($J$3-D227)/100-(0.08)))</f>
        <v>2685.9101123595506</v>
      </c>
      <c r="K227" s="112">
        <f t="shared" si="44"/>
        <v>30.954999999999998</v>
      </c>
      <c r="L227" s="84">
        <v>1000</v>
      </c>
      <c r="M227" s="115"/>
      <c r="N227" s="111">
        <f t="shared" si="45"/>
        <v>4462.1768411905277</v>
      </c>
      <c r="O227" s="112" t="s">
        <v>153</v>
      </c>
      <c r="P227" s="116" t="s">
        <v>216</v>
      </c>
    </row>
    <row r="228" spans="1:16" x14ac:dyDescent="0.2">
      <c r="A228" s="116" t="s">
        <v>221</v>
      </c>
      <c r="B228" s="116" t="s">
        <v>222</v>
      </c>
      <c r="C228" s="98">
        <v>2390.46</v>
      </c>
      <c r="D228" s="1">
        <v>3</v>
      </c>
      <c r="E228" s="116">
        <v>15.5</v>
      </c>
      <c r="F228" s="115">
        <f t="shared" si="38"/>
        <v>18.754999999999999</v>
      </c>
      <c r="G228" s="114" t="s">
        <v>903</v>
      </c>
      <c r="H228" s="113">
        <f>(IF(G228=$G$3,$H$3)+IF(G228=$G$4,$H$4)+IF(G228=$G$5,$H$5)+IF(G228=$G$6,$H$6)+IF(G228=$G$7,$H$7)+IF(G228=$G$8,$H$8)+IF(G228=$G$9,$H$9)+IF(G228=$G$10,$H$10)+IF(G228=$G$11,$H$11))</f>
        <v>0</v>
      </c>
      <c r="I228" s="93">
        <f>(C228/(($J$3-D228)/100))</f>
        <v>2464.3917525773195</v>
      </c>
      <c r="J228" s="88">
        <f>(C228/(($J$3-D228)/100-(0.08)))</f>
        <v>2685.9101123595506</v>
      </c>
      <c r="K228" s="112">
        <f t="shared" si="44"/>
        <v>30.954999999999998</v>
      </c>
      <c r="L228" s="84">
        <v>1000</v>
      </c>
      <c r="M228" s="115"/>
      <c r="N228" s="111">
        <f t="shared" si="45"/>
        <v>4462.1768411905277</v>
      </c>
      <c r="O228" s="112" t="s">
        <v>153</v>
      </c>
      <c r="P228" s="116" t="s">
        <v>216</v>
      </c>
    </row>
    <row r="229" spans="1:16" x14ac:dyDescent="0.2">
      <c r="A229" s="116" t="s">
        <v>365</v>
      </c>
      <c r="B229" s="116" t="s">
        <v>366</v>
      </c>
      <c r="C229" s="98">
        <v>1287.17</v>
      </c>
      <c r="D229" s="1">
        <v>10</v>
      </c>
      <c r="E229" s="116">
        <v>15.5</v>
      </c>
      <c r="F229" s="115">
        <f t="shared" si="38"/>
        <v>18.754999999999999</v>
      </c>
      <c r="G229" s="114" t="s">
        <v>903</v>
      </c>
      <c r="H229" s="113">
        <f>(IF(G229='base para costos'!$G$3,'base para costos'!$H$3)+IF(G229='base para costos'!$G$4,'base para costos'!$H$4)+IF(G229='base para costos'!$G$5,'base para costos'!$H$5)+IF(G229='base para costos'!$G$6,'base para costos'!$H$6)+IF(G229='base para costos'!$G$7,'base para costos'!$H$7)+IF(G229='base para costos'!$G$8,'base para costos'!$H$8)+IF(G229='base para costos'!$G$9,'base para costos'!$H$9)+IF(G229='base para costos'!$G$10,'base para costos'!$H$10)+IF(G229='base para costos'!$G$11,'base para costos'!$H$11))</f>
        <v>0</v>
      </c>
      <c r="I229" s="93">
        <f>(C229/(('base para costos'!$J$3-D229)/100))</f>
        <v>1430.1888888888889</v>
      </c>
      <c r="J229" s="88">
        <f>(C229/(('base para costos'!$J$3-D229)/100-(0.08)))</f>
        <v>1569.719512195122</v>
      </c>
      <c r="K229" s="112">
        <f t="shared" si="44"/>
        <v>37.954999999999998</v>
      </c>
      <c r="L229" s="84">
        <v>1000</v>
      </c>
      <c r="M229" s="115"/>
      <c r="N229" s="111">
        <f t="shared" si="45"/>
        <v>3074.5749053106615</v>
      </c>
      <c r="O229" s="112" t="s">
        <v>153</v>
      </c>
      <c r="P229" s="116" t="s">
        <v>216</v>
      </c>
    </row>
    <row r="230" spans="1:16" x14ac:dyDescent="0.2">
      <c r="A230" s="116" t="s">
        <v>545</v>
      </c>
      <c r="B230" s="116" t="s">
        <v>546</v>
      </c>
      <c r="C230" s="98">
        <v>3900</v>
      </c>
      <c r="D230" s="1">
        <v>3</v>
      </c>
      <c r="E230" s="116">
        <v>15.5</v>
      </c>
      <c r="F230" s="115">
        <f t="shared" si="38"/>
        <v>18.754999999999999</v>
      </c>
      <c r="G230" s="114" t="s">
        <v>903</v>
      </c>
      <c r="H230" s="113">
        <f>(IF(G230='base para costos'!$G$3,'base para costos'!$H$3)+IF(G230='base para costos'!$G$4,'base para costos'!$H$4)+IF(G230='base para costos'!$G$5,'base para costos'!$H$5)+IF(G230='base para costos'!$G$6,'base para costos'!$H$6)+IF(G230='base para costos'!$G$7,'base para costos'!$H$7)+IF(G230='base para costos'!$G$8,'base para costos'!$H$8)+IF(G230='base para costos'!$G$9,'base para costos'!$H$9)+IF(G230='base para costos'!$G$10,'base para costos'!$H$10)+IF(G230='base para costos'!$G$11,'base para costos'!$H$11))</f>
        <v>0</v>
      </c>
      <c r="I230" s="93">
        <f>(C230/(('base para costos'!$J$3-D230)/100))</f>
        <v>4020.6185567010311</v>
      </c>
      <c r="J230" s="88">
        <f>(C230/(('base para costos'!$J$3-D230)/100-(0.08)))</f>
        <v>4382.0224719101125</v>
      </c>
      <c r="K230" s="112">
        <f t="shared" si="44"/>
        <v>30.954999999999998</v>
      </c>
      <c r="L230" s="84">
        <v>0</v>
      </c>
      <c r="M230" s="115"/>
      <c r="N230" s="111">
        <f t="shared" si="45"/>
        <v>5648.4901151422982</v>
      </c>
      <c r="O230" s="112" t="s">
        <v>153</v>
      </c>
      <c r="P230" s="116" t="s">
        <v>216</v>
      </c>
    </row>
    <row r="231" spans="1:16" x14ac:dyDescent="0.2">
      <c r="A231" s="116" t="s">
        <v>465</v>
      </c>
      <c r="B231" s="116" t="s">
        <v>466</v>
      </c>
      <c r="C231" s="98">
        <v>5200</v>
      </c>
      <c r="D231" s="1">
        <v>3</v>
      </c>
      <c r="E231" s="116">
        <v>15.5</v>
      </c>
      <c r="F231" s="115">
        <f t="shared" si="38"/>
        <v>18.754999999999999</v>
      </c>
      <c r="G231" s="114" t="s">
        <v>903</v>
      </c>
      <c r="H231" s="113">
        <f>(IF(G231='base para costos'!$G$3,'base para costos'!$H$3)+IF(G231='base para costos'!$G$4,'base para costos'!$H$4)+IF(G231='base para costos'!$G$5,'base para costos'!$H$5)+IF(G231='base para costos'!$G$6,'base para costos'!$H$6)+IF(G231='base para costos'!$G$7,'base para costos'!$H$7)+IF(G231='base para costos'!$G$8,'base para costos'!$H$8)+IF(G231='base para costos'!$G$9,'base para costos'!$H$9)+IF(G231='base para costos'!$G$10,'base para costos'!$H$10)+IF(G231='base para costos'!$G$11,'base para costos'!$H$11))</f>
        <v>0</v>
      </c>
      <c r="I231" s="93">
        <f>(C231/(('base para costos'!$J$3-D231)/100))</f>
        <v>5360.8247422680415</v>
      </c>
      <c r="J231" s="88">
        <f>(C231/(('base para costos'!$J$3-D231)/100-(0.08)))</f>
        <v>5842.696629213483</v>
      </c>
      <c r="K231" s="112">
        <f t="shared" si="44"/>
        <v>30.954999999999998</v>
      </c>
      <c r="L231" s="84">
        <v>0</v>
      </c>
      <c r="M231" s="115"/>
      <c r="N231" s="111">
        <f t="shared" si="45"/>
        <v>7531.3201535230646</v>
      </c>
      <c r="O231" s="112" t="s">
        <v>230</v>
      </c>
      <c r="P231" s="116" t="s">
        <v>216</v>
      </c>
    </row>
    <row r="232" spans="1:16" x14ac:dyDescent="0.2">
      <c r="A232" s="116" t="s">
        <v>401</v>
      </c>
      <c r="B232" s="116" t="s">
        <v>402</v>
      </c>
      <c r="C232" s="98">
        <v>1195.23</v>
      </c>
      <c r="D232" s="1">
        <v>10</v>
      </c>
      <c r="E232" s="116">
        <v>15.5</v>
      </c>
      <c r="F232" s="115">
        <f t="shared" si="38"/>
        <v>18.754999999999999</v>
      </c>
      <c r="G232" s="114" t="s">
        <v>903</v>
      </c>
      <c r="H232" s="113">
        <f>(IF(G232='base para costos'!$G$3,'base para costos'!$H$3)+IF(G232='base para costos'!$G$4,'base para costos'!$H$4)+IF(G232='base para costos'!$G$5,'base para costos'!$H$5)+IF(G232='base para costos'!$G$6,'base para costos'!$H$6)+IF(G232='base para costos'!$G$7,'base para costos'!$H$7)+IF(G232='base para costos'!$G$8,'base para costos'!$H$8)+IF(G232='base para costos'!$G$9,'base para costos'!$H$9)+IF(G232='base para costos'!$G$10,'base para costos'!$H$10)+IF(G232='base para costos'!$G$11,'base para costos'!$H$11))</f>
        <v>0</v>
      </c>
      <c r="I232" s="93">
        <f>(C232/(('base para costos'!$J$3-D232)/100))</f>
        <v>1328.0333333333333</v>
      </c>
      <c r="J232" s="88">
        <f>(C232/(('base para costos'!$J$3-D232)/100-(0.08)))</f>
        <v>1457.5975609756097</v>
      </c>
      <c r="K232" s="112">
        <f t="shared" si="44"/>
        <v>37.954999999999998</v>
      </c>
      <c r="L232" s="84">
        <v>0</v>
      </c>
      <c r="M232" s="115"/>
      <c r="N232" s="111">
        <f t="shared" si="45"/>
        <v>1926.3921347409137</v>
      </c>
      <c r="O232" s="112" t="s">
        <v>153</v>
      </c>
      <c r="P232" s="116" t="s">
        <v>216</v>
      </c>
    </row>
    <row r="233" spans="1:16" x14ac:dyDescent="0.2">
      <c r="A233" s="116" t="s">
        <v>403</v>
      </c>
      <c r="B233" s="116" t="s">
        <v>404</v>
      </c>
      <c r="C233" s="98">
        <v>2390.46</v>
      </c>
      <c r="D233" s="1">
        <v>3</v>
      </c>
      <c r="E233" s="116">
        <v>15.5</v>
      </c>
      <c r="F233" s="115">
        <f t="shared" si="38"/>
        <v>18.754999999999999</v>
      </c>
      <c r="G233" s="114" t="s">
        <v>903</v>
      </c>
      <c r="H233" s="113">
        <f>(IF(G233='base para costos'!$G$3,'base para costos'!$H$3)+IF(G233='base para costos'!$G$4,'base para costos'!$H$4)+IF(G233='base para costos'!$G$5,'base para costos'!$H$5)+IF(G233='base para costos'!$G$6,'base para costos'!$H$6)+IF(G233='base para costos'!$G$7,'base para costos'!$H$7)+IF(G233='base para costos'!$G$8,'base para costos'!$H$8)+IF(G233='base para costos'!$G$9,'base para costos'!$H$9)+IF(G233='base para costos'!$G$10,'base para costos'!$H$10)+IF(G233='base para costos'!$G$11,'base para costos'!$H$11))</f>
        <v>0</v>
      </c>
      <c r="I233" s="93">
        <f>(C233/(('base para costos'!$J$3-D233)/100))</f>
        <v>2464.3917525773195</v>
      </c>
      <c r="J233" s="88">
        <f>(C233/(('base para costos'!$J$3-D233)/100-(0.08)))</f>
        <v>2685.9101123595506</v>
      </c>
      <c r="K233" s="112">
        <f t="shared" si="44"/>
        <v>30.954999999999998</v>
      </c>
      <c r="L233" s="84">
        <v>0</v>
      </c>
      <c r="M233" s="115"/>
      <c r="N233" s="111">
        <f t="shared" si="45"/>
        <v>3462.1768411905277</v>
      </c>
      <c r="O233" s="112" t="s">
        <v>153</v>
      </c>
      <c r="P233" s="116" t="s">
        <v>216</v>
      </c>
    </row>
    <row r="234" spans="1:16" x14ac:dyDescent="0.2">
      <c r="A234" s="116" t="s">
        <v>385</v>
      </c>
      <c r="B234" s="116" t="s">
        <v>386</v>
      </c>
      <c r="C234" s="98">
        <v>4137.3</v>
      </c>
      <c r="D234" s="1">
        <v>3</v>
      </c>
      <c r="E234" s="116">
        <v>15.5</v>
      </c>
      <c r="F234" s="115">
        <f t="shared" si="38"/>
        <v>18.754999999999999</v>
      </c>
      <c r="G234" s="114" t="s">
        <v>903</v>
      </c>
      <c r="H234" s="113">
        <f>(IF(G234='base para costos'!$G$3,'base para costos'!$H$3)+IF(G234='base para costos'!$G$4,'base para costos'!$H$4)+IF(G234='base para costos'!$G$5,'base para costos'!$H$5)+IF(G234='base para costos'!$G$6,'base para costos'!$H$6)+IF(G234='base para costos'!$G$7,'base para costos'!$H$7)+IF(G234='base para costos'!$G$8,'base para costos'!$H$8)+IF(G234='base para costos'!$G$9,'base para costos'!$H$9)+IF(G234='base para costos'!$G$10,'base para costos'!$H$10)+IF(G234='base para costos'!$G$11,'base para costos'!$H$11))</f>
        <v>0</v>
      </c>
      <c r="I234" s="93">
        <f>(C234/(('base para costos'!$J$3-D234)/100))</f>
        <v>4265.2577319587635</v>
      </c>
      <c r="J234" s="88">
        <f>(C234/(('base para costos'!$J$3-D234)/100-(0.08)))</f>
        <v>4648.651685393259</v>
      </c>
      <c r="K234" s="112">
        <f t="shared" si="44"/>
        <v>30.954999999999998</v>
      </c>
      <c r="L234" s="84">
        <v>0</v>
      </c>
      <c r="M234" s="115"/>
      <c r="N234" s="111">
        <f t="shared" si="45"/>
        <v>5992.1790136867266</v>
      </c>
      <c r="O234" s="112" t="s">
        <v>153</v>
      </c>
      <c r="P234" s="116" t="s">
        <v>387</v>
      </c>
    </row>
    <row r="235" spans="1:16" x14ac:dyDescent="0.2">
      <c r="A235" s="116" t="s">
        <v>811</v>
      </c>
      <c r="B235" s="116" t="s">
        <v>812</v>
      </c>
      <c r="C235" s="98">
        <v>1572.48</v>
      </c>
      <c r="D235" s="1">
        <v>3</v>
      </c>
      <c r="E235" s="116">
        <v>15.5</v>
      </c>
      <c r="F235" s="115">
        <f t="shared" si="38"/>
        <v>18.754999999999999</v>
      </c>
      <c r="G235" s="114" t="s">
        <v>903</v>
      </c>
      <c r="H235" s="113">
        <f>(IF(G235='base para costos'!$G$3,'base para costos'!$H$3)+IF(G235='base para costos'!$G$4,'base para costos'!$H$4)+IF(G235='base para costos'!$G$5,'base para costos'!$H$5)+IF(G235='base para costos'!$G$6,'base para costos'!$H$6)+IF(G235='base para costos'!$G$7,'base para costos'!$H$7)+IF(G235='base para costos'!$G$8,'base para costos'!$H$8)+IF(G235='base para costos'!$G$9,'base para costos'!$H$9)+IF(G235='base para costos'!$G$10,'base para costos'!$H$10)+IF(G235='base para costos'!$G$11,'base para costos'!$H$11))</f>
        <v>0</v>
      </c>
      <c r="I235" s="93">
        <f>(C235/(('base para costos'!$J$3-D235)/100))</f>
        <v>1621.1134020618558</v>
      </c>
      <c r="J235" s="88">
        <f>(C235/(('base para costos'!$J$3-D235)/100-(0.08)))</f>
        <v>1766.8314606741574</v>
      </c>
      <c r="K235" s="112">
        <f t="shared" si="44"/>
        <v>30.954999999999998</v>
      </c>
      <c r="L235" s="84">
        <v>0</v>
      </c>
      <c r="M235" s="115"/>
      <c r="N235" s="111">
        <f t="shared" si="45"/>
        <v>2277.4712144253749</v>
      </c>
      <c r="O235" s="112" t="s">
        <v>299</v>
      </c>
      <c r="P235" s="116" t="s">
        <v>216</v>
      </c>
    </row>
    <row r="236" spans="1:16" x14ac:dyDescent="0.2">
      <c r="A236" s="116" t="s">
        <v>641</v>
      </c>
      <c r="B236" s="116" t="s">
        <v>642</v>
      </c>
      <c r="C236" s="98">
        <v>1195.23</v>
      </c>
      <c r="D236" s="1">
        <v>3</v>
      </c>
      <c r="E236" s="116">
        <v>15.5</v>
      </c>
      <c r="F236" s="115">
        <f t="shared" si="38"/>
        <v>18.754999999999999</v>
      </c>
      <c r="G236" s="114" t="s">
        <v>903</v>
      </c>
      <c r="H236" s="113">
        <f>(IF(G236='base para costos'!$G$3,'base para costos'!$H$3)+IF(G236='base para costos'!$G$4,'base para costos'!$H$4)+IF(G236='base para costos'!$G$5,'base para costos'!$H$5)+IF(G236='base para costos'!$G$6,'base para costos'!$H$6)+IF(G236='base para costos'!$G$7,'base para costos'!$H$7)+IF(G236='base para costos'!$G$8,'base para costos'!$H$8)+IF(G236='base para costos'!$G$9,'base para costos'!$H$9)+IF(G236='base para costos'!$G$10,'base para costos'!$H$10)+IF(G236='base para costos'!$G$11,'base para costos'!$H$11))</f>
        <v>0</v>
      </c>
      <c r="I236" s="93">
        <f>(C236/(('base para costos'!$J$3-D236)/100))</f>
        <v>1232.1958762886597</v>
      </c>
      <c r="J236" s="88">
        <f>(C236/(('base para costos'!$J$3-D236)/100-(0.08)))</f>
        <v>1342.9550561797753</v>
      </c>
      <c r="K236" s="112">
        <f t="shared" si="44"/>
        <v>30.954999999999998</v>
      </c>
      <c r="L236" s="84">
        <v>0</v>
      </c>
      <c r="M236" s="115"/>
      <c r="N236" s="111">
        <f t="shared" si="45"/>
        <v>1731.0884205952639</v>
      </c>
      <c r="O236" s="112" t="s">
        <v>153</v>
      </c>
      <c r="P236" s="116" t="s">
        <v>216</v>
      </c>
    </row>
    <row r="237" spans="1:16" x14ac:dyDescent="0.2">
      <c r="A237" s="116" t="s">
        <v>779</v>
      </c>
      <c r="B237" s="116" t="s">
        <v>780</v>
      </c>
      <c r="C237" s="98">
        <v>4550</v>
      </c>
      <c r="D237" s="1">
        <v>3</v>
      </c>
      <c r="E237" s="116">
        <v>15.5</v>
      </c>
      <c r="F237" s="115">
        <f t="shared" si="38"/>
        <v>18.754999999999999</v>
      </c>
      <c r="G237" s="114" t="s">
        <v>903</v>
      </c>
      <c r="H237" s="113">
        <f>(IF(G237='base para costos'!$G$3,'base para costos'!$H$3)+IF(G237='base para costos'!$G$4,'base para costos'!$H$4)+IF(G237='base para costos'!$G$5,'base para costos'!$H$5)+IF(G237='base para costos'!$G$6,'base para costos'!$H$6)+IF(G237='base para costos'!$G$7,'base para costos'!$H$7)+IF(G237='base para costos'!$G$8,'base para costos'!$H$8)+IF(G237='base para costos'!$G$9,'base para costos'!$H$9)+IF(G237='base para costos'!$G$10,'base para costos'!$H$10)+IF(G237='base para costos'!$G$11,'base para costos'!$H$11))</f>
        <v>0</v>
      </c>
      <c r="I237" s="93">
        <f>(C237/(('base para costos'!$J$3-D237)/100))</f>
        <v>4690.7216494845361</v>
      </c>
      <c r="J237" s="88">
        <f>(C237/(('base para costos'!$J$3-D237)/100-(0.08)))</f>
        <v>5112.3595505617977</v>
      </c>
      <c r="K237" s="112">
        <f t="shared" si="44"/>
        <v>30.954999999999998</v>
      </c>
      <c r="L237" s="84">
        <v>0</v>
      </c>
      <c r="M237" s="115"/>
      <c r="N237" s="111">
        <f t="shared" si="45"/>
        <v>6589.9051343326819</v>
      </c>
      <c r="O237" s="112" t="s">
        <v>153</v>
      </c>
      <c r="P237" s="116" t="s">
        <v>566</v>
      </c>
    </row>
    <row r="238" spans="1:16" x14ac:dyDescent="0.2">
      <c r="A238" s="116" t="s">
        <v>712</v>
      </c>
      <c r="B238" s="116" t="s">
        <v>713</v>
      </c>
      <c r="C238" s="98">
        <v>2266.69</v>
      </c>
      <c r="D238" s="1">
        <v>3</v>
      </c>
      <c r="E238" s="116">
        <v>15.5</v>
      </c>
      <c r="F238" s="115">
        <f t="shared" si="38"/>
        <v>18.754999999999999</v>
      </c>
      <c r="G238" s="114" t="s">
        <v>903</v>
      </c>
      <c r="H238" s="113">
        <f>(IF(G238='base para costos'!$G$3,'base para costos'!$H$3)+IF(G238='base para costos'!$G$4,'base para costos'!$H$4)+IF(G238='base para costos'!$G$5,'base para costos'!$H$5)+IF(G238='base para costos'!$G$6,'base para costos'!$H$6)+IF(G238='base para costos'!$G$7,'base para costos'!$H$7)+IF(G238='base para costos'!$G$8,'base para costos'!$H$8)+IF(G238='base para costos'!$G$9,'base para costos'!$H$9)+IF(G238='base para costos'!$G$10,'base para costos'!$H$10)+IF(G238='base para costos'!$G$11,'base para costos'!$H$11))</f>
        <v>0</v>
      </c>
      <c r="I238" s="93">
        <f>(C238/(('base para costos'!$J$3-D238)/100))</f>
        <v>2336.7938144329896</v>
      </c>
      <c r="J238" s="88">
        <f>(C238/(('base para costos'!$J$3-D238)/100-(0.08)))</f>
        <v>2546.8426966292136</v>
      </c>
      <c r="K238" s="112">
        <f t="shared" si="44"/>
        <v>30.954999999999998</v>
      </c>
      <c r="L238" s="84">
        <v>0</v>
      </c>
      <c r="M238" s="115"/>
      <c r="N238" s="111">
        <f t="shared" si="45"/>
        <v>3282.9169382286914</v>
      </c>
      <c r="O238" s="112" t="s">
        <v>230</v>
      </c>
      <c r="P238" s="116" t="s">
        <v>216</v>
      </c>
    </row>
    <row r="239" spans="1:16" x14ac:dyDescent="0.2">
      <c r="A239" s="116" t="s">
        <v>647</v>
      </c>
      <c r="B239" s="116" t="s">
        <v>648</v>
      </c>
      <c r="C239" s="98">
        <v>3900</v>
      </c>
      <c r="D239" s="1">
        <v>3</v>
      </c>
      <c r="E239" s="116">
        <v>15.5</v>
      </c>
      <c r="F239" s="115">
        <f t="shared" si="38"/>
        <v>18.754999999999999</v>
      </c>
      <c r="G239" s="114" t="s">
        <v>903</v>
      </c>
      <c r="H239" s="113">
        <f>(IF(G239='base para costos'!$G$3,'base para costos'!$H$3)+IF(G239='base para costos'!$G$4,'base para costos'!$H$4)+IF(G239='base para costos'!$G$5,'base para costos'!$H$5)+IF(G239='base para costos'!$G$6,'base para costos'!$H$6)+IF(G239='base para costos'!$G$7,'base para costos'!$H$7)+IF(G239='base para costos'!$G$8,'base para costos'!$H$8)+IF(G239='base para costos'!$G$9,'base para costos'!$H$9)+IF(G239='base para costos'!$G$10,'base para costos'!$H$10)+IF(G239='base para costos'!$G$11,'base para costos'!$H$11))</f>
        <v>0</v>
      </c>
      <c r="I239" s="93">
        <f>(C239/(('base para costos'!$J$3-D239)/100))</f>
        <v>4020.6185567010311</v>
      </c>
      <c r="J239" s="88">
        <f>(C239/(('base para costos'!$J$3-D239)/100-(0.08)))</f>
        <v>4382.0224719101125</v>
      </c>
      <c r="K239" s="112">
        <f t="shared" si="44"/>
        <v>30.954999999999998</v>
      </c>
      <c r="L239" s="84">
        <v>0</v>
      </c>
      <c r="M239" s="115"/>
      <c r="N239" s="111">
        <f t="shared" si="45"/>
        <v>5648.4901151422982</v>
      </c>
      <c r="O239" s="112" t="s">
        <v>153</v>
      </c>
      <c r="P239" s="116" t="s">
        <v>216</v>
      </c>
    </row>
    <row r="240" spans="1:16" x14ac:dyDescent="0.2">
      <c r="A240" s="116" t="s">
        <v>666</v>
      </c>
      <c r="B240" s="116" t="s">
        <v>667</v>
      </c>
      <c r="C240" s="98">
        <v>10090.09</v>
      </c>
      <c r="D240" s="1">
        <v>3</v>
      </c>
      <c r="E240" s="116">
        <v>15.5</v>
      </c>
      <c r="F240" s="115">
        <f t="shared" si="38"/>
        <v>18.754999999999999</v>
      </c>
      <c r="G240" s="114" t="s">
        <v>903</v>
      </c>
      <c r="H240" s="113">
        <f>(IF(G240='base para costos'!$G$3,'base para costos'!$H$3)+IF(G240='base para costos'!$G$4,'base para costos'!$H$4)+IF(G240='base para costos'!$G$5,'base para costos'!$H$5)+IF(G240='base para costos'!$G$6,'base para costos'!$H$6)+IF(G240='base para costos'!$G$7,'base para costos'!$H$7)+IF(G240='base para costos'!$G$8,'base para costos'!$H$8)+IF(G240='base para costos'!$G$9,'base para costos'!$H$9)+IF(G240='base para costos'!$G$10,'base para costos'!$H$10)+IF(G240='base para costos'!$G$11,'base para costos'!$H$11))</f>
        <v>0</v>
      </c>
      <c r="I240" s="93">
        <f>(C240/(('base para costos'!$J$3-D240)/100))</f>
        <v>10402.154639175258</v>
      </c>
      <c r="J240" s="88">
        <f>(C240/(('base para costos'!$J$3-D240)/100-(0.08)))</f>
        <v>11337.1797752809</v>
      </c>
      <c r="K240" s="112">
        <f t="shared" si="44"/>
        <v>30.954999999999998</v>
      </c>
      <c r="L240" s="84">
        <v>0</v>
      </c>
      <c r="M240" s="115"/>
      <c r="N240" s="111">
        <f t="shared" si="45"/>
        <v>14613.788109204143</v>
      </c>
      <c r="O240" s="112" t="s">
        <v>230</v>
      </c>
      <c r="P240" s="116" t="s">
        <v>566</v>
      </c>
    </row>
    <row r="241" spans="1:16" x14ac:dyDescent="0.2">
      <c r="A241" s="116" t="s">
        <v>768</v>
      </c>
      <c r="B241" s="116" t="s">
        <v>769</v>
      </c>
      <c r="C241" s="98">
        <v>4900</v>
      </c>
      <c r="D241" s="1">
        <v>3</v>
      </c>
      <c r="E241" s="116">
        <v>15.5</v>
      </c>
      <c r="F241" s="115">
        <f t="shared" si="38"/>
        <v>18.754999999999999</v>
      </c>
      <c r="G241" s="114" t="s">
        <v>903</v>
      </c>
      <c r="H241" s="113">
        <f>(IF(G241='base para costos'!$G$3,'base para costos'!$H$3)+IF(G241='base para costos'!$G$4,'base para costos'!$H$4)+IF(G241='base para costos'!$G$5,'base para costos'!$H$5)+IF(G241='base para costos'!$G$6,'base para costos'!$H$6)+IF(G241='base para costos'!$G$7,'base para costos'!$H$7)+IF(G241='base para costos'!$G$8,'base para costos'!$H$8)+IF(G241='base para costos'!$G$9,'base para costos'!$H$9)+IF(G241='base para costos'!$G$10,'base para costos'!$H$10)+IF(G241='base para costos'!$G$11,'base para costos'!$H$11))</f>
        <v>0</v>
      </c>
      <c r="I241" s="93">
        <f>(C241/(('base para costos'!$J$3-D241)/100))</f>
        <v>5051.5463917525776</v>
      </c>
      <c r="J241" s="88">
        <f>(C241/(('base para costos'!$J$3-D241)/100-(0.08)))</f>
        <v>5505.6179775280898</v>
      </c>
      <c r="K241" s="112">
        <f t="shared" si="44"/>
        <v>30.954999999999998</v>
      </c>
      <c r="L241" s="84">
        <v>0</v>
      </c>
      <c r="M241" s="115"/>
      <c r="N241" s="111">
        <f t="shared" si="45"/>
        <v>7096.8209138967341</v>
      </c>
      <c r="O241" s="112" t="s">
        <v>230</v>
      </c>
      <c r="P241" s="116" t="s">
        <v>387</v>
      </c>
    </row>
    <row r="242" spans="1:16" x14ac:dyDescent="0.2">
      <c r="A242" s="116" t="s">
        <v>828</v>
      </c>
      <c r="B242" s="116" t="s">
        <v>829</v>
      </c>
      <c r="C242" s="98">
        <v>2599.35</v>
      </c>
      <c r="D242" s="1">
        <v>3</v>
      </c>
      <c r="E242" s="116">
        <v>15.5</v>
      </c>
      <c r="F242" s="115">
        <f t="shared" si="38"/>
        <v>18.754999999999999</v>
      </c>
      <c r="G242" s="114" t="s">
        <v>903</v>
      </c>
      <c r="H242" s="113">
        <f>(IF(G242='base para costos'!$G$3,'base para costos'!$H$3)+IF(G242='base para costos'!$G$4,'base para costos'!$H$4)+IF(G242='base para costos'!$G$5,'base para costos'!$H$5)+IF(G242='base para costos'!$G$6,'base para costos'!$H$6)+IF(G242='base para costos'!$G$7,'base para costos'!$H$7)+IF(G242='base para costos'!$G$8,'base para costos'!$H$8)+IF(G242='base para costos'!$G$9,'base para costos'!$H$9)+IF(G242='base para costos'!$G$10,'base para costos'!$H$10)+IF(G242='base para costos'!$G$11,'base para costos'!$H$11))</f>
        <v>0</v>
      </c>
      <c r="I242" s="93">
        <f>(C242/(('base para costos'!$J$3-D242)/100))</f>
        <v>2679.7422680412369</v>
      </c>
      <c r="J242" s="88">
        <f>(C242/(('base para costos'!$J$3-D242)/100-(0.08)))</f>
        <v>2920.6179775280898</v>
      </c>
      <c r="K242" s="112">
        <f t="shared" si="44"/>
        <v>30.954999999999998</v>
      </c>
      <c r="L242" s="84">
        <v>0</v>
      </c>
      <c r="M242" s="115"/>
      <c r="N242" s="111">
        <f t="shared" si="45"/>
        <v>3764.7186617423417</v>
      </c>
      <c r="O242" s="112" t="s">
        <v>230</v>
      </c>
      <c r="P242" s="116" t="s">
        <v>387</v>
      </c>
    </row>
    <row r="243" spans="1:16" x14ac:dyDescent="0.2">
      <c r="A243" s="116" t="s">
        <v>794</v>
      </c>
      <c r="B243" s="116" t="s">
        <v>795</v>
      </c>
      <c r="C243" s="98">
        <v>3858.37</v>
      </c>
      <c r="D243" s="1">
        <v>3</v>
      </c>
      <c r="E243" s="116">
        <v>15.5</v>
      </c>
      <c r="F243" s="115">
        <f t="shared" si="38"/>
        <v>18.754999999999999</v>
      </c>
      <c r="G243" s="114" t="s">
        <v>903</v>
      </c>
      <c r="H243" s="113">
        <f>(IF(G243='base para costos'!$G$3,'base para costos'!$H$3)+IF(G243='base para costos'!$G$4,'base para costos'!$H$4)+IF(G243='base para costos'!$G$5,'base para costos'!$H$5)+IF(G243='base para costos'!$G$6,'base para costos'!$H$6)+IF(G243='base para costos'!$G$7,'base para costos'!$H$7)+IF(G243='base para costos'!$G$8,'base para costos'!$H$8)+IF(G243='base para costos'!$G$9,'base para costos'!$H$9)+IF(G243='base para costos'!$G$10,'base para costos'!$H$10)+IF(G243='base para costos'!$G$11,'base para costos'!$H$11))</f>
        <v>0</v>
      </c>
      <c r="I243" s="93">
        <f>(C243/(('base para costos'!$J$3-D243)/100))</f>
        <v>3977.7010309278348</v>
      </c>
      <c r="J243" s="88">
        <f>(C243/(('base para costos'!$J$3-D243)/100-(0.08)))</f>
        <v>4335.2471910112354</v>
      </c>
      <c r="K243" s="112">
        <f t="shared" si="44"/>
        <v>30.954999999999998</v>
      </c>
      <c r="L243" s="84">
        <v>0</v>
      </c>
      <c r="M243" s="115"/>
      <c r="N243" s="111">
        <f t="shared" si="45"/>
        <v>5588.1961039901507</v>
      </c>
      <c r="O243" s="112" t="s">
        <v>462</v>
      </c>
      <c r="P243" s="116" t="s">
        <v>387</v>
      </c>
    </row>
    <row r="244" spans="1:16" x14ac:dyDescent="0.2">
      <c r="A244" s="116" t="s">
        <v>832</v>
      </c>
      <c r="B244" s="116" t="s">
        <v>833</v>
      </c>
      <c r="C244" s="98">
        <v>2340</v>
      </c>
      <c r="D244" s="1">
        <v>3</v>
      </c>
      <c r="E244" s="116">
        <v>15.5</v>
      </c>
      <c r="F244" s="115">
        <f t="shared" ref="F244:F306" si="50">E244*1.21</f>
        <v>18.754999999999999</v>
      </c>
      <c r="G244" s="114" t="s">
        <v>903</v>
      </c>
      <c r="H244" s="113">
        <f>(IF(G244='base para costos'!$G$3,'base para costos'!$H$3)+IF(G244='base para costos'!$G$4,'base para costos'!$H$4)+IF(G244='base para costos'!$G$5,'base para costos'!$H$5)+IF(G244='base para costos'!$G$6,'base para costos'!$H$6)+IF(G244='base para costos'!$G$7,'base para costos'!$H$7)+IF(G244='base para costos'!$G$8,'base para costos'!$H$8)+IF(G244='base para costos'!$G$9,'base para costos'!$H$9)+IF(G244='base para costos'!$G$10,'base para costos'!$H$10)+IF(G244='base para costos'!$G$11,'base para costos'!$H$11))</f>
        <v>0</v>
      </c>
      <c r="I244" s="93">
        <f>(C244/(('base para costos'!$J$3-D244)/100))</f>
        <v>2412.3711340206187</v>
      </c>
      <c r="J244" s="88">
        <f>(C244/(('base para costos'!$J$3-D244)/100-(0.08)))</f>
        <v>2629.2134831460676</v>
      </c>
      <c r="K244" s="112">
        <f t="shared" si="44"/>
        <v>30.954999999999998</v>
      </c>
      <c r="L244" s="84">
        <v>0</v>
      </c>
      <c r="M244" s="115"/>
      <c r="N244" s="111">
        <f t="shared" si="45"/>
        <v>3389.094069085379</v>
      </c>
      <c r="O244" s="112" t="s">
        <v>230</v>
      </c>
      <c r="P244" s="116" t="s">
        <v>387</v>
      </c>
    </row>
    <row r="245" spans="1:16" x14ac:dyDescent="0.2">
      <c r="A245" s="116" t="s">
        <v>834</v>
      </c>
      <c r="B245" s="116" t="s">
        <v>835</v>
      </c>
      <c r="C245" s="98">
        <v>2185.0700000000002</v>
      </c>
      <c r="D245" s="1">
        <v>3</v>
      </c>
      <c r="E245" s="116">
        <v>15.5</v>
      </c>
      <c r="F245" s="115">
        <f t="shared" si="50"/>
        <v>18.754999999999999</v>
      </c>
      <c r="G245" s="114" t="s">
        <v>903</v>
      </c>
      <c r="H245" s="113">
        <f>(IF(G245='base para costos'!$G$3,'base para costos'!$H$3)+IF(G245='base para costos'!$G$4,'base para costos'!$H$4)+IF(G245='base para costos'!$G$5,'base para costos'!$H$5)+IF(G245='base para costos'!$G$6,'base para costos'!$H$6)+IF(G245='base para costos'!$G$7,'base para costos'!$H$7)+IF(G245='base para costos'!$G$8,'base para costos'!$H$8)+IF(G245='base para costos'!$G$9,'base para costos'!$H$9)+IF(G245='base para costos'!$G$10,'base para costos'!$H$10)+IF(G245='base para costos'!$G$11,'base para costos'!$H$11))</f>
        <v>0</v>
      </c>
      <c r="I245" s="93">
        <f>(C245/(('base para costos'!$J$3-D245)/100))</f>
        <v>2252.6494845360826</v>
      </c>
      <c r="J245" s="88">
        <f>(C245/(('base para costos'!$J$3-D245)/100-(0.08)))</f>
        <v>2455.1348314606744</v>
      </c>
      <c r="K245" s="112">
        <f t="shared" si="44"/>
        <v>30.954999999999998</v>
      </c>
      <c r="L245" s="84">
        <v>0</v>
      </c>
      <c r="M245" s="115"/>
      <c r="N245" s="111">
        <f t="shared" si="45"/>
        <v>3164.7041784343546</v>
      </c>
      <c r="O245" s="112" t="s">
        <v>462</v>
      </c>
      <c r="P245" s="116" t="s">
        <v>387</v>
      </c>
    </row>
    <row r="246" spans="1:16" x14ac:dyDescent="0.2">
      <c r="A246" s="116" t="s">
        <v>460</v>
      </c>
      <c r="B246" s="116" t="s">
        <v>461</v>
      </c>
      <c r="C246" s="98">
        <v>32049.99</v>
      </c>
      <c r="D246" s="1">
        <v>3</v>
      </c>
      <c r="E246" s="116">
        <v>15.5</v>
      </c>
      <c r="F246" s="115">
        <f t="shared" si="50"/>
        <v>18.754999999999999</v>
      </c>
      <c r="G246" s="114" t="s">
        <v>903</v>
      </c>
      <c r="H246" s="113">
        <f>(IF(G246='base para costos'!$G$3,'base para costos'!$H$3)+IF(G246='base para costos'!$G$4,'base para costos'!$H$4)+IF(G246='base para costos'!$G$5,'base para costos'!$H$5)+IF(G246='base para costos'!$G$6,'base para costos'!$H$6)+IF(G246='base para costos'!$G$7,'base para costos'!$H$7)+IF(G246='base para costos'!$G$8,'base para costos'!$H$8)+IF(G246='base para costos'!$G$9,'base para costos'!$H$9)+IF(G246='base para costos'!$G$10,'base para costos'!$H$10)+IF(G246='base para costos'!$G$11,'base para costos'!$H$11))</f>
        <v>0</v>
      </c>
      <c r="I246" s="93">
        <f>(C246/(('base para costos'!$J$3-D246)/100))</f>
        <v>33041.226804123711</v>
      </c>
      <c r="J246" s="88">
        <f>(C246/(('base para costos'!$J$3-D246)/100-(0.08)))</f>
        <v>36011.224719101127</v>
      </c>
      <c r="K246" s="112">
        <f t="shared" si="44"/>
        <v>30.954999999999998</v>
      </c>
      <c r="L246" s="84">
        <v>0</v>
      </c>
      <c r="M246" s="115"/>
      <c r="N246" s="111">
        <f t="shared" si="45"/>
        <v>46418.987616771672</v>
      </c>
      <c r="O246" s="112" t="s">
        <v>462</v>
      </c>
      <c r="P246" s="116" t="s">
        <v>387</v>
      </c>
    </row>
    <row r="247" spans="1:16" x14ac:dyDescent="0.2">
      <c r="A247" s="116" t="s">
        <v>564</v>
      </c>
      <c r="B247" s="116" t="s">
        <v>565</v>
      </c>
      <c r="C247" s="98">
        <v>17745</v>
      </c>
      <c r="D247" s="1">
        <v>3</v>
      </c>
      <c r="E247" s="116">
        <v>15.5</v>
      </c>
      <c r="F247" s="115">
        <f t="shared" si="50"/>
        <v>18.754999999999999</v>
      </c>
      <c r="G247" s="114" t="s">
        <v>903</v>
      </c>
      <c r="H247" s="113">
        <f>(IF(G247='base para costos'!$G$3,'base para costos'!$H$3)+IF(G247='base para costos'!$G$4,'base para costos'!$H$4)+IF(G247='base para costos'!$G$5,'base para costos'!$H$5)+IF(G247='base para costos'!$G$6,'base para costos'!$H$6)+IF(G247='base para costos'!$G$7,'base para costos'!$H$7)+IF(G247='base para costos'!$G$8,'base para costos'!$H$8)+IF(G247='base para costos'!$G$9,'base para costos'!$H$9)+IF(G247='base para costos'!$G$10,'base para costos'!$H$10)+IF(G247='base para costos'!$G$11,'base para costos'!$H$11))</f>
        <v>0</v>
      </c>
      <c r="I247" s="93">
        <f>(C247/(('base para costos'!$J$3-D247)/100))</f>
        <v>18293.81443298969</v>
      </c>
      <c r="J247" s="88">
        <f>(C247/(('base para costos'!$J$3-D247)/100-(0.08)))</f>
        <v>19938.20224719101</v>
      </c>
      <c r="K247" s="112">
        <f t="shared" si="44"/>
        <v>30.954999999999998</v>
      </c>
      <c r="L247" s="84">
        <v>0</v>
      </c>
      <c r="M247" s="115"/>
      <c r="N247" s="111">
        <f t="shared" si="45"/>
        <v>25700.630023897458</v>
      </c>
      <c r="O247" s="112" t="s">
        <v>230</v>
      </c>
      <c r="P247" s="116" t="s">
        <v>566</v>
      </c>
    </row>
    <row r="248" spans="1:16" x14ac:dyDescent="0.2">
      <c r="A248" s="116" t="s">
        <v>388</v>
      </c>
      <c r="B248" s="116" t="s">
        <v>389</v>
      </c>
      <c r="C248" s="98">
        <v>8896.5499999999993</v>
      </c>
      <c r="D248" s="1">
        <v>3</v>
      </c>
      <c r="E248" s="116">
        <v>15.5</v>
      </c>
      <c r="F248" s="115">
        <f t="shared" si="50"/>
        <v>18.754999999999999</v>
      </c>
      <c r="G248" s="114" t="s">
        <v>903</v>
      </c>
      <c r="H248" s="113">
        <f>(IF(G248='base para costos'!$G$3,'base para costos'!$H$3)+IF(G248='base para costos'!$G$4,'base para costos'!$H$4)+IF(G248='base para costos'!$G$5,'base para costos'!$H$5)+IF(G248='base para costos'!$G$6,'base para costos'!$H$6)+IF(G248='base para costos'!$G$7,'base para costos'!$H$7)+IF(G248='base para costos'!$G$8,'base para costos'!$H$8)+IF(G248='base para costos'!$G$9,'base para costos'!$H$9)+IF(G248='base para costos'!$G$10,'base para costos'!$H$10)+IF(G248='base para costos'!$G$11,'base para costos'!$H$11))</f>
        <v>0</v>
      </c>
      <c r="I248" s="93">
        <f>(C248/(('base para costos'!$J$3-D248)/100))</f>
        <v>9171.7010309278339</v>
      </c>
      <c r="J248" s="88">
        <f>(C248/(('base para costos'!$J$3-D248)/100-(0.08)))</f>
        <v>9996.1235955056163</v>
      </c>
      <c r="K248" s="112">
        <f t="shared" si="44"/>
        <v>30.954999999999998</v>
      </c>
      <c r="L248" s="84">
        <v>0</v>
      </c>
      <c r="M248" s="115"/>
      <c r="N248" s="111">
        <f t="shared" si="45"/>
        <v>12885.147367658772</v>
      </c>
      <c r="O248" s="112" t="s">
        <v>230</v>
      </c>
      <c r="P248" s="116" t="s">
        <v>229</v>
      </c>
    </row>
    <row r="249" spans="1:16" x14ac:dyDescent="0.2">
      <c r="A249" s="116" t="s">
        <v>361</v>
      </c>
      <c r="B249" s="116" t="s">
        <v>362</v>
      </c>
      <c r="C249" s="98">
        <v>2210</v>
      </c>
      <c r="D249" s="1">
        <v>3</v>
      </c>
      <c r="E249" s="116">
        <v>15.5</v>
      </c>
      <c r="F249" s="115">
        <f t="shared" si="50"/>
        <v>18.754999999999999</v>
      </c>
      <c r="G249" s="114" t="s">
        <v>903</v>
      </c>
      <c r="H249" s="113">
        <f>(IF(G249='base para costos'!$G$3,'base para costos'!$H$3)+IF(G249='base para costos'!$G$4,'base para costos'!$H$4)+IF(G249='base para costos'!$G$5,'base para costos'!$H$5)+IF(G249='base para costos'!$G$6,'base para costos'!$H$6)+IF(G249='base para costos'!$G$7,'base para costos'!$H$7)+IF(G249='base para costos'!$G$8,'base para costos'!$H$8)+IF(G249='base para costos'!$G$9,'base para costos'!$H$9)+IF(G249='base para costos'!$G$10,'base para costos'!$H$10)+IF(G249='base para costos'!$G$11,'base para costos'!$H$11))</f>
        <v>0</v>
      </c>
      <c r="I249" s="93">
        <f>(C249/(('base para costos'!$J$3-D249)/100))</f>
        <v>2278.3505154639174</v>
      </c>
      <c r="J249" s="88">
        <f>(C249/(('base para costos'!$J$3-D249)/100-(0.08)))</f>
        <v>2483.1460674157302</v>
      </c>
      <c r="K249" s="112">
        <f t="shared" si="44"/>
        <v>30.954999999999998</v>
      </c>
      <c r="L249" s="84">
        <v>1000</v>
      </c>
      <c r="M249" s="115"/>
      <c r="N249" s="111">
        <f t="shared" si="45"/>
        <v>4200.8110652473024</v>
      </c>
      <c r="O249" s="112" t="s">
        <v>230</v>
      </c>
      <c r="P249" s="116" t="s">
        <v>229</v>
      </c>
    </row>
    <row r="250" spans="1:16" x14ac:dyDescent="0.2">
      <c r="A250" s="116" t="s">
        <v>303</v>
      </c>
      <c r="B250" s="116" t="s">
        <v>304</v>
      </c>
      <c r="C250" s="98">
        <v>6045</v>
      </c>
      <c r="D250" s="1">
        <v>3</v>
      </c>
      <c r="E250" s="116">
        <v>15.5</v>
      </c>
      <c r="F250" s="115">
        <f t="shared" si="50"/>
        <v>18.754999999999999</v>
      </c>
      <c r="G250" s="114" t="s">
        <v>903</v>
      </c>
      <c r="H250" s="113">
        <f t="shared" ref="H250:H255" si="51">(IF(G250=$G$3,$H$3)+IF(G250=$G$4,$H$4)+IF(G250=$G$5,$H$5)+IF(G250=$G$6,$H$6)+IF(G250=$G$7,$H$7)+IF(G250=$G$8,$H$8)+IF(G250=$G$9,$H$9)+IF(G250=$G$10,$H$10)+IF(G250=$G$11,$H$11))</f>
        <v>0</v>
      </c>
      <c r="I250" s="93">
        <f t="shared" ref="I250:I255" si="52">(C250/(($J$3-D250)/100))</f>
        <v>6231.9587628865984</v>
      </c>
      <c r="J250" s="88">
        <f t="shared" ref="J250:J255" si="53">(C250/(($J$3-D250)/100-(0.08)))</f>
        <v>6792.1348314606739</v>
      </c>
      <c r="K250" s="112">
        <f t="shared" si="44"/>
        <v>30.954999999999998</v>
      </c>
      <c r="L250" s="84">
        <v>0</v>
      </c>
      <c r="M250" s="115"/>
      <c r="N250" s="111">
        <f t="shared" si="45"/>
        <v>8755.1596784705634</v>
      </c>
      <c r="O250" s="112" t="s">
        <v>230</v>
      </c>
      <c r="P250" s="116" t="s">
        <v>229</v>
      </c>
    </row>
    <row r="251" spans="1:16" x14ac:dyDescent="0.2">
      <c r="A251" s="116" t="s">
        <v>227</v>
      </c>
      <c r="B251" s="116" t="s">
        <v>228</v>
      </c>
      <c r="C251" s="98">
        <v>2925.01</v>
      </c>
      <c r="D251" s="1">
        <v>3</v>
      </c>
      <c r="E251" s="116">
        <v>15.5</v>
      </c>
      <c r="F251" s="115">
        <f t="shared" si="50"/>
        <v>18.754999999999999</v>
      </c>
      <c r="G251" s="114" t="s">
        <v>903</v>
      </c>
      <c r="H251" s="113">
        <f t="shared" si="51"/>
        <v>0</v>
      </c>
      <c r="I251" s="93">
        <f t="shared" si="52"/>
        <v>3015.4742268041241</v>
      </c>
      <c r="J251" s="88">
        <f t="shared" si="53"/>
        <v>3286.5280898876408</v>
      </c>
      <c r="K251" s="112">
        <f t="shared" si="44"/>
        <v>30.954999999999998</v>
      </c>
      <c r="L251" s="84">
        <v>1000</v>
      </c>
      <c r="M251" s="115"/>
      <c r="N251" s="111">
        <f t="shared" si="45"/>
        <v>5236.3820696647117</v>
      </c>
      <c r="O251" s="112" t="s">
        <v>230</v>
      </c>
      <c r="P251" s="116" t="s">
        <v>229</v>
      </c>
    </row>
    <row r="252" spans="1:16" x14ac:dyDescent="0.2">
      <c r="A252" s="116" t="s">
        <v>238</v>
      </c>
      <c r="B252" s="116" t="s">
        <v>239</v>
      </c>
      <c r="C252" s="98">
        <v>5583.5</v>
      </c>
      <c r="D252" s="1">
        <v>3</v>
      </c>
      <c r="E252" s="116">
        <v>15.5</v>
      </c>
      <c r="F252" s="115">
        <f t="shared" si="50"/>
        <v>18.754999999999999</v>
      </c>
      <c r="G252" s="114" t="s">
        <v>903</v>
      </c>
      <c r="H252" s="113">
        <f t="shared" si="51"/>
        <v>0</v>
      </c>
      <c r="I252" s="93">
        <f t="shared" si="52"/>
        <v>5756.1855670103096</v>
      </c>
      <c r="J252" s="88">
        <f t="shared" si="53"/>
        <v>6273.5955056179773</v>
      </c>
      <c r="K252" s="112">
        <f t="shared" si="44"/>
        <v>30.954999999999998</v>
      </c>
      <c r="L252" s="84">
        <v>5900</v>
      </c>
      <c r="M252" s="115"/>
      <c r="N252" s="111">
        <f t="shared" si="45"/>
        <v>13986.75501484539</v>
      </c>
      <c r="O252" s="112" t="s">
        <v>230</v>
      </c>
      <c r="P252" s="116" t="s">
        <v>229</v>
      </c>
    </row>
    <row r="253" spans="1:16" x14ac:dyDescent="0.2">
      <c r="A253" s="116" t="s">
        <v>288</v>
      </c>
      <c r="B253" s="116" t="s">
        <v>289</v>
      </c>
      <c r="C253" s="98">
        <v>10971</v>
      </c>
      <c r="D253" s="1">
        <v>3</v>
      </c>
      <c r="E253" s="116">
        <v>15.5</v>
      </c>
      <c r="F253" s="115">
        <f t="shared" si="50"/>
        <v>18.754999999999999</v>
      </c>
      <c r="G253" s="114" t="s">
        <v>903</v>
      </c>
      <c r="H253" s="113">
        <f t="shared" si="51"/>
        <v>0</v>
      </c>
      <c r="I253" s="93">
        <f t="shared" si="52"/>
        <v>11310.309278350516</v>
      </c>
      <c r="J253" s="88">
        <f t="shared" si="53"/>
        <v>12326.966292134832</v>
      </c>
      <c r="K253" s="112">
        <f t="shared" si="44"/>
        <v>30.954999999999998</v>
      </c>
      <c r="L253" s="84">
        <v>0</v>
      </c>
      <c r="M253" s="115"/>
      <c r="N253" s="111">
        <f t="shared" si="45"/>
        <v>15889.637193134911</v>
      </c>
      <c r="O253" s="112" t="s">
        <v>183</v>
      </c>
      <c r="P253" s="116" t="s">
        <v>229</v>
      </c>
    </row>
    <row r="254" spans="1:16" x14ac:dyDescent="0.2">
      <c r="A254" s="116" t="s">
        <v>290</v>
      </c>
      <c r="B254" s="116" t="s">
        <v>291</v>
      </c>
      <c r="C254" s="98">
        <v>2210</v>
      </c>
      <c r="D254" s="1">
        <v>3</v>
      </c>
      <c r="E254" s="116">
        <v>15.5</v>
      </c>
      <c r="F254" s="115">
        <f t="shared" si="50"/>
        <v>18.754999999999999</v>
      </c>
      <c r="G254" s="114" t="s">
        <v>903</v>
      </c>
      <c r="H254" s="113">
        <f t="shared" si="51"/>
        <v>0</v>
      </c>
      <c r="I254" s="93">
        <f t="shared" si="52"/>
        <v>2278.3505154639174</v>
      </c>
      <c r="J254" s="88">
        <f t="shared" si="53"/>
        <v>2483.1460674157302</v>
      </c>
      <c r="K254" s="112">
        <f t="shared" si="44"/>
        <v>30.954999999999998</v>
      </c>
      <c r="L254" s="84">
        <v>1000</v>
      </c>
      <c r="M254" s="115"/>
      <c r="N254" s="111">
        <f t="shared" si="45"/>
        <v>4200.8110652473024</v>
      </c>
      <c r="O254" s="112" t="s">
        <v>230</v>
      </c>
      <c r="P254" s="116" t="s">
        <v>229</v>
      </c>
    </row>
    <row r="255" spans="1:16" x14ac:dyDescent="0.2">
      <c r="A255" s="116" t="s">
        <v>271</v>
      </c>
      <c r="B255" s="116" t="s">
        <v>272</v>
      </c>
      <c r="C255" s="98">
        <v>10971</v>
      </c>
      <c r="D255" s="1">
        <v>5</v>
      </c>
      <c r="E255" s="116">
        <v>15.5</v>
      </c>
      <c r="F255" s="115">
        <f t="shared" si="50"/>
        <v>18.754999999999999</v>
      </c>
      <c r="G255" s="114" t="s">
        <v>1621</v>
      </c>
      <c r="H255" s="113">
        <f t="shared" si="51"/>
        <v>26.861999999999998</v>
      </c>
      <c r="I255" s="93">
        <f t="shared" si="52"/>
        <v>11548.42105263158</v>
      </c>
      <c r="J255" s="88">
        <f t="shared" si="53"/>
        <v>12610.344827586207</v>
      </c>
      <c r="K255" s="112">
        <f t="shared" si="44"/>
        <v>59.816999999999993</v>
      </c>
      <c r="L255" s="84">
        <v>2200</v>
      </c>
      <c r="M255" s="115"/>
      <c r="N255" s="111">
        <f t="shared" si="45"/>
        <v>29502.590647786372</v>
      </c>
      <c r="O255" s="112" t="s">
        <v>230</v>
      </c>
      <c r="P255" s="116" t="s">
        <v>229</v>
      </c>
    </row>
    <row r="256" spans="1:16" x14ac:dyDescent="0.2">
      <c r="A256" s="116" t="s">
        <v>341</v>
      </c>
      <c r="B256" s="116" t="s">
        <v>342</v>
      </c>
      <c r="C256" s="98">
        <v>6045</v>
      </c>
      <c r="D256" s="1">
        <v>3</v>
      </c>
      <c r="E256" s="116">
        <v>15.5</v>
      </c>
      <c r="F256" s="115">
        <f t="shared" si="50"/>
        <v>18.754999999999999</v>
      </c>
      <c r="G256" s="114" t="s">
        <v>903</v>
      </c>
      <c r="H256" s="113">
        <f>(IF(G256='base para costos'!$G$3,'base para costos'!$H$3)+IF(G256='base para costos'!$G$4,'base para costos'!$H$4)+IF(G256='base para costos'!$G$5,'base para costos'!$H$5)+IF(G256='base para costos'!$G$6,'base para costos'!$H$6)+IF(G256='base para costos'!$G$7,'base para costos'!$H$7)+IF(G256='base para costos'!$G$8,'base para costos'!$H$8)+IF(G256='base para costos'!$G$9,'base para costos'!$H$9)+IF(G256='base para costos'!$G$10,'base para costos'!$H$10)+IF(G256='base para costos'!$G$11,'base para costos'!$H$11))</f>
        <v>0</v>
      </c>
      <c r="I256" s="93">
        <f>(C256/(('base para costos'!$J$3-D256)/100))</f>
        <v>6231.9587628865984</v>
      </c>
      <c r="J256" s="88">
        <f>(C256/(('base para costos'!$J$3-D256)/100-(0.08)))</f>
        <v>6792.1348314606739</v>
      </c>
      <c r="K256" s="112">
        <f t="shared" si="44"/>
        <v>30.954999999999998</v>
      </c>
      <c r="L256" s="84">
        <v>1000</v>
      </c>
      <c r="M256" s="115"/>
      <c r="N256" s="111">
        <f t="shared" si="45"/>
        <v>9755.1596784705634</v>
      </c>
      <c r="O256" s="112" t="s">
        <v>230</v>
      </c>
      <c r="P256" s="116" t="s">
        <v>229</v>
      </c>
    </row>
    <row r="257" spans="1:16" x14ac:dyDescent="0.2">
      <c r="A257" s="116" t="s">
        <v>442</v>
      </c>
      <c r="B257" s="116" t="s">
        <v>443</v>
      </c>
      <c r="C257" s="98">
        <v>11895</v>
      </c>
      <c r="D257" s="1">
        <v>3</v>
      </c>
      <c r="E257" s="116">
        <v>15.5</v>
      </c>
      <c r="F257" s="115">
        <f t="shared" si="50"/>
        <v>18.754999999999999</v>
      </c>
      <c r="G257" s="114" t="s">
        <v>903</v>
      </c>
      <c r="H257" s="113">
        <f>(IF(G257='base para costos'!$G$3,'base para costos'!$H$3)+IF(G257='base para costos'!$G$4,'base para costos'!$H$4)+IF(G257='base para costos'!$G$5,'base para costos'!$H$5)+IF(G257='base para costos'!$G$6,'base para costos'!$H$6)+IF(G257='base para costos'!$G$7,'base para costos'!$H$7)+IF(G257='base para costos'!$G$8,'base para costos'!$H$8)+IF(G257='base para costos'!$G$9,'base para costos'!$H$9)+IF(G257='base para costos'!$G$10,'base para costos'!$H$10)+IF(G257='base para costos'!$G$11,'base para costos'!$H$11))</f>
        <v>0</v>
      </c>
      <c r="I257" s="93">
        <f>(C257/(('base para costos'!$J$3-D257)/100))</f>
        <v>12262.886597938144</v>
      </c>
      <c r="J257" s="88">
        <f>(C257/(('base para costos'!$J$3-D257)/100-(0.08)))</f>
        <v>13365.168539325843</v>
      </c>
      <c r="K257" s="112">
        <f t="shared" si="44"/>
        <v>30.954999999999998</v>
      </c>
      <c r="L257" s="84">
        <v>0</v>
      </c>
      <c r="M257" s="115"/>
      <c r="N257" s="111">
        <f t="shared" si="45"/>
        <v>17227.89485118401</v>
      </c>
      <c r="O257" s="112" t="s">
        <v>230</v>
      </c>
      <c r="P257" s="116" t="s">
        <v>229</v>
      </c>
    </row>
    <row r="258" spans="1:16" x14ac:dyDescent="0.2">
      <c r="A258" s="116" t="s">
        <v>444</v>
      </c>
      <c r="B258" s="116" t="s">
        <v>445</v>
      </c>
      <c r="C258" s="98">
        <v>8896.5499999999993</v>
      </c>
      <c r="D258" s="1">
        <v>3</v>
      </c>
      <c r="E258" s="116">
        <v>15.5</v>
      </c>
      <c r="F258" s="115">
        <f t="shared" si="50"/>
        <v>18.754999999999999</v>
      </c>
      <c r="G258" s="114" t="s">
        <v>903</v>
      </c>
      <c r="H258" s="113">
        <f>(IF(G258='base para costos'!$G$3,'base para costos'!$H$3)+IF(G258='base para costos'!$G$4,'base para costos'!$H$4)+IF(G258='base para costos'!$G$5,'base para costos'!$H$5)+IF(G258='base para costos'!$G$6,'base para costos'!$H$6)+IF(G258='base para costos'!$G$7,'base para costos'!$H$7)+IF(G258='base para costos'!$G$8,'base para costos'!$H$8)+IF(G258='base para costos'!$G$9,'base para costos'!$H$9)+IF(G258='base para costos'!$G$10,'base para costos'!$H$10)+IF(G258='base para costos'!$G$11,'base para costos'!$H$11))</f>
        <v>0</v>
      </c>
      <c r="I258" s="93">
        <f>(C258/(('base para costos'!$J$3-D258)/100))</f>
        <v>9171.7010309278339</v>
      </c>
      <c r="J258" s="88">
        <f>(C258/(('base para costos'!$J$3-D258)/100-(0.08)))</f>
        <v>9996.1235955056163</v>
      </c>
      <c r="K258" s="112">
        <f t="shared" si="44"/>
        <v>30.954999999999998</v>
      </c>
      <c r="L258" s="84">
        <v>0</v>
      </c>
      <c r="M258" s="115"/>
      <c r="N258" s="111">
        <f t="shared" si="45"/>
        <v>12885.147367658772</v>
      </c>
      <c r="O258" s="112" t="s">
        <v>230</v>
      </c>
      <c r="P258" s="116" t="s">
        <v>229</v>
      </c>
    </row>
    <row r="259" spans="1:16" x14ac:dyDescent="0.2">
      <c r="A259" s="116" t="s">
        <v>820</v>
      </c>
      <c r="B259" s="116" t="s">
        <v>821</v>
      </c>
      <c r="C259" s="98">
        <v>2600</v>
      </c>
      <c r="D259" s="1">
        <v>3</v>
      </c>
      <c r="E259" s="116">
        <v>15.5</v>
      </c>
      <c r="F259" s="115">
        <f t="shared" si="50"/>
        <v>18.754999999999999</v>
      </c>
      <c r="G259" s="114" t="s">
        <v>903</v>
      </c>
      <c r="H259" s="113">
        <f>(IF(G259='base para costos'!$G$3,'base para costos'!$H$3)+IF(G259='base para costos'!$G$4,'base para costos'!$H$4)+IF(G259='base para costos'!$G$5,'base para costos'!$H$5)+IF(G259='base para costos'!$G$6,'base para costos'!$H$6)+IF(G259='base para costos'!$G$7,'base para costos'!$H$7)+IF(G259='base para costos'!$G$8,'base para costos'!$H$8)+IF(G259='base para costos'!$G$9,'base para costos'!$H$9)+IF(G259='base para costos'!$G$10,'base para costos'!$H$10)+IF(G259='base para costos'!$G$11,'base para costos'!$H$11))</f>
        <v>0</v>
      </c>
      <c r="I259" s="93">
        <f>(C259/(('base para costos'!$J$3-D259)/100))</f>
        <v>2680.4123711340208</v>
      </c>
      <c r="J259" s="88">
        <f>(C259/(('base para costos'!$J$3-D259)/100-(0.08)))</f>
        <v>2921.3483146067415</v>
      </c>
      <c r="K259" s="112">
        <f t="shared" si="44"/>
        <v>30.954999999999998</v>
      </c>
      <c r="L259" s="84">
        <v>0</v>
      </c>
      <c r="M259" s="115"/>
      <c r="N259" s="111">
        <f t="shared" si="45"/>
        <v>3765.6600767615323</v>
      </c>
      <c r="O259" s="112" t="s">
        <v>153</v>
      </c>
      <c r="P259" s="116" t="s">
        <v>229</v>
      </c>
    </row>
    <row r="260" spans="1:16" x14ac:dyDescent="0.2">
      <c r="A260" s="116" t="s">
        <v>822</v>
      </c>
      <c r="B260" s="116" t="s">
        <v>823</v>
      </c>
      <c r="C260" s="98">
        <v>2600</v>
      </c>
      <c r="D260" s="1">
        <v>3</v>
      </c>
      <c r="E260" s="116">
        <v>15.5</v>
      </c>
      <c r="F260" s="115">
        <f t="shared" si="50"/>
        <v>18.754999999999999</v>
      </c>
      <c r="G260" s="114" t="s">
        <v>903</v>
      </c>
      <c r="H260" s="113">
        <f>(IF(G260='base para costos'!$G$3,'base para costos'!$H$3)+IF(G260='base para costos'!$G$4,'base para costos'!$H$4)+IF(G260='base para costos'!$G$5,'base para costos'!$H$5)+IF(G260='base para costos'!$G$6,'base para costos'!$H$6)+IF(G260='base para costos'!$G$7,'base para costos'!$H$7)+IF(G260='base para costos'!$G$8,'base para costos'!$H$8)+IF(G260='base para costos'!$G$9,'base para costos'!$H$9)+IF(G260='base para costos'!$G$10,'base para costos'!$H$10)+IF(G260='base para costos'!$G$11,'base para costos'!$H$11))</f>
        <v>0</v>
      </c>
      <c r="I260" s="93">
        <f>(C260/(('base para costos'!$J$3-D260)/100))</f>
        <v>2680.4123711340208</v>
      </c>
      <c r="J260" s="88">
        <f>(C260/(('base para costos'!$J$3-D260)/100-(0.08)))</f>
        <v>2921.3483146067415</v>
      </c>
      <c r="K260" s="112">
        <f t="shared" si="44"/>
        <v>30.954999999999998</v>
      </c>
      <c r="L260" s="84">
        <v>0</v>
      </c>
      <c r="M260" s="115"/>
      <c r="N260" s="111">
        <f t="shared" si="45"/>
        <v>3765.6600767615323</v>
      </c>
      <c r="O260" s="112" t="s">
        <v>230</v>
      </c>
      <c r="P260" s="116" t="s">
        <v>229</v>
      </c>
    </row>
    <row r="261" spans="1:16" x14ac:dyDescent="0.2">
      <c r="A261" s="116" t="s">
        <v>824</v>
      </c>
      <c r="B261" s="116" t="s">
        <v>825</v>
      </c>
      <c r="C261" s="98">
        <v>2600</v>
      </c>
      <c r="D261" s="1">
        <v>3</v>
      </c>
      <c r="E261" s="116">
        <v>15.5</v>
      </c>
      <c r="F261" s="115">
        <f t="shared" si="50"/>
        <v>18.754999999999999</v>
      </c>
      <c r="G261" s="114" t="s">
        <v>903</v>
      </c>
      <c r="H261" s="113">
        <f>(IF(G261='base para costos'!$G$3,'base para costos'!$H$3)+IF(G261='base para costos'!$G$4,'base para costos'!$H$4)+IF(G261='base para costos'!$G$5,'base para costos'!$H$5)+IF(G261='base para costos'!$G$6,'base para costos'!$H$6)+IF(G261='base para costos'!$G$7,'base para costos'!$H$7)+IF(G261='base para costos'!$G$8,'base para costos'!$H$8)+IF(G261='base para costos'!$G$9,'base para costos'!$H$9)+IF(G261='base para costos'!$G$10,'base para costos'!$H$10)+IF(G261='base para costos'!$G$11,'base para costos'!$H$11))</f>
        <v>0</v>
      </c>
      <c r="I261" s="93">
        <f>(C261/(('base para costos'!$J$3-D261)/100))</f>
        <v>2680.4123711340208</v>
      </c>
      <c r="J261" s="88">
        <f>(C261/(('base para costos'!$J$3-D261)/100-(0.08)))</f>
        <v>2921.3483146067415</v>
      </c>
      <c r="K261" s="112">
        <f t="shared" si="44"/>
        <v>30.954999999999998</v>
      </c>
      <c r="L261" s="84">
        <v>0</v>
      </c>
      <c r="M261" s="115"/>
      <c r="N261" s="111">
        <f t="shared" si="45"/>
        <v>3765.6600767615323</v>
      </c>
      <c r="O261" s="112" t="s">
        <v>230</v>
      </c>
      <c r="P261" s="116" t="s">
        <v>229</v>
      </c>
    </row>
    <row r="262" spans="1:16" x14ac:dyDescent="0.2">
      <c r="A262" s="116" t="s">
        <v>714</v>
      </c>
      <c r="B262" s="116" t="s">
        <v>715</v>
      </c>
      <c r="C262" s="98">
        <v>6641.48</v>
      </c>
      <c r="D262" s="1">
        <v>3</v>
      </c>
      <c r="E262" s="116">
        <v>15.5</v>
      </c>
      <c r="F262" s="115">
        <f t="shared" si="50"/>
        <v>18.754999999999999</v>
      </c>
      <c r="G262" s="114" t="s">
        <v>903</v>
      </c>
      <c r="H262" s="113">
        <f>(IF(G262='base para costos'!$G$3,'base para costos'!$H$3)+IF(G262='base para costos'!$G$4,'base para costos'!$H$4)+IF(G262='base para costos'!$G$5,'base para costos'!$H$5)+IF(G262='base para costos'!$G$6,'base para costos'!$H$6)+IF(G262='base para costos'!$G$7,'base para costos'!$H$7)+IF(G262='base para costos'!$G$8,'base para costos'!$H$8)+IF(G262='base para costos'!$G$9,'base para costos'!$H$9)+IF(G262='base para costos'!$G$10,'base para costos'!$H$10)+IF(G262='base para costos'!$G$11,'base para costos'!$H$11))</f>
        <v>0</v>
      </c>
      <c r="I262" s="93">
        <f>(C262/(('base para costos'!$J$3-D262)/100))</f>
        <v>6846.8865979381444</v>
      </c>
      <c r="J262" s="88">
        <f>(C262/(('base para costos'!$J$3-D262)/100-(0.08)))</f>
        <v>7462.3370786516844</v>
      </c>
      <c r="K262" s="112">
        <f t="shared" si="44"/>
        <v>30.954999999999998</v>
      </c>
      <c r="L262" s="84">
        <v>0</v>
      </c>
      <c r="M262" s="115"/>
      <c r="N262" s="111">
        <f t="shared" si="45"/>
        <v>9619.0600333116072</v>
      </c>
      <c r="O262" s="112" t="s">
        <v>630</v>
      </c>
      <c r="P262" s="116" t="s">
        <v>229</v>
      </c>
    </row>
    <row r="263" spans="1:16" x14ac:dyDescent="0.2">
      <c r="A263" s="116" t="s">
        <v>485</v>
      </c>
      <c r="B263" s="116" t="s">
        <v>486</v>
      </c>
      <c r="C263" s="98">
        <v>7150</v>
      </c>
      <c r="D263" s="1">
        <v>3</v>
      </c>
      <c r="E263" s="116">
        <v>15.5</v>
      </c>
      <c r="F263" s="115">
        <f t="shared" si="50"/>
        <v>18.754999999999999</v>
      </c>
      <c r="G263" s="114" t="s">
        <v>903</v>
      </c>
      <c r="H263" s="113">
        <f>(IF(G263='base para costos'!$G$3,'base para costos'!$H$3)+IF(G263='base para costos'!$G$4,'base para costos'!$H$4)+IF(G263='base para costos'!$G$5,'base para costos'!$H$5)+IF(G263='base para costos'!$G$6,'base para costos'!$H$6)+IF(G263='base para costos'!$G$7,'base para costos'!$H$7)+IF(G263='base para costos'!$G$8,'base para costos'!$H$8)+IF(G263='base para costos'!$G$9,'base para costos'!$H$9)+IF(G263='base para costos'!$G$10,'base para costos'!$H$10)+IF(G263='base para costos'!$G$11,'base para costos'!$H$11))</f>
        <v>0</v>
      </c>
      <c r="I263" s="93">
        <f>(C263/(('base para costos'!$J$3-D263)/100))</f>
        <v>7371.1340206185569</v>
      </c>
      <c r="J263" s="88">
        <f>(C263/(('base para costos'!$J$3-D263)/100-(0.08)))</f>
        <v>8033.7078651685388</v>
      </c>
      <c r="K263" s="112">
        <f t="shared" si="44"/>
        <v>30.954999999999998</v>
      </c>
      <c r="L263" s="84">
        <v>0</v>
      </c>
      <c r="M263" s="115"/>
      <c r="N263" s="111">
        <f t="shared" si="45"/>
        <v>10355.565211094214</v>
      </c>
      <c r="O263" s="112" t="s">
        <v>230</v>
      </c>
      <c r="P263" s="116" t="s">
        <v>229</v>
      </c>
    </row>
    <row r="264" spans="1:16" x14ac:dyDescent="0.2">
      <c r="A264" s="116" t="s">
        <v>458</v>
      </c>
      <c r="B264" s="116" t="s">
        <v>459</v>
      </c>
      <c r="C264" s="98">
        <v>1949.35</v>
      </c>
      <c r="D264" s="1">
        <v>3</v>
      </c>
      <c r="E264" s="116">
        <v>15.5</v>
      </c>
      <c r="F264" s="115">
        <f t="shared" si="50"/>
        <v>18.754999999999999</v>
      </c>
      <c r="G264" s="114" t="s">
        <v>903</v>
      </c>
      <c r="H264" s="113">
        <f>(IF(G264='base para costos'!$G$3,'base para costos'!$H$3)+IF(G264='base para costos'!$G$4,'base para costos'!$H$4)+IF(G264='base para costos'!$G$5,'base para costos'!$H$5)+IF(G264='base para costos'!$G$6,'base para costos'!$H$6)+IF(G264='base para costos'!$G$7,'base para costos'!$H$7)+IF(G264='base para costos'!$G$8,'base para costos'!$H$8)+IF(G264='base para costos'!$G$9,'base para costos'!$H$9)+IF(G264='base para costos'!$G$10,'base para costos'!$H$10)+IF(G264='base para costos'!$G$11,'base para costos'!$H$11))</f>
        <v>0</v>
      </c>
      <c r="I264" s="93">
        <f>(C264/(('base para costos'!$J$3-D264)/100))</f>
        <v>2009.6391752577319</v>
      </c>
      <c r="J264" s="88">
        <f>(C264/(('base para costos'!$J$3-D264)/100-(0.08)))</f>
        <v>2190.2808988764045</v>
      </c>
      <c r="K264" s="112">
        <f t="shared" si="44"/>
        <v>30.954999999999998</v>
      </c>
      <c r="L264" s="84">
        <v>1000</v>
      </c>
      <c r="M264" s="115"/>
      <c r="N264" s="111">
        <f t="shared" si="45"/>
        <v>3823.3036425519585</v>
      </c>
      <c r="O264" s="112" t="s">
        <v>230</v>
      </c>
      <c r="P264" s="116" t="s">
        <v>229</v>
      </c>
    </row>
    <row r="265" spans="1:16" x14ac:dyDescent="0.2">
      <c r="A265" s="116" t="s">
        <v>495</v>
      </c>
      <c r="B265" s="116" t="s">
        <v>496</v>
      </c>
      <c r="C265" s="98">
        <v>12993.5</v>
      </c>
      <c r="D265" s="1">
        <v>3</v>
      </c>
      <c r="E265" s="116">
        <v>15.5</v>
      </c>
      <c r="F265" s="115">
        <f t="shared" si="50"/>
        <v>18.754999999999999</v>
      </c>
      <c r="G265" s="114" t="s">
        <v>903</v>
      </c>
      <c r="H265" s="113">
        <f>(IF(G265='base para costos'!$G$3,'base para costos'!$H$3)+IF(G265='base para costos'!$G$4,'base para costos'!$H$4)+IF(G265='base para costos'!$G$5,'base para costos'!$H$5)+IF(G265='base para costos'!$G$6,'base para costos'!$H$6)+IF(G265='base para costos'!$G$7,'base para costos'!$H$7)+IF(G265='base para costos'!$G$8,'base para costos'!$H$8)+IF(G265='base para costos'!$G$9,'base para costos'!$H$9)+IF(G265='base para costos'!$G$10,'base para costos'!$H$10)+IF(G265='base para costos'!$G$11,'base para costos'!$H$11))</f>
        <v>0</v>
      </c>
      <c r="I265" s="93">
        <f>(C265/(('base para costos'!$J$3-D265)/100))</f>
        <v>13395.360824742269</v>
      </c>
      <c r="J265" s="88">
        <f>(C265/(('base para costos'!$J$3-D265)/100-(0.08)))</f>
        <v>14599.438202247191</v>
      </c>
      <c r="K265" s="112">
        <f t="shared" si="44"/>
        <v>30.954999999999998</v>
      </c>
      <c r="L265" s="84">
        <v>0</v>
      </c>
      <c r="M265" s="115"/>
      <c r="N265" s="111">
        <f t="shared" si="45"/>
        <v>18818.886233615758</v>
      </c>
      <c r="O265" s="112" t="s">
        <v>183</v>
      </c>
      <c r="P265" s="116" t="s">
        <v>229</v>
      </c>
    </row>
    <row r="266" spans="1:16" x14ac:dyDescent="0.2">
      <c r="A266" s="116" t="s">
        <v>628</v>
      </c>
      <c r="B266" s="116" t="s">
        <v>629</v>
      </c>
      <c r="C266" s="98">
        <v>12870</v>
      </c>
      <c r="D266" s="1">
        <v>3</v>
      </c>
      <c r="E266" s="116">
        <v>15.5</v>
      </c>
      <c r="F266" s="115">
        <f t="shared" si="50"/>
        <v>18.754999999999999</v>
      </c>
      <c r="G266" s="114" t="s">
        <v>903</v>
      </c>
      <c r="H266" s="113">
        <f>(IF(G266='base para costos'!$G$3,'base para costos'!$H$3)+IF(G266='base para costos'!$G$4,'base para costos'!$H$4)+IF(G266='base para costos'!$G$5,'base para costos'!$H$5)+IF(G266='base para costos'!$G$6,'base para costos'!$H$6)+IF(G266='base para costos'!$G$7,'base para costos'!$H$7)+IF(G266='base para costos'!$G$8,'base para costos'!$H$8)+IF(G266='base para costos'!$G$9,'base para costos'!$H$9)+IF(G266='base para costos'!$G$10,'base para costos'!$H$10)+IF(G266='base para costos'!$G$11,'base para costos'!$H$11))</f>
        <v>0</v>
      </c>
      <c r="I266" s="93">
        <f>(C266/(('base para costos'!$J$3-D266)/100))</f>
        <v>13268.041237113403</v>
      </c>
      <c r="J266" s="88">
        <f>(C266/(('base para costos'!$J$3-D266)/100-(0.08)))</f>
        <v>14460.674157303371</v>
      </c>
      <c r="K266" s="112">
        <f t="shared" si="44"/>
        <v>30.954999999999998</v>
      </c>
      <c r="L266" s="84">
        <v>0</v>
      </c>
      <c r="M266" s="115"/>
      <c r="N266" s="111">
        <f t="shared" si="45"/>
        <v>18640.017379969584</v>
      </c>
      <c r="O266" s="112" t="s">
        <v>630</v>
      </c>
      <c r="P266" s="116" t="s">
        <v>229</v>
      </c>
    </row>
    <row r="267" spans="1:16" x14ac:dyDescent="0.2">
      <c r="A267" s="116" t="s">
        <v>643</v>
      </c>
      <c r="B267" s="116" t="s">
        <v>644</v>
      </c>
      <c r="C267" s="98">
        <v>5850</v>
      </c>
      <c r="D267" s="1">
        <v>3</v>
      </c>
      <c r="E267" s="116">
        <v>15.5</v>
      </c>
      <c r="F267" s="115">
        <f t="shared" si="50"/>
        <v>18.754999999999999</v>
      </c>
      <c r="G267" s="114" t="s">
        <v>903</v>
      </c>
      <c r="H267" s="113">
        <f>(IF(G267='base para costos'!$G$3,'base para costos'!$H$3)+IF(G267='base para costos'!$G$4,'base para costos'!$H$4)+IF(G267='base para costos'!$G$5,'base para costos'!$H$5)+IF(G267='base para costos'!$G$6,'base para costos'!$H$6)+IF(G267='base para costos'!$G$7,'base para costos'!$H$7)+IF(G267='base para costos'!$G$8,'base para costos'!$H$8)+IF(G267='base para costos'!$G$9,'base para costos'!$H$9)+IF(G267='base para costos'!$G$10,'base para costos'!$H$10)+IF(G267='base para costos'!$G$11,'base para costos'!$H$11))</f>
        <v>0</v>
      </c>
      <c r="I267" s="93">
        <f>(C267/(('base para costos'!$J$3-D267)/100))</f>
        <v>6030.9278350515469</v>
      </c>
      <c r="J267" s="88">
        <f>(C267/(('base para costos'!$J$3-D267)/100-(0.08)))</f>
        <v>6573.0337078651683</v>
      </c>
      <c r="K267" s="112">
        <f t="shared" si="44"/>
        <v>30.954999999999998</v>
      </c>
      <c r="L267" s="84">
        <v>0</v>
      </c>
      <c r="M267" s="115"/>
      <c r="N267" s="111">
        <f t="shared" si="45"/>
        <v>8472.7351727134483</v>
      </c>
      <c r="O267" s="112" t="s">
        <v>230</v>
      </c>
      <c r="P267" s="116" t="s">
        <v>229</v>
      </c>
    </row>
    <row r="268" spans="1:16" x14ac:dyDescent="0.2">
      <c r="A268" s="116" t="s">
        <v>645</v>
      </c>
      <c r="B268" s="116" t="s">
        <v>646</v>
      </c>
      <c r="C268" s="98">
        <v>5850</v>
      </c>
      <c r="D268" s="1">
        <v>3</v>
      </c>
      <c r="E268" s="116">
        <v>15.5</v>
      </c>
      <c r="F268" s="115">
        <f t="shared" si="50"/>
        <v>18.754999999999999</v>
      </c>
      <c r="G268" s="114" t="s">
        <v>903</v>
      </c>
      <c r="H268" s="113">
        <f>(IF(G268='base para costos'!$G$3,'base para costos'!$H$3)+IF(G268='base para costos'!$G$4,'base para costos'!$H$4)+IF(G268='base para costos'!$G$5,'base para costos'!$H$5)+IF(G268='base para costos'!$G$6,'base para costos'!$H$6)+IF(G268='base para costos'!$G$7,'base para costos'!$H$7)+IF(G268='base para costos'!$G$8,'base para costos'!$H$8)+IF(G268='base para costos'!$G$9,'base para costos'!$H$9)+IF(G268='base para costos'!$G$10,'base para costos'!$H$10)+IF(G268='base para costos'!$G$11,'base para costos'!$H$11))</f>
        <v>0</v>
      </c>
      <c r="I268" s="93">
        <f>(C268/(('base para costos'!$J$3-D268)/100))</f>
        <v>6030.9278350515469</v>
      </c>
      <c r="J268" s="88">
        <f>(C268/(('base para costos'!$J$3-D268)/100-(0.08)))</f>
        <v>6573.0337078651683</v>
      </c>
      <c r="K268" s="112">
        <f t="shared" si="44"/>
        <v>30.954999999999998</v>
      </c>
      <c r="L268" s="84">
        <v>0</v>
      </c>
      <c r="M268" s="115"/>
      <c r="N268" s="111">
        <f t="shared" si="45"/>
        <v>8472.7351727134483</v>
      </c>
      <c r="O268" s="112" t="s">
        <v>230</v>
      </c>
      <c r="P268" s="116" t="s">
        <v>229</v>
      </c>
    </row>
    <row r="269" spans="1:16" x14ac:dyDescent="0.2">
      <c r="A269" s="116" t="s">
        <v>685</v>
      </c>
      <c r="B269" s="116" t="s">
        <v>686</v>
      </c>
      <c r="C269" s="98">
        <v>8449.35</v>
      </c>
      <c r="D269" s="1">
        <v>3</v>
      </c>
      <c r="E269" s="116">
        <v>15.5</v>
      </c>
      <c r="F269" s="115">
        <f t="shared" si="50"/>
        <v>18.754999999999999</v>
      </c>
      <c r="G269" s="114" t="s">
        <v>903</v>
      </c>
      <c r="H269" s="113">
        <f>(IF(G269='base para costos'!$G$3,'base para costos'!$H$3)+IF(G269='base para costos'!$G$4,'base para costos'!$H$4)+IF(G269='base para costos'!$G$5,'base para costos'!$H$5)+IF(G269='base para costos'!$G$6,'base para costos'!$H$6)+IF(G269='base para costos'!$G$7,'base para costos'!$H$7)+IF(G269='base para costos'!$G$8,'base para costos'!$H$8)+IF(G269='base para costos'!$G$9,'base para costos'!$H$9)+IF(G269='base para costos'!$G$10,'base para costos'!$H$10)+IF(G269='base para costos'!$G$11,'base para costos'!$H$11))</f>
        <v>0</v>
      </c>
      <c r="I269" s="93">
        <f>(C269/(('base para costos'!$J$3-D269)/100))</f>
        <v>8710.6701030927834</v>
      </c>
      <c r="J269" s="88">
        <f>(C269/(('base para costos'!$J$3-D269)/100-(0.08)))</f>
        <v>9493.651685393259</v>
      </c>
      <c r="K269" s="112">
        <f t="shared" si="44"/>
        <v>30.954999999999998</v>
      </c>
      <c r="L269" s="84">
        <v>0</v>
      </c>
      <c r="M269" s="115"/>
      <c r="N269" s="111">
        <f t="shared" si="45"/>
        <v>12237.45383445579</v>
      </c>
      <c r="O269" s="112" t="s">
        <v>230</v>
      </c>
      <c r="P269" s="116" t="s">
        <v>229</v>
      </c>
    </row>
    <row r="270" spans="1:16" x14ac:dyDescent="0.2">
      <c r="A270" s="116" t="s">
        <v>698</v>
      </c>
      <c r="B270" s="116" t="s">
        <v>699</v>
      </c>
      <c r="C270" s="98">
        <v>7945.04</v>
      </c>
      <c r="D270" s="1">
        <v>3</v>
      </c>
      <c r="E270" s="116">
        <v>15.5</v>
      </c>
      <c r="F270" s="115">
        <f t="shared" si="50"/>
        <v>18.754999999999999</v>
      </c>
      <c r="G270" s="114" t="s">
        <v>903</v>
      </c>
      <c r="H270" s="113">
        <f>(IF(G270='base para costos'!$G$3,'base para costos'!$H$3)+IF(G270='base para costos'!$G$4,'base para costos'!$H$4)+IF(G270='base para costos'!$G$5,'base para costos'!$H$5)+IF(G270='base para costos'!$G$6,'base para costos'!$H$6)+IF(G270='base para costos'!$G$7,'base para costos'!$H$7)+IF(G270='base para costos'!$G$8,'base para costos'!$H$8)+IF(G270='base para costos'!$G$9,'base para costos'!$H$9)+IF(G270='base para costos'!$G$10,'base para costos'!$H$10)+IF(G270='base para costos'!$G$11,'base para costos'!$H$11))</f>
        <v>0</v>
      </c>
      <c r="I270" s="93">
        <f>(C270/(('base para costos'!$J$3-D270)/100))</f>
        <v>8190.7628865979386</v>
      </c>
      <c r="J270" s="88">
        <f>(C270/(('base para costos'!$J$3-D270)/100-(0.08)))</f>
        <v>8927.0112359550567</v>
      </c>
      <c r="K270" s="112">
        <f t="shared" ref="K270:K333" si="54">(D270+8+1.2)+(F270+H270)</f>
        <v>30.954999999999998</v>
      </c>
      <c r="L270" s="84">
        <v>0</v>
      </c>
      <c r="M270" s="115"/>
      <c r="N270" s="111">
        <f t="shared" ref="N270:N333" si="55">C270/((100-K270)/100)+L270</f>
        <v>11507.04612933594</v>
      </c>
      <c r="O270" s="112" t="s">
        <v>230</v>
      </c>
      <c r="P270" s="116" t="s">
        <v>229</v>
      </c>
    </row>
    <row r="271" spans="1:16" x14ac:dyDescent="0.2">
      <c r="A271" s="116" t="s">
        <v>726</v>
      </c>
      <c r="B271" s="116" t="s">
        <v>727</v>
      </c>
      <c r="C271" s="98">
        <v>6493.5</v>
      </c>
      <c r="D271" s="1">
        <v>3</v>
      </c>
      <c r="E271" s="116">
        <v>15.5</v>
      </c>
      <c r="F271" s="115">
        <f t="shared" si="50"/>
        <v>18.754999999999999</v>
      </c>
      <c r="G271" s="114" t="s">
        <v>903</v>
      </c>
      <c r="H271" s="113">
        <f>(IF(G271='base para costos'!$G$3,'base para costos'!$H$3)+IF(G271='base para costos'!$G$4,'base para costos'!$H$4)+IF(G271='base para costos'!$G$5,'base para costos'!$H$5)+IF(G271='base para costos'!$G$6,'base para costos'!$H$6)+IF(G271='base para costos'!$G$7,'base para costos'!$H$7)+IF(G271='base para costos'!$G$8,'base para costos'!$H$8)+IF(G271='base para costos'!$G$9,'base para costos'!$H$9)+IF(G271='base para costos'!$G$10,'base para costos'!$H$10)+IF(G271='base para costos'!$G$11,'base para costos'!$H$11))</f>
        <v>0</v>
      </c>
      <c r="I271" s="93">
        <f>(C271/(('base para costos'!$J$3-D271)/100))</f>
        <v>6694.3298969072166</v>
      </c>
      <c r="J271" s="88">
        <f>(C271/(('base para costos'!$J$3-D271)/100-(0.08)))</f>
        <v>7296.0674157303374</v>
      </c>
      <c r="K271" s="112">
        <f t="shared" si="54"/>
        <v>30.954999999999998</v>
      </c>
      <c r="L271" s="84">
        <v>0</v>
      </c>
      <c r="M271" s="115"/>
      <c r="N271" s="111">
        <f t="shared" si="55"/>
        <v>9404.7360417119271</v>
      </c>
      <c r="O271" s="112" t="s">
        <v>230</v>
      </c>
      <c r="P271" s="116" t="s">
        <v>229</v>
      </c>
    </row>
    <row r="272" spans="1:16" x14ac:dyDescent="0.2">
      <c r="A272" s="116" t="s">
        <v>749</v>
      </c>
      <c r="B272" s="116" t="s">
        <v>750</v>
      </c>
      <c r="C272" s="98">
        <v>5525.01</v>
      </c>
      <c r="D272" s="1">
        <v>3</v>
      </c>
      <c r="E272" s="116">
        <v>15.5</v>
      </c>
      <c r="F272" s="115">
        <f t="shared" si="50"/>
        <v>18.754999999999999</v>
      </c>
      <c r="G272" s="114" t="s">
        <v>903</v>
      </c>
      <c r="H272" s="113">
        <f>(IF(G272='base para costos'!$G$3,'base para costos'!$H$3)+IF(G272='base para costos'!$G$4,'base para costos'!$H$4)+IF(G272='base para costos'!$G$5,'base para costos'!$H$5)+IF(G272='base para costos'!$G$6,'base para costos'!$H$6)+IF(G272='base para costos'!$G$7,'base para costos'!$H$7)+IF(G272='base para costos'!$G$8,'base para costos'!$H$8)+IF(G272='base para costos'!$G$9,'base para costos'!$H$9)+IF(G272='base para costos'!$G$10,'base para costos'!$H$10)+IF(G272='base para costos'!$G$11,'base para costos'!$H$11))</f>
        <v>0</v>
      </c>
      <c r="I272" s="93">
        <f>(C272/(('base para costos'!$J$3-D272)/100))</f>
        <v>5695.8865979381444</v>
      </c>
      <c r="J272" s="88">
        <f>(C272/(('base para costos'!$J$3-D272)/100-(0.08)))</f>
        <v>6207.8764044943819</v>
      </c>
      <c r="K272" s="112">
        <f t="shared" si="54"/>
        <v>30.954999999999998</v>
      </c>
      <c r="L272" s="84">
        <v>0</v>
      </c>
      <c r="M272" s="115"/>
      <c r="N272" s="111">
        <f t="shared" si="55"/>
        <v>8002.0421464262436</v>
      </c>
      <c r="O272" s="112" t="s">
        <v>230</v>
      </c>
      <c r="P272" s="116" t="s">
        <v>229</v>
      </c>
    </row>
    <row r="273" spans="1:16" x14ac:dyDescent="0.2">
      <c r="A273" s="116" t="s">
        <v>764</v>
      </c>
      <c r="B273" s="116" t="s">
        <v>765</v>
      </c>
      <c r="C273" s="98">
        <v>5031</v>
      </c>
      <c r="D273" s="1">
        <v>3</v>
      </c>
      <c r="E273" s="116">
        <v>15.5</v>
      </c>
      <c r="F273" s="115">
        <f t="shared" si="50"/>
        <v>18.754999999999999</v>
      </c>
      <c r="G273" s="114" t="s">
        <v>903</v>
      </c>
      <c r="H273" s="113">
        <f>(IF(G273='base para costos'!$G$3,'base para costos'!$H$3)+IF(G273='base para costos'!$G$4,'base para costos'!$H$4)+IF(G273='base para costos'!$G$5,'base para costos'!$H$5)+IF(G273='base para costos'!$G$6,'base para costos'!$H$6)+IF(G273='base para costos'!$G$7,'base para costos'!$H$7)+IF(G273='base para costos'!$G$8,'base para costos'!$H$8)+IF(G273='base para costos'!$G$9,'base para costos'!$H$9)+IF(G273='base para costos'!$G$10,'base para costos'!$H$10)+IF(G273='base para costos'!$G$11,'base para costos'!$H$11))</f>
        <v>0</v>
      </c>
      <c r="I273" s="93">
        <f>(C273/(('base para costos'!$J$3-D273)/100))</f>
        <v>5186.5979381443303</v>
      </c>
      <c r="J273" s="88">
        <f>(C273/(('base para costos'!$J$3-D273)/100-(0.08)))</f>
        <v>5652.8089887640444</v>
      </c>
      <c r="K273" s="112">
        <f t="shared" si="54"/>
        <v>30.954999999999998</v>
      </c>
      <c r="L273" s="84">
        <v>0</v>
      </c>
      <c r="M273" s="115"/>
      <c r="N273" s="111">
        <f t="shared" si="55"/>
        <v>7286.552248533565</v>
      </c>
      <c r="O273" s="112" t="s">
        <v>230</v>
      </c>
      <c r="P273" s="116" t="s">
        <v>229</v>
      </c>
    </row>
    <row r="274" spans="1:16" x14ac:dyDescent="0.2">
      <c r="A274" s="116" t="s">
        <v>766</v>
      </c>
      <c r="B274" s="116" t="s">
        <v>767</v>
      </c>
      <c r="C274" s="98">
        <v>5003</v>
      </c>
      <c r="D274" s="1">
        <v>5</v>
      </c>
      <c r="E274" s="116">
        <v>15.5</v>
      </c>
      <c r="F274" s="115">
        <f t="shared" si="50"/>
        <v>18.754999999999999</v>
      </c>
      <c r="G274" s="114" t="s">
        <v>903</v>
      </c>
      <c r="H274" s="113">
        <f>(IF(G274='base para costos'!$G$3,'base para costos'!$H$3)+IF(G274='base para costos'!$G$4,'base para costos'!$H$4)+IF(G274='base para costos'!$G$5,'base para costos'!$H$5)+IF(G274='base para costos'!$G$6,'base para costos'!$H$6)+IF(G274='base para costos'!$G$7,'base para costos'!$H$7)+IF(G274='base para costos'!$G$8,'base para costos'!$H$8)+IF(G274='base para costos'!$G$9,'base para costos'!$H$9)+IF(G274='base para costos'!$G$10,'base para costos'!$H$10)+IF(G274='base para costos'!$G$11,'base para costos'!$H$11))</f>
        <v>0</v>
      </c>
      <c r="I274" s="93">
        <f>(C274/(('base para costos'!$J$3-D274)/100))</f>
        <v>5266.3157894736842</v>
      </c>
      <c r="J274" s="88">
        <f>(C274/(('base para costos'!$J$3-D274)/100-(0.08)))</f>
        <v>5750.5747126436781</v>
      </c>
      <c r="K274" s="112">
        <f t="shared" si="54"/>
        <v>32.954999999999998</v>
      </c>
      <c r="L274" s="84">
        <v>0</v>
      </c>
      <c r="M274" s="115"/>
      <c r="N274" s="111">
        <f t="shared" si="55"/>
        <v>7462.1522857782084</v>
      </c>
      <c r="O274" s="112" t="s">
        <v>230</v>
      </c>
      <c r="P274" s="116" t="s">
        <v>229</v>
      </c>
    </row>
    <row r="275" spans="1:16" x14ac:dyDescent="0.2">
      <c r="A275" s="116" t="s">
        <v>781</v>
      </c>
      <c r="B275" s="116" t="s">
        <v>782</v>
      </c>
      <c r="C275" s="98">
        <v>4485</v>
      </c>
      <c r="D275" s="1">
        <v>3</v>
      </c>
      <c r="E275" s="116">
        <v>15.5</v>
      </c>
      <c r="F275" s="115">
        <f t="shared" si="50"/>
        <v>18.754999999999999</v>
      </c>
      <c r="G275" s="114" t="s">
        <v>903</v>
      </c>
      <c r="H275" s="113">
        <f>(IF(G275='base para costos'!$G$3,'base para costos'!$H$3)+IF(G275='base para costos'!$G$4,'base para costos'!$H$4)+IF(G275='base para costos'!$G$5,'base para costos'!$H$5)+IF(G275='base para costos'!$G$6,'base para costos'!$H$6)+IF(G275='base para costos'!$G$7,'base para costos'!$H$7)+IF(G275='base para costos'!$G$8,'base para costos'!$H$8)+IF(G275='base para costos'!$G$9,'base para costos'!$H$9)+IF(G275='base para costos'!$G$10,'base para costos'!$H$10)+IF(G275='base para costos'!$G$11,'base para costos'!$H$11))</f>
        <v>0</v>
      </c>
      <c r="I275" s="93">
        <f>(C275/(('base para costos'!$J$3-D275)/100))</f>
        <v>4623.7113402061859</v>
      </c>
      <c r="J275" s="88">
        <f>(C275/(('base para costos'!$J$3-D275)/100-(0.08)))</f>
        <v>5039.3258426966295</v>
      </c>
      <c r="K275" s="112">
        <f t="shared" si="54"/>
        <v>30.954999999999998</v>
      </c>
      <c r="L275" s="84">
        <v>0</v>
      </c>
      <c r="M275" s="115"/>
      <c r="N275" s="111">
        <f t="shared" si="55"/>
        <v>6495.7636324136429</v>
      </c>
      <c r="O275" s="112" t="s">
        <v>230</v>
      </c>
      <c r="P275" s="116" t="s">
        <v>229</v>
      </c>
    </row>
    <row r="276" spans="1:16" x14ac:dyDescent="0.2">
      <c r="A276" s="116" t="s">
        <v>624</v>
      </c>
      <c r="B276" s="116" t="s">
        <v>625</v>
      </c>
      <c r="C276" s="98">
        <v>12890.26</v>
      </c>
      <c r="D276" s="1">
        <v>3</v>
      </c>
      <c r="E276" s="116">
        <v>14.15</v>
      </c>
      <c r="F276" s="115">
        <f t="shared" si="50"/>
        <v>17.121500000000001</v>
      </c>
      <c r="G276" s="114" t="s">
        <v>903</v>
      </c>
      <c r="H276" s="113">
        <f>(IF(G276='base para costos'!$G$3,'base para costos'!$H$3)+IF(G276='base para costos'!$G$4,'base para costos'!$H$4)+IF(G276='base para costos'!$G$5,'base para costos'!$H$5)+IF(G276='base para costos'!$G$6,'base para costos'!$H$6)+IF(G276='base para costos'!$G$7,'base para costos'!$H$7)+IF(G276='base para costos'!$G$8,'base para costos'!$H$8)+IF(G276='base para costos'!$G$9,'base para costos'!$H$9)+IF(G276='base para costos'!$G$10,'base para costos'!$H$10)+IF(G276='base para costos'!$G$11,'base para costos'!$H$11))</f>
        <v>0</v>
      </c>
      <c r="I276" s="93">
        <f>(C276/(('base para costos'!$J$3-D276)/100))</f>
        <v>13288.927835051547</v>
      </c>
      <c r="J276" s="88">
        <f>(C276/(('base para costos'!$J$3-D276)/100-(0.08)))</f>
        <v>14483.438202247191</v>
      </c>
      <c r="K276" s="112">
        <f t="shared" si="54"/>
        <v>29.3215</v>
      </c>
      <c r="L276" s="84">
        <v>0</v>
      </c>
      <c r="M276" s="115"/>
      <c r="N276" s="111">
        <f t="shared" si="55"/>
        <v>18237.879977645254</v>
      </c>
      <c r="O276" s="112" t="s">
        <v>107</v>
      </c>
      <c r="P276" s="116" t="s">
        <v>28</v>
      </c>
    </row>
    <row r="277" spans="1:16" x14ac:dyDescent="0.2">
      <c r="A277" s="116" t="s">
        <v>278</v>
      </c>
      <c r="B277" s="116" t="s">
        <v>279</v>
      </c>
      <c r="C277" s="98">
        <v>32573.26</v>
      </c>
      <c r="D277" s="1">
        <v>3</v>
      </c>
      <c r="E277" s="116">
        <v>14.15</v>
      </c>
      <c r="F277" s="115">
        <f t="shared" si="50"/>
        <v>17.121500000000001</v>
      </c>
      <c r="G277" s="114" t="s">
        <v>903</v>
      </c>
      <c r="H277" s="113">
        <f>(IF(G277=$G$3,$H$3)+IF(G277=$G$4,$H$4)+IF(G277=$G$5,$H$5)+IF(G277=$G$6,$H$6)+IF(G277=$G$7,$H$7)+IF(G277=$G$8,$H$8)+IF(G277=$G$9,$H$9)+IF(G277=$G$10,$H$10)+IF(G277=$G$11,$H$11))</f>
        <v>0</v>
      </c>
      <c r="I277" s="93">
        <f>(C277/(($J$3-D277)/100))</f>
        <v>33580.680412371134</v>
      </c>
      <c r="J277" s="88">
        <f>(C277/(($J$3-D277)/100-(0.08)))</f>
        <v>36599.168539325838</v>
      </c>
      <c r="K277" s="112">
        <f t="shared" si="54"/>
        <v>29.3215</v>
      </c>
      <c r="L277" s="84">
        <v>0</v>
      </c>
      <c r="M277" s="115"/>
      <c r="N277" s="111">
        <f t="shared" si="55"/>
        <v>46086.518531095026</v>
      </c>
      <c r="O277" s="112" t="s">
        <v>107</v>
      </c>
      <c r="P277" s="116" t="s">
        <v>28</v>
      </c>
    </row>
    <row r="278" spans="1:16" x14ac:dyDescent="0.2">
      <c r="A278" s="116" t="s">
        <v>217</v>
      </c>
      <c r="B278" s="116" t="s">
        <v>218</v>
      </c>
      <c r="C278" s="98">
        <v>28316.63</v>
      </c>
      <c r="D278" s="1">
        <v>3</v>
      </c>
      <c r="E278" s="116">
        <v>14.15</v>
      </c>
      <c r="F278" s="115">
        <f t="shared" si="50"/>
        <v>17.121500000000001</v>
      </c>
      <c r="G278" s="114" t="s">
        <v>903</v>
      </c>
      <c r="H278" s="113">
        <f>(IF(G278=$G$3,$H$3)+IF(G278=$G$4,$H$4)+IF(G278=$G$5,$H$5)+IF(G278=$G$6,$H$6)+IF(G278=$G$7,$H$7)+IF(G278=$G$8,$H$8)+IF(G278=$G$9,$H$9)+IF(G278=$G$10,$H$10)+IF(G278=$G$11,$H$11))</f>
        <v>0</v>
      </c>
      <c r="I278" s="93">
        <f>(C278/(($J$3-D278)/100))</f>
        <v>29192.402061855671</v>
      </c>
      <c r="J278" s="88">
        <f>(C278/(($J$3-D278)/100-(0.08)))</f>
        <v>31816.438202247191</v>
      </c>
      <c r="K278" s="112">
        <f t="shared" si="54"/>
        <v>29.3215</v>
      </c>
      <c r="L278" s="84">
        <v>6300</v>
      </c>
      <c r="M278" s="115"/>
      <c r="N278" s="111">
        <f t="shared" si="55"/>
        <v>46363.994001004554</v>
      </c>
      <c r="O278" s="112" t="s">
        <v>107</v>
      </c>
      <c r="P278" s="116" t="s">
        <v>28</v>
      </c>
    </row>
    <row r="279" spans="1:16" x14ac:dyDescent="0.2">
      <c r="A279" s="116" t="s">
        <v>219</v>
      </c>
      <c r="B279" s="116" t="s">
        <v>220</v>
      </c>
      <c r="C279" s="98">
        <v>18052.16</v>
      </c>
      <c r="D279" s="1">
        <v>2</v>
      </c>
      <c r="E279" s="116">
        <v>14</v>
      </c>
      <c r="F279" s="115">
        <f t="shared" si="50"/>
        <v>16.939999999999998</v>
      </c>
      <c r="G279" s="114" t="s">
        <v>903</v>
      </c>
      <c r="H279" s="113">
        <f>(IF(G279=$G$3,$H$3)+IF(G279=$G$4,$H$4)+IF(G279=$G$5,$H$5)+IF(G279=$G$6,$H$6)+IF(G279=$G$7,$H$7)+IF(G279=$G$8,$H$8)+IF(G279=$G$9,$H$9)+IF(G279=$G$10,$H$10)+IF(G279=$G$11,$H$11))</f>
        <v>0</v>
      </c>
      <c r="I279" s="93">
        <f>(C279/(($J$3-D279)/100))</f>
        <v>18420.571428571428</v>
      </c>
      <c r="J279" s="88">
        <f>(C279/(($J$3-D279)/100-(0.08)))</f>
        <v>20057.955555555556</v>
      </c>
      <c r="K279" s="112">
        <f t="shared" si="54"/>
        <v>28.139999999999997</v>
      </c>
      <c r="L279" s="84">
        <v>6300</v>
      </c>
      <c r="M279" s="115"/>
      <c r="N279" s="111">
        <f t="shared" si="55"/>
        <v>31421.291399944337</v>
      </c>
      <c r="O279" s="112" t="s">
        <v>107</v>
      </c>
      <c r="P279" s="116" t="s">
        <v>28</v>
      </c>
    </row>
    <row r="280" spans="1:16" x14ac:dyDescent="0.2">
      <c r="A280" s="116" t="s">
        <v>243</v>
      </c>
      <c r="B280" s="116" t="s">
        <v>244</v>
      </c>
      <c r="C280" s="98">
        <v>23842.05</v>
      </c>
      <c r="D280" s="1">
        <v>3</v>
      </c>
      <c r="E280" s="116">
        <v>14.15</v>
      </c>
      <c r="F280" s="115">
        <f t="shared" si="50"/>
        <v>17.121500000000001</v>
      </c>
      <c r="G280" s="114" t="s">
        <v>903</v>
      </c>
      <c r="H280" s="113">
        <f>(IF(G280=$G$3,$H$3)+IF(G280=$G$4,$H$4)+IF(G280=$G$5,$H$5)+IF(G280=$G$6,$H$6)+IF(G280=$G$7,$H$7)+IF(G280=$G$8,$H$8)+IF(G280=$G$9,$H$9)+IF(G280=$G$10,$H$10)+IF(G280=$G$11,$H$11))</f>
        <v>0</v>
      </c>
      <c r="I280" s="93">
        <f>(C280/(($J$3-D280)/100))</f>
        <v>24579.432989690722</v>
      </c>
      <c r="J280" s="88">
        <f>(C280/(($J$3-D280)/100-(0.08)))</f>
        <v>26788.8202247191</v>
      </c>
      <c r="K280" s="112">
        <f t="shared" si="54"/>
        <v>29.3215</v>
      </c>
      <c r="L280" s="84">
        <v>6300</v>
      </c>
      <c r="M280" s="115"/>
      <c r="N280" s="111">
        <f t="shared" si="55"/>
        <v>40033.101296716821</v>
      </c>
      <c r="O280" s="112" t="s">
        <v>107</v>
      </c>
      <c r="P280" s="116" t="s">
        <v>28</v>
      </c>
    </row>
    <row r="281" spans="1:16" x14ac:dyDescent="0.2">
      <c r="A281" s="116" t="s">
        <v>547</v>
      </c>
      <c r="B281" s="116" t="s">
        <v>548</v>
      </c>
      <c r="C281" s="98">
        <v>19238.87</v>
      </c>
      <c r="D281" s="1">
        <v>3</v>
      </c>
      <c r="E281" s="116">
        <v>16</v>
      </c>
      <c r="F281" s="115">
        <f t="shared" si="50"/>
        <v>19.36</v>
      </c>
      <c r="G281" s="114" t="s">
        <v>903</v>
      </c>
      <c r="H281" s="113">
        <f>(IF(G281='base para costos'!$G$3,'base para costos'!$H$3)+IF(G281='base para costos'!$G$4,'base para costos'!$H$4)+IF(G281='base para costos'!$G$5,'base para costos'!$H$5)+IF(G281='base para costos'!$G$6,'base para costos'!$H$6)+IF(G281='base para costos'!$G$7,'base para costos'!$H$7)+IF(G281='base para costos'!$G$8,'base para costos'!$H$8)+IF(G281='base para costos'!$G$9,'base para costos'!$H$9)+IF(G281='base para costos'!$G$10,'base para costos'!$H$10)+IF(G281='base para costos'!$G$11,'base para costos'!$H$11))</f>
        <v>0</v>
      </c>
      <c r="I281" s="93">
        <f>(C281/(('base para costos'!$J$3-D281)/100))</f>
        <v>19833.886597938144</v>
      </c>
      <c r="J281" s="88">
        <f>(C281/(('base para costos'!$J$3-D281)/100-(0.08)))</f>
        <v>21616.707865168537</v>
      </c>
      <c r="K281" s="112">
        <f t="shared" si="54"/>
        <v>31.56</v>
      </c>
      <c r="L281" s="84">
        <v>0</v>
      </c>
      <c r="M281" s="115"/>
      <c r="N281" s="111">
        <f t="shared" si="55"/>
        <v>28110.563997662182</v>
      </c>
      <c r="O281" s="112" t="s">
        <v>107</v>
      </c>
      <c r="P281" s="116" t="s">
        <v>106</v>
      </c>
    </row>
    <row r="282" spans="1:16" x14ac:dyDescent="0.2">
      <c r="A282" s="116" t="s">
        <v>509</v>
      </c>
      <c r="B282" s="116" t="s">
        <v>510</v>
      </c>
      <c r="C282" s="98">
        <v>23829.35</v>
      </c>
      <c r="D282" s="1">
        <v>3</v>
      </c>
      <c r="E282" s="116">
        <v>16</v>
      </c>
      <c r="F282" s="115">
        <f t="shared" si="50"/>
        <v>19.36</v>
      </c>
      <c r="G282" s="114" t="s">
        <v>903</v>
      </c>
      <c r="H282" s="113">
        <f>(IF(G282='base para costos'!$G$3,'base para costos'!$H$3)+IF(G282='base para costos'!$G$4,'base para costos'!$H$4)+IF(G282='base para costos'!$G$5,'base para costos'!$H$5)+IF(G282='base para costos'!$G$6,'base para costos'!$H$6)+IF(G282='base para costos'!$G$7,'base para costos'!$H$7)+IF(G282='base para costos'!$G$8,'base para costos'!$H$8)+IF(G282='base para costos'!$G$9,'base para costos'!$H$9)+IF(G282='base para costos'!$G$10,'base para costos'!$H$10)+IF(G282='base para costos'!$G$11,'base para costos'!$H$11))</f>
        <v>0</v>
      </c>
      <c r="I282" s="93">
        <f>(C282/(('base para costos'!$J$3-D282)/100))</f>
        <v>24566.340206185567</v>
      </c>
      <c r="J282" s="88">
        <f>(C282/(('base para costos'!$J$3-D282)/100-(0.08)))</f>
        <v>26774.550561797751</v>
      </c>
      <c r="K282" s="112">
        <f t="shared" si="54"/>
        <v>31.56</v>
      </c>
      <c r="L282" s="84">
        <v>0</v>
      </c>
      <c r="M282" s="115"/>
      <c r="N282" s="111">
        <f t="shared" si="55"/>
        <v>34817.869666861479</v>
      </c>
      <c r="O282" s="112" t="s">
        <v>107</v>
      </c>
      <c r="P282" s="116" t="s">
        <v>106</v>
      </c>
    </row>
    <row r="283" spans="1:16" x14ac:dyDescent="0.2">
      <c r="A283" s="116" t="s">
        <v>535</v>
      </c>
      <c r="B283" s="116" t="s">
        <v>536</v>
      </c>
      <c r="C283" s="98">
        <v>20918.810000000001</v>
      </c>
      <c r="D283" s="1">
        <v>3</v>
      </c>
      <c r="E283" s="116">
        <v>16</v>
      </c>
      <c r="F283" s="115">
        <f t="shared" si="50"/>
        <v>19.36</v>
      </c>
      <c r="G283" s="114" t="s">
        <v>903</v>
      </c>
      <c r="H283" s="113">
        <f>(IF(G283='base para costos'!$G$3,'base para costos'!$H$3)+IF(G283='base para costos'!$G$4,'base para costos'!$H$4)+IF(G283='base para costos'!$G$5,'base para costos'!$H$5)+IF(G283='base para costos'!$G$6,'base para costos'!$H$6)+IF(G283='base para costos'!$G$7,'base para costos'!$H$7)+IF(G283='base para costos'!$G$8,'base para costos'!$H$8)+IF(G283='base para costos'!$G$9,'base para costos'!$H$9)+IF(G283='base para costos'!$G$10,'base para costos'!$H$10)+IF(G283='base para costos'!$G$11,'base para costos'!$H$11))</f>
        <v>0</v>
      </c>
      <c r="I283" s="93">
        <f>(C283/(('base para costos'!$J$3-D283)/100))</f>
        <v>21565.783505154643</v>
      </c>
      <c r="J283" s="88">
        <f>(C283/(('base para costos'!$J$3-D283)/100-(0.08)))</f>
        <v>23504.280898876405</v>
      </c>
      <c r="K283" s="112">
        <f t="shared" si="54"/>
        <v>31.56</v>
      </c>
      <c r="L283" s="84">
        <v>0</v>
      </c>
      <c r="M283" s="115"/>
      <c r="N283" s="111">
        <f t="shared" si="55"/>
        <v>30565.181180596144</v>
      </c>
      <c r="O283" s="112" t="s">
        <v>107</v>
      </c>
      <c r="P283" s="116" t="s">
        <v>106</v>
      </c>
    </row>
    <row r="284" spans="1:16" x14ac:dyDescent="0.2">
      <c r="A284" s="116" t="s">
        <v>249</v>
      </c>
      <c r="B284" s="116" t="s">
        <v>250</v>
      </c>
      <c r="C284" s="98">
        <v>48160.13</v>
      </c>
      <c r="D284" s="1">
        <v>3</v>
      </c>
      <c r="E284" s="116">
        <v>16</v>
      </c>
      <c r="F284" s="115">
        <f t="shared" si="50"/>
        <v>19.36</v>
      </c>
      <c r="G284" s="114" t="s">
        <v>903</v>
      </c>
      <c r="H284" s="113">
        <f>(IF(G284=$G$3,$H$3)+IF(G284=$G$4,$H$4)+IF(G284=$G$5,$H$5)+IF(G284=$G$6,$H$6)+IF(G284=$G$7,$H$7)+IF(G284=$G$8,$H$8)+IF(G284=$G$9,$H$9)+IF(G284=$G$10,$H$10)+IF(G284=$G$11,$H$11))</f>
        <v>0</v>
      </c>
      <c r="I284" s="93">
        <f>(C284/(($J$3-D284)/100))</f>
        <v>49649.618556701033</v>
      </c>
      <c r="J284" s="88">
        <f>(C284/(($J$3-D284)/100-(0.08)))</f>
        <v>54112.505617977527</v>
      </c>
      <c r="K284" s="112">
        <f t="shared" si="54"/>
        <v>31.56</v>
      </c>
      <c r="L284" s="84">
        <v>0</v>
      </c>
      <c r="M284" s="115"/>
      <c r="N284" s="111">
        <f t="shared" si="55"/>
        <v>70368.395675043823</v>
      </c>
      <c r="O284" s="112" t="s">
        <v>107</v>
      </c>
      <c r="P284" s="116" t="s">
        <v>106</v>
      </c>
    </row>
    <row r="285" spans="1:16" x14ac:dyDescent="0.2">
      <c r="A285" s="116" t="s">
        <v>225</v>
      </c>
      <c r="B285" s="116" t="s">
        <v>226</v>
      </c>
      <c r="C285" s="98">
        <v>49419.18</v>
      </c>
      <c r="D285" s="1">
        <v>3</v>
      </c>
      <c r="E285" s="116">
        <v>16</v>
      </c>
      <c r="F285" s="115">
        <f t="shared" si="50"/>
        <v>19.36</v>
      </c>
      <c r="G285" s="114" t="s">
        <v>903</v>
      </c>
      <c r="H285" s="113">
        <f>(IF(G285=$G$3,$H$3)+IF(G285=$G$4,$H$4)+IF(G285=$G$5,$H$5)+IF(G285=$G$6,$H$6)+IF(G285=$G$7,$H$7)+IF(G285=$G$8,$H$8)+IF(G285=$G$9,$H$9)+IF(G285=$G$10,$H$10)+IF(G285=$G$11,$H$11))</f>
        <v>0</v>
      </c>
      <c r="I285" s="93">
        <f>(C285/(($J$3-D285)/100))</f>
        <v>50947.608247422679</v>
      </c>
      <c r="J285" s="88">
        <f>(C285/(($J$3-D285)/100-(0.08)))</f>
        <v>55527.168539325845</v>
      </c>
      <c r="K285" s="112">
        <f t="shared" si="54"/>
        <v>31.56</v>
      </c>
      <c r="L285" s="84">
        <v>0</v>
      </c>
      <c r="M285" s="115"/>
      <c r="N285" s="111">
        <f t="shared" si="55"/>
        <v>72208.036236119224</v>
      </c>
      <c r="O285" s="112" t="s">
        <v>107</v>
      </c>
      <c r="P285" s="116" t="s">
        <v>106</v>
      </c>
    </row>
    <row r="286" spans="1:16" x14ac:dyDescent="0.2">
      <c r="A286" s="116" t="s">
        <v>294</v>
      </c>
      <c r="B286" s="116" t="s">
        <v>295</v>
      </c>
      <c r="C286" s="98">
        <v>52180.38</v>
      </c>
      <c r="D286" s="1">
        <v>3</v>
      </c>
      <c r="E286" s="116">
        <v>16</v>
      </c>
      <c r="F286" s="115">
        <f t="shared" si="50"/>
        <v>19.36</v>
      </c>
      <c r="G286" s="114" t="s">
        <v>903</v>
      </c>
      <c r="H286" s="113">
        <f>(IF(G286=$G$3,$H$3)+IF(G286=$G$4,$H$4)+IF(G286=$G$5,$H$5)+IF(G286=$G$6,$H$6)+IF(G286=$G$7,$H$7)+IF(G286=$G$8,$H$8)+IF(G286=$G$9,$H$9)+IF(G286=$G$10,$H$10)+IF(G286=$G$11,$H$11))</f>
        <v>0</v>
      </c>
      <c r="I286" s="93">
        <f>(C286/(($J$3-D286)/100))</f>
        <v>53794.206185567011</v>
      </c>
      <c r="J286" s="88">
        <f>(C286/(($J$3-D286)/100-(0.08)))</f>
        <v>58629.6404494382</v>
      </c>
      <c r="K286" s="112">
        <f t="shared" si="54"/>
        <v>31.56</v>
      </c>
      <c r="L286" s="84">
        <v>0</v>
      </c>
      <c r="M286" s="115"/>
      <c r="N286" s="111">
        <f t="shared" si="55"/>
        <v>76242.518994739919</v>
      </c>
      <c r="O286" s="112" t="s">
        <v>107</v>
      </c>
      <c r="P286" s="116" t="s">
        <v>106</v>
      </c>
    </row>
    <row r="287" spans="1:16" x14ac:dyDescent="0.2">
      <c r="A287" s="116" t="s">
        <v>397</v>
      </c>
      <c r="B287" s="116" t="s">
        <v>398</v>
      </c>
      <c r="C287" s="98">
        <v>42695.15</v>
      </c>
      <c r="D287" s="1">
        <v>3</v>
      </c>
      <c r="E287" s="116">
        <v>16</v>
      </c>
      <c r="F287" s="115">
        <f t="shared" si="50"/>
        <v>19.36</v>
      </c>
      <c r="G287" s="114" t="s">
        <v>903</v>
      </c>
      <c r="H287" s="113">
        <f>(IF(G287='base para costos'!$G$3,'base para costos'!$H$3)+IF(G287='base para costos'!$G$4,'base para costos'!$H$4)+IF(G287='base para costos'!$G$5,'base para costos'!$H$5)+IF(G287='base para costos'!$G$6,'base para costos'!$H$6)+IF(G287='base para costos'!$G$7,'base para costos'!$H$7)+IF(G287='base para costos'!$G$8,'base para costos'!$H$8)+IF(G287='base para costos'!$G$9,'base para costos'!$H$9)+IF(G287='base para costos'!$G$10,'base para costos'!$H$10)+IF(G287='base para costos'!$G$11,'base para costos'!$H$11))</f>
        <v>0</v>
      </c>
      <c r="I287" s="93">
        <f>(C287/(('base para costos'!$J$3-D287)/100))</f>
        <v>44015.618556701033</v>
      </c>
      <c r="J287" s="88">
        <f>(C287/(('base para costos'!$J$3-D287)/100-(0.08)))</f>
        <v>47972.078651685391</v>
      </c>
      <c r="K287" s="112">
        <f t="shared" si="54"/>
        <v>31.56</v>
      </c>
      <c r="L287" s="84">
        <v>0</v>
      </c>
      <c r="M287" s="115"/>
      <c r="N287" s="111">
        <f t="shared" si="55"/>
        <v>62383.328462887199</v>
      </c>
      <c r="O287" s="112" t="s">
        <v>107</v>
      </c>
      <c r="P287" s="116" t="s">
        <v>106</v>
      </c>
    </row>
    <row r="288" spans="1:16" x14ac:dyDescent="0.2">
      <c r="A288" s="116" t="s">
        <v>1068</v>
      </c>
      <c r="B288" s="116" t="s">
        <v>1069</v>
      </c>
      <c r="C288" s="98">
        <v>53665.08</v>
      </c>
      <c r="D288" s="1">
        <v>3</v>
      </c>
      <c r="E288" s="116">
        <v>16</v>
      </c>
      <c r="F288" s="115">
        <f t="shared" si="50"/>
        <v>19.36</v>
      </c>
      <c r="G288" s="114" t="s">
        <v>1299</v>
      </c>
      <c r="H288" s="113">
        <f>(IF(G288=$G$3,$H$3)+IF(G288=$G$4,$H$4)+IF(G288=$G$5,$H$5)+IF(G288=$G$6,$H$6)+IF(G288=$G$7,$H$7)+IF(G288=$G$8,$H$8)+IF(G288=$G$9,$H$9)+IF(G288=$G$10,$H$10)+IF(G288=$G$11,$H$11))</f>
        <v>0</v>
      </c>
      <c r="I288" s="93">
        <f>(C288/(($J$3-D288)/100))</f>
        <v>55324.824742268043</v>
      </c>
      <c r="J288" s="88">
        <f>(C288/(($J$3-D288)/100-(0.08)))</f>
        <v>60297.842696629217</v>
      </c>
      <c r="K288" s="112">
        <f t="shared" si="54"/>
        <v>31.56</v>
      </c>
      <c r="L288" s="84">
        <v>5500</v>
      </c>
      <c r="M288" s="115"/>
      <c r="N288" s="111">
        <f t="shared" si="55"/>
        <v>83911.864406779656</v>
      </c>
      <c r="O288" s="112" t="s">
        <v>1091</v>
      </c>
      <c r="P288" s="116" t="s">
        <v>106</v>
      </c>
    </row>
    <row r="289" spans="1:16" x14ac:dyDescent="0.2">
      <c r="A289" s="116" t="s">
        <v>104</v>
      </c>
      <c r="B289" s="116" t="s">
        <v>105</v>
      </c>
      <c r="C289" s="98">
        <v>43127.09</v>
      </c>
      <c r="D289" s="1">
        <v>3</v>
      </c>
      <c r="E289" s="116">
        <v>14</v>
      </c>
      <c r="F289" s="115">
        <f t="shared" si="50"/>
        <v>16.939999999999998</v>
      </c>
      <c r="G289" s="114" t="s">
        <v>1619</v>
      </c>
      <c r="H289" s="113">
        <f>(IF(G289=$G$3,$H$3)+IF(G289=$G$4,$H$4)+IF(G289=$G$5,$H$5)+IF(G289=$G$6,$H$6)+IF(G289=$G$7,$H$7)+IF(G289=$G$8,$H$8)+IF(G289=$G$9,$H$9)+IF(G289=$G$10,$H$10)+IF(G289=$G$11,$H$11))</f>
        <v>16.213999999999999</v>
      </c>
      <c r="I289" s="93">
        <f>(C289/(($J$3-D289)/100))</f>
        <v>44460.917525773191</v>
      </c>
      <c r="J289" s="88">
        <f>(C289/(($J$3-D289)/100-(0.08)))</f>
        <v>48457.404494382019</v>
      </c>
      <c r="K289" s="112">
        <f t="shared" si="54"/>
        <v>45.353999999999999</v>
      </c>
      <c r="L289" s="84">
        <v>8335</v>
      </c>
      <c r="M289" s="115"/>
      <c r="N289" s="111">
        <f t="shared" si="55"/>
        <v>87255.854225377872</v>
      </c>
      <c r="O289" s="112" t="s">
        <v>107</v>
      </c>
      <c r="P289" s="116" t="s">
        <v>106</v>
      </c>
    </row>
    <row r="290" spans="1:16" x14ac:dyDescent="0.2">
      <c r="A290" s="116" t="s">
        <v>1044</v>
      </c>
      <c r="B290" s="116" t="s">
        <v>1045</v>
      </c>
      <c r="C290" s="98">
        <v>34855.230000000003</v>
      </c>
      <c r="D290" s="1">
        <v>3</v>
      </c>
      <c r="E290" s="116">
        <v>16</v>
      </c>
      <c r="F290" s="115">
        <f t="shared" si="50"/>
        <v>19.36</v>
      </c>
      <c r="G290" s="114" t="s">
        <v>903</v>
      </c>
      <c r="H290" s="113">
        <f>(IF(G290=$G$3,$H$3)+IF(G290=$G$4,$H$4)+IF(G290=$G$5,$H$5)+IF(G290=$G$6,$H$6)+IF(G290=$G$7,$H$7)+IF(G290=$G$8,$H$8)+IF(G290=$G$9,$H$9)+IF(G290=$G$10,$H$10)+IF(G290=$G$11,$H$11))</f>
        <v>0</v>
      </c>
      <c r="I290" s="93">
        <f>(C290/(($J$3-D290)/100))</f>
        <v>35933.226804123718</v>
      </c>
      <c r="J290" s="88">
        <f>(C290/(($J$3-D290)/100-(0.08)))</f>
        <v>39163.1797752809</v>
      </c>
      <c r="K290" s="112">
        <f t="shared" si="54"/>
        <v>31.56</v>
      </c>
      <c r="L290" s="84">
        <v>5900</v>
      </c>
      <c r="M290" s="115"/>
      <c r="N290" s="111">
        <f t="shared" si="55"/>
        <v>56828.156049094105</v>
      </c>
      <c r="O290" s="112" t="s">
        <v>1091</v>
      </c>
      <c r="P290" s="116" t="s">
        <v>106</v>
      </c>
    </row>
    <row r="291" spans="1:16" x14ac:dyDescent="0.2">
      <c r="A291" s="116" t="s">
        <v>944</v>
      </c>
      <c r="B291" s="116" t="s">
        <v>945</v>
      </c>
      <c r="C291" s="98">
        <v>25916.5</v>
      </c>
      <c r="D291" s="1">
        <v>3</v>
      </c>
      <c r="E291" s="116">
        <v>14</v>
      </c>
      <c r="F291" s="115">
        <f t="shared" si="50"/>
        <v>16.939999999999998</v>
      </c>
      <c r="G291" s="114" t="s">
        <v>903</v>
      </c>
      <c r="H291" s="113">
        <f>(IF(G291=$G$3,$H$3)+IF(G291=$G$4,$H$4)+IF(G291=$G$5,$H$5)+IF(G291=$G$6,$H$6)+IF(G291=$G$7,$H$7)+IF(G291=$G$8,$H$8)+IF(G291=$G$9,$H$9)+IF(G291=$G$10,$H$10)+IF(G291=$G$11,$H$11))</f>
        <v>0</v>
      </c>
      <c r="I291" s="93">
        <f>(C291/(($J$3-D291)/100))</f>
        <v>26718.041237113404</v>
      </c>
      <c r="J291" s="88">
        <f>(C291/(($J$3-D291)/100-(0.08)))</f>
        <v>29119.662921348314</v>
      </c>
      <c r="K291" s="112">
        <f t="shared" si="54"/>
        <v>29.139999999999997</v>
      </c>
      <c r="L291" s="84">
        <v>5900</v>
      </c>
      <c r="M291" s="115"/>
      <c r="N291" s="111">
        <f t="shared" si="55"/>
        <v>42474.230877787188</v>
      </c>
      <c r="O291" s="112" t="s">
        <v>946</v>
      </c>
      <c r="P291" s="116" t="s">
        <v>106</v>
      </c>
    </row>
    <row r="292" spans="1:16" x14ac:dyDescent="0.2">
      <c r="A292" s="116" t="s">
        <v>440</v>
      </c>
      <c r="B292" s="116" t="s">
        <v>441</v>
      </c>
      <c r="C292" s="98">
        <v>35929.33</v>
      </c>
      <c r="D292" s="1">
        <v>3</v>
      </c>
      <c r="E292" s="116">
        <v>16</v>
      </c>
      <c r="F292" s="115">
        <f t="shared" si="50"/>
        <v>19.36</v>
      </c>
      <c r="G292" s="114" t="s">
        <v>903</v>
      </c>
      <c r="H292" s="113">
        <f>(IF(G292='base para costos'!$G$3,'base para costos'!$H$3)+IF(G292='base para costos'!$G$4,'base para costos'!$H$4)+IF(G292='base para costos'!$G$5,'base para costos'!$H$5)+IF(G292='base para costos'!$G$6,'base para costos'!$H$6)+IF(G292='base para costos'!$G$7,'base para costos'!$H$7)+IF(G292='base para costos'!$G$8,'base para costos'!$H$8)+IF(G292='base para costos'!$G$9,'base para costos'!$H$9)+IF(G292='base para costos'!$G$10,'base para costos'!$H$10)+IF(G292='base para costos'!$G$11,'base para costos'!$H$11))</f>
        <v>0</v>
      </c>
      <c r="I292" s="93">
        <f>(C292/(('base para costos'!$J$3-D292)/100))</f>
        <v>37040.546391752578</v>
      </c>
      <c r="J292" s="88">
        <f>(C292/(('base para costos'!$J$3-D292)/100-(0.08)))</f>
        <v>40370.033707865172</v>
      </c>
      <c r="K292" s="112">
        <f t="shared" si="54"/>
        <v>31.56</v>
      </c>
      <c r="L292" s="84">
        <v>0</v>
      </c>
      <c r="M292" s="115"/>
      <c r="N292" s="111">
        <f t="shared" si="55"/>
        <v>52497.559906487433</v>
      </c>
      <c r="O292" s="112" t="s">
        <v>107</v>
      </c>
      <c r="P292" s="116" t="s">
        <v>106</v>
      </c>
    </row>
    <row r="293" spans="1:16" x14ac:dyDescent="0.2">
      <c r="A293" s="116" t="s">
        <v>292</v>
      </c>
      <c r="B293" s="116" t="s">
        <v>293</v>
      </c>
      <c r="C293" s="98">
        <v>52311.55</v>
      </c>
      <c r="D293" s="1">
        <v>3</v>
      </c>
      <c r="E293" s="116">
        <v>16</v>
      </c>
      <c r="F293" s="115">
        <f t="shared" si="50"/>
        <v>19.36</v>
      </c>
      <c r="G293" s="114" t="s">
        <v>903</v>
      </c>
      <c r="H293" s="113">
        <f>(IF(G293=$G$3,$H$3)+IF(G293=$G$4,$H$4)+IF(G293=$G$5,$H$5)+IF(G293=$G$6,$H$6)+IF(G293=$G$7,$H$7)+IF(G293=$G$8,$H$8)+IF(G293=$G$9,$H$9)+IF(G293=$G$10,$H$10)+IF(G293=$G$11,$H$11))</f>
        <v>0</v>
      </c>
      <c r="I293" s="93">
        <f>(C293/(($J$3-D293)/100))</f>
        <v>53929.432989690729</v>
      </c>
      <c r="J293" s="88">
        <f>(C293/(($J$3-D293)/100-(0.08)))</f>
        <v>58777.022471910117</v>
      </c>
      <c r="K293" s="112">
        <f t="shared" si="54"/>
        <v>31.56</v>
      </c>
      <c r="L293" s="84">
        <v>0</v>
      </c>
      <c r="M293" s="115"/>
      <c r="N293" s="111">
        <f t="shared" si="55"/>
        <v>76434.175920514317</v>
      </c>
      <c r="O293" s="112" t="s">
        <v>107</v>
      </c>
      <c r="P293" s="116" t="s">
        <v>106</v>
      </c>
    </row>
    <row r="294" spans="1:16" x14ac:dyDescent="0.2">
      <c r="A294" s="116" t="s">
        <v>312</v>
      </c>
      <c r="B294" s="116" t="s">
        <v>313</v>
      </c>
      <c r="C294" s="98">
        <v>45763.88</v>
      </c>
      <c r="D294" s="1">
        <v>3</v>
      </c>
      <c r="E294" s="116">
        <v>16</v>
      </c>
      <c r="F294" s="115">
        <f t="shared" si="50"/>
        <v>19.36</v>
      </c>
      <c r="G294" s="114" t="s">
        <v>903</v>
      </c>
      <c r="H294" s="113">
        <f>(IF(G294=$G$3,$H$3)+IF(G294=$G$4,$H$4)+IF(G294=$G$5,$H$5)+IF(G294=$G$6,$H$6)+IF(G294=$G$7,$H$7)+IF(G294=$G$8,$H$8)+IF(G294=$G$9,$H$9)+IF(G294=$G$10,$H$10)+IF(G294=$G$11,$H$11))</f>
        <v>0</v>
      </c>
      <c r="I294" s="93">
        <f>(C294/(($J$3-D294)/100))</f>
        <v>47179.257731958758</v>
      </c>
      <c r="J294" s="88">
        <f>(C294/(($J$3-D294)/100-(0.08)))</f>
        <v>51420.089887640446</v>
      </c>
      <c r="K294" s="112">
        <f t="shared" si="54"/>
        <v>31.56</v>
      </c>
      <c r="L294" s="84">
        <v>0</v>
      </c>
      <c r="M294" s="115"/>
      <c r="N294" s="111">
        <f t="shared" si="55"/>
        <v>66867.153711279941</v>
      </c>
      <c r="O294" s="112" t="s">
        <v>107</v>
      </c>
      <c r="P294" s="116" t="s">
        <v>106</v>
      </c>
    </row>
    <row r="295" spans="1:16" x14ac:dyDescent="0.2">
      <c r="A295" s="116" t="s">
        <v>390</v>
      </c>
      <c r="B295" s="116" t="s">
        <v>391</v>
      </c>
      <c r="C295" s="98">
        <v>43723.839999999997</v>
      </c>
      <c r="D295" s="1">
        <v>3</v>
      </c>
      <c r="E295" s="116">
        <v>16</v>
      </c>
      <c r="F295" s="115">
        <f t="shared" si="50"/>
        <v>19.36</v>
      </c>
      <c r="G295" s="114" t="s">
        <v>903</v>
      </c>
      <c r="H295" s="113">
        <f>(IF(G295='base para costos'!$G$3,'base para costos'!$H$3)+IF(G295='base para costos'!$G$4,'base para costos'!$H$4)+IF(G295='base para costos'!$G$5,'base para costos'!$H$5)+IF(G295='base para costos'!$G$6,'base para costos'!$H$6)+IF(G295='base para costos'!$G$7,'base para costos'!$H$7)+IF(G295='base para costos'!$G$8,'base para costos'!$H$8)+IF(G295='base para costos'!$G$9,'base para costos'!$H$9)+IF(G295='base para costos'!$G$10,'base para costos'!$H$10)+IF(G295='base para costos'!$G$11,'base para costos'!$H$11))</f>
        <v>0</v>
      </c>
      <c r="I295" s="93">
        <f>(C295/(('base para costos'!$J$3-D295)/100))</f>
        <v>45076.123711340202</v>
      </c>
      <c r="J295" s="88">
        <f>(C295/(('base para costos'!$J$3-D295)/100-(0.08)))</f>
        <v>49127.910112359546</v>
      </c>
      <c r="K295" s="112">
        <f t="shared" si="54"/>
        <v>31.56</v>
      </c>
      <c r="L295" s="84">
        <v>0</v>
      </c>
      <c r="M295" s="115"/>
      <c r="N295" s="111">
        <f t="shared" si="55"/>
        <v>63886.382232612501</v>
      </c>
      <c r="O295" s="112" t="s">
        <v>107</v>
      </c>
      <c r="P295" s="116" t="s">
        <v>106</v>
      </c>
    </row>
    <row r="296" spans="1:16" x14ac:dyDescent="0.2">
      <c r="A296" s="116" t="s">
        <v>463</v>
      </c>
      <c r="B296" s="116" t="s">
        <v>464</v>
      </c>
      <c r="C296" s="98">
        <v>31901</v>
      </c>
      <c r="D296" s="1">
        <v>3</v>
      </c>
      <c r="E296" s="116">
        <v>16</v>
      </c>
      <c r="F296" s="115">
        <f t="shared" si="50"/>
        <v>19.36</v>
      </c>
      <c r="G296" s="114" t="s">
        <v>903</v>
      </c>
      <c r="H296" s="113">
        <f>(IF(G296='base para costos'!$G$3,'base para costos'!$H$3)+IF(G296='base para costos'!$G$4,'base para costos'!$H$4)+IF(G296='base para costos'!$G$5,'base para costos'!$H$5)+IF(G296='base para costos'!$G$6,'base para costos'!$H$6)+IF(G296='base para costos'!$G$7,'base para costos'!$H$7)+IF(G296='base para costos'!$G$8,'base para costos'!$H$8)+IF(G296='base para costos'!$G$9,'base para costos'!$H$9)+IF(G296='base para costos'!$G$10,'base para costos'!$H$10)+IF(G296='base para costos'!$G$11,'base para costos'!$H$11))</f>
        <v>0</v>
      </c>
      <c r="I296" s="93">
        <f>(C296/(('base para costos'!$J$3-D296)/100))</f>
        <v>32887.628865979379</v>
      </c>
      <c r="J296" s="88">
        <f>(C296/(('base para costos'!$J$3-D296)/100-(0.08)))</f>
        <v>35843.8202247191</v>
      </c>
      <c r="K296" s="112">
        <f t="shared" si="54"/>
        <v>31.56</v>
      </c>
      <c r="L296" s="84">
        <v>0</v>
      </c>
      <c r="M296" s="115"/>
      <c r="N296" s="111">
        <f t="shared" si="55"/>
        <v>46611.63062536528</v>
      </c>
      <c r="O296" s="112" t="s">
        <v>107</v>
      </c>
      <c r="P296" s="116" t="s">
        <v>106</v>
      </c>
    </row>
    <row r="297" spans="1:16" x14ac:dyDescent="0.2">
      <c r="A297" s="116" t="s">
        <v>560</v>
      </c>
      <c r="B297" s="116" t="s">
        <v>561</v>
      </c>
      <c r="C297" s="98">
        <v>18638.71</v>
      </c>
      <c r="D297" s="1">
        <v>3</v>
      </c>
      <c r="E297" s="116">
        <v>16</v>
      </c>
      <c r="F297" s="115">
        <f t="shared" si="50"/>
        <v>19.36</v>
      </c>
      <c r="G297" s="114" t="s">
        <v>903</v>
      </c>
      <c r="H297" s="113">
        <f>(IF(G297='base para costos'!$G$3,'base para costos'!$H$3)+IF(G297='base para costos'!$G$4,'base para costos'!$H$4)+IF(G297='base para costos'!$G$5,'base para costos'!$H$5)+IF(G297='base para costos'!$G$6,'base para costos'!$H$6)+IF(G297='base para costos'!$G$7,'base para costos'!$H$7)+IF(G297='base para costos'!$G$8,'base para costos'!$H$8)+IF(G297='base para costos'!$G$9,'base para costos'!$H$9)+IF(G297='base para costos'!$G$10,'base para costos'!$H$10)+IF(G297='base para costos'!$G$11,'base para costos'!$H$11))</f>
        <v>0</v>
      </c>
      <c r="I297" s="93">
        <f>(C297/(('base para costos'!$J$3-D297)/100))</f>
        <v>19215.164948453606</v>
      </c>
      <c r="J297" s="88">
        <f>(C297/(('base para costos'!$J$3-D297)/100-(0.08)))</f>
        <v>20942.370786516854</v>
      </c>
      <c r="K297" s="112">
        <f t="shared" si="54"/>
        <v>31.56</v>
      </c>
      <c r="L297" s="84">
        <v>0</v>
      </c>
      <c r="M297" s="115"/>
      <c r="N297" s="111">
        <f t="shared" si="55"/>
        <v>27233.649912331966</v>
      </c>
      <c r="O297" s="112" t="s">
        <v>107</v>
      </c>
      <c r="P297" s="116" t="s">
        <v>106</v>
      </c>
    </row>
    <row r="298" spans="1:16" x14ac:dyDescent="0.2">
      <c r="A298" s="116" t="s">
        <v>375</v>
      </c>
      <c r="B298" s="116" t="s">
        <v>376</v>
      </c>
      <c r="C298" s="98">
        <v>12999.34</v>
      </c>
      <c r="D298" s="1">
        <v>3</v>
      </c>
      <c r="E298" s="116">
        <v>16</v>
      </c>
      <c r="F298" s="115">
        <f t="shared" si="50"/>
        <v>19.36</v>
      </c>
      <c r="G298" s="114" t="s">
        <v>903</v>
      </c>
      <c r="H298" s="113">
        <f>(IF(G298='base para costos'!$G$3,'base para costos'!$H$3)+IF(G298='base para costos'!$G$4,'base para costos'!$H$4)+IF(G298='base para costos'!$G$5,'base para costos'!$H$5)+IF(G298='base para costos'!$G$6,'base para costos'!$H$6)+IF(G298='base para costos'!$G$7,'base para costos'!$H$7)+IF(G298='base para costos'!$G$8,'base para costos'!$H$8)+IF(G298='base para costos'!$G$9,'base para costos'!$H$9)+IF(G298='base para costos'!$G$10,'base para costos'!$H$10)+IF(G298='base para costos'!$G$11,'base para costos'!$H$11))</f>
        <v>0</v>
      </c>
      <c r="I298" s="93">
        <f>(C298/(('base para costos'!$J$3-D298)/100))</f>
        <v>13401.381443298969</v>
      </c>
      <c r="J298" s="88">
        <f>(C298/(('base para costos'!$J$3-D298)/100-(0.08)))</f>
        <v>14606</v>
      </c>
      <c r="K298" s="112">
        <f t="shared" si="54"/>
        <v>31.56</v>
      </c>
      <c r="L298" s="84">
        <v>0</v>
      </c>
      <c r="M298" s="115"/>
      <c r="N298" s="111">
        <f t="shared" si="55"/>
        <v>18993.775569842197</v>
      </c>
      <c r="O298" s="112" t="s">
        <v>348</v>
      </c>
      <c r="P298" s="116" t="s">
        <v>233</v>
      </c>
    </row>
    <row r="299" spans="1:16" x14ac:dyDescent="0.2">
      <c r="A299" s="116" t="s">
        <v>421</v>
      </c>
      <c r="B299" s="116" t="s">
        <v>422</v>
      </c>
      <c r="C299" s="98">
        <v>6428.5</v>
      </c>
      <c r="D299" s="1">
        <v>3</v>
      </c>
      <c r="E299" s="116">
        <v>16</v>
      </c>
      <c r="F299" s="115">
        <f t="shared" si="50"/>
        <v>19.36</v>
      </c>
      <c r="G299" s="114" t="s">
        <v>903</v>
      </c>
      <c r="H299" s="113">
        <f>(IF(G299='base para costos'!$G$3,'base para costos'!$H$3)+IF(G299='base para costos'!$G$4,'base para costos'!$H$4)+IF(G299='base para costos'!$G$5,'base para costos'!$H$5)+IF(G299='base para costos'!$G$6,'base para costos'!$H$6)+IF(G299='base para costos'!$G$7,'base para costos'!$H$7)+IF(G299='base para costos'!$G$8,'base para costos'!$H$8)+IF(G299='base para costos'!$G$9,'base para costos'!$H$9)+IF(G299='base para costos'!$G$10,'base para costos'!$H$10)+IF(G299='base para costos'!$G$11,'base para costos'!$H$11))</f>
        <v>0</v>
      </c>
      <c r="I299" s="93">
        <f>(C299/(('base para costos'!$J$3-D299)/100))</f>
        <v>6627.3195876288664</v>
      </c>
      <c r="J299" s="88">
        <f>(C299/(('base para costos'!$J$3-D299)/100-(0.08)))</f>
        <v>7223.0337078651683</v>
      </c>
      <c r="K299" s="112">
        <f t="shared" si="54"/>
        <v>31.56</v>
      </c>
      <c r="L299" s="84">
        <v>0</v>
      </c>
      <c r="M299" s="115"/>
      <c r="N299" s="111">
        <f t="shared" si="55"/>
        <v>9392.8988895382809</v>
      </c>
      <c r="O299" s="112" t="s">
        <v>230</v>
      </c>
      <c r="P299" s="116" t="s">
        <v>233</v>
      </c>
    </row>
    <row r="300" spans="1:16" x14ac:dyDescent="0.2">
      <c r="A300" s="116" t="s">
        <v>514</v>
      </c>
      <c r="B300" s="116" t="s">
        <v>515</v>
      </c>
      <c r="C300" s="98">
        <v>11700</v>
      </c>
      <c r="D300" s="1">
        <v>3</v>
      </c>
      <c r="E300" s="116">
        <v>15.5</v>
      </c>
      <c r="F300" s="115">
        <f t="shared" si="50"/>
        <v>18.754999999999999</v>
      </c>
      <c r="G300" s="114" t="s">
        <v>903</v>
      </c>
      <c r="H300" s="113">
        <f>(IF(G300='base para costos'!$G$3,'base para costos'!$H$3)+IF(G300='base para costos'!$G$4,'base para costos'!$H$4)+IF(G300='base para costos'!$G$5,'base para costos'!$H$5)+IF(G300='base para costos'!$G$6,'base para costos'!$H$6)+IF(G300='base para costos'!$G$7,'base para costos'!$H$7)+IF(G300='base para costos'!$G$8,'base para costos'!$H$8)+IF(G300='base para costos'!$G$9,'base para costos'!$H$9)+IF(G300='base para costos'!$G$10,'base para costos'!$H$10)+IF(G300='base para costos'!$G$11,'base para costos'!$H$11))</f>
        <v>0</v>
      </c>
      <c r="I300" s="93">
        <f>(C300/(('base para costos'!$J$3-D300)/100))</f>
        <v>12061.855670103094</v>
      </c>
      <c r="J300" s="88">
        <f>(C300/(('base para costos'!$J$3-D300)/100-(0.08)))</f>
        <v>13146.067415730337</v>
      </c>
      <c r="K300" s="112">
        <f t="shared" si="54"/>
        <v>30.954999999999998</v>
      </c>
      <c r="L300" s="84">
        <v>0</v>
      </c>
      <c r="M300" s="115"/>
      <c r="N300" s="111">
        <f t="shared" si="55"/>
        <v>16945.470345426897</v>
      </c>
      <c r="O300" s="112" t="s">
        <v>146</v>
      </c>
      <c r="P300" s="116" t="s">
        <v>237</v>
      </c>
    </row>
    <row r="301" spans="1:16" x14ac:dyDescent="0.2">
      <c r="A301" s="116" t="s">
        <v>516</v>
      </c>
      <c r="B301" s="116" t="s">
        <v>517</v>
      </c>
      <c r="C301" s="98">
        <v>23400</v>
      </c>
      <c r="D301" s="1">
        <v>3</v>
      </c>
      <c r="E301" s="116">
        <v>15.5</v>
      </c>
      <c r="F301" s="115">
        <f t="shared" si="50"/>
        <v>18.754999999999999</v>
      </c>
      <c r="G301" s="114" t="s">
        <v>903</v>
      </c>
      <c r="H301" s="113">
        <f>(IF(G301='base para costos'!$G$3,'base para costos'!$H$3)+IF(G301='base para costos'!$G$4,'base para costos'!$H$4)+IF(G301='base para costos'!$G$5,'base para costos'!$H$5)+IF(G301='base para costos'!$G$6,'base para costos'!$H$6)+IF(G301='base para costos'!$G$7,'base para costos'!$H$7)+IF(G301='base para costos'!$G$8,'base para costos'!$H$8)+IF(G301='base para costos'!$G$9,'base para costos'!$H$9)+IF(G301='base para costos'!$G$10,'base para costos'!$H$10)+IF(G301='base para costos'!$G$11,'base para costos'!$H$11))</f>
        <v>0</v>
      </c>
      <c r="I301" s="93">
        <f>(C301/(('base para costos'!$J$3-D301)/100))</f>
        <v>24123.711340206188</v>
      </c>
      <c r="J301" s="88">
        <f>(C301/(('base para costos'!$J$3-D301)/100-(0.08)))</f>
        <v>26292.134831460673</v>
      </c>
      <c r="K301" s="112">
        <f t="shared" si="54"/>
        <v>30.954999999999998</v>
      </c>
      <c r="L301" s="84">
        <v>0</v>
      </c>
      <c r="M301" s="115"/>
      <c r="N301" s="111">
        <f t="shared" si="55"/>
        <v>33890.940690853793</v>
      </c>
      <c r="O301" s="112" t="s">
        <v>518</v>
      </c>
      <c r="P301" s="116" t="s">
        <v>237</v>
      </c>
    </row>
    <row r="302" spans="1:16" x14ac:dyDescent="0.2">
      <c r="A302" s="116" t="s">
        <v>235</v>
      </c>
      <c r="B302" s="116" t="s">
        <v>236</v>
      </c>
      <c r="C302" s="98">
        <v>11700</v>
      </c>
      <c r="D302" s="1">
        <v>10</v>
      </c>
      <c r="E302" s="116">
        <v>15.5</v>
      </c>
      <c r="F302" s="115">
        <f t="shared" si="50"/>
        <v>18.754999999999999</v>
      </c>
      <c r="G302" s="114" t="s">
        <v>903</v>
      </c>
      <c r="H302" s="113">
        <f>(IF(G302=$G$3,$H$3)+IF(G302=$G$4,$H$4)+IF(G302=$G$5,$H$5)+IF(G302=$G$6,$H$6)+IF(G302=$G$7,$H$7)+IF(G302=$G$8,$H$8)+IF(G302=$G$9,$H$9)+IF(G302=$G$10,$H$10)+IF(G302=$G$11,$H$11))</f>
        <v>0</v>
      </c>
      <c r="I302" s="93">
        <f>(C302/(($J$3-D302)/100))</f>
        <v>13000</v>
      </c>
      <c r="J302" s="88">
        <f>(C302/(($J$3-D302)/100-(0.08)))</f>
        <v>14268.292682926829</v>
      </c>
      <c r="K302" s="112">
        <f t="shared" si="54"/>
        <v>37.954999999999998</v>
      </c>
      <c r="L302" s="84">
        <v>2000</v>
      </c>
      <c r="M302" s="115"/>
      <c r="N302" s="111">
        <f t="shared" si="55"/>
        <v>20857.281005721652</v>
      </c>
      <c r="O302" s="112" t="s">
        <v>146</v>
      </c>
      <c r="P302" s="116" t="s">
        <v>237</v>
      </c>
    </row>
    <row r="303" spans="1:16" x14ac:dyDescent="0.2">
      <c r="A303" s="116" t="s">
        <v>322</v>
      </c>
      <c r="B303" s="116" t="s">
        <v>323</v>
      </c>
      <c r="C303" s="98">
        <v>2360</v>
      </c>
      <c r="D303" s="1">
        <v>3</v>
      </c>
      <c r="E303" s="116">
        <v>15.5</v>
      </c>
      <c r="F303" s="115">
        <f t="shared" si="50"/>
        <v>18.754999999999999</v>
      </c>
      <c r="G303" s="114" t="s">
        <v>903</v>
      </c>
      <c r="H303" s="113">
        <f>(IF(G303=$G$3,$H$3)+IF(G303=$G$4,$H$4)+IF(G303=$G$5,$H$5)+IF(G303=$G$6,$H$6)+IF(G303=$G$7,$H$7)+IF(G303=$G$8,$H$8)+IF(G303=$G$9,$H$9)+IF(G303=$G$10,$H$10)+IF(G303=$G$11,$H$11))</f>
        <v>0</v>
      </c>
      <c r="I303" s="93">
        <f>(C303/(($J$3-D303)/100))</f>
        <v>2432.9896907216494</v>
      </c>
      <c r="J303" s="88">
        <f>(C303/(($J$3-D303)/100-(0.08)))</f>
        <v>2651.6853932584268</v>
      </c>
      <c r="K303" s="112">
        <f t="shared" si="54"/>
        <v>30.954999999999998</v>
      </c>
      <c r="L303" s="84">
        <v>0</v>
      </c>
      <c r="M303" s="115"/>
      <c r="N303" s="111">
        <f t="shared" si="55"/>
        <v>3418.0606850604677</v>
      </c>
      <c r="O303" s="112" t="s">
        <v>153</v>
      </c>
      <c r="P303" s="116" t="s">
        <v>324</v>
      </c>
    </row>
    <row r="304" spans="1:16" x14ac:dyDescent="0.2">
      <c r="A304" s="116" t="s">
        <v>154</v>
      </c>
      <c r="B304" s="116" t="s">
        <v>155</v>
      </c>
      <c r="C304" s="98">
        <v>150000</v>
      </c>
      <c r="D304" s="1">
        <v>3</v>
      </c>
      <c r="E304" s="116">
        <v>14.15</v>
      </c>
      <c r="F304" s="115">
        <f t="shared" si="50"/>
        <v>17.121500000000001</v>
      </c>
      <c r="G304" s="114" t="s">
        <v>903</v>
      </c>
      <c r="H304" s="113">
        <f>(IF(G304=$G$3,$H$3)+IF(G304=$G$4,$H$4)+IF(G304=$G$5,$H$5)+IF(G304=$G$6,$H$6)+IF(G304=$G$7,$H$7)+IF(G304=$G$8,$H$8)+IF(G304=$G$9,$H$9)+IF(G304=$G$10,$H$10)+IF(G304=$G$11,$H$11))</f>
        <v>0</v>
      </c>
      <c r="I304" s="93">
        <f>(C304/(($J$3-D304)/100))</f>
        <v>154639.17525773196</v>
      </c>
      <c r="J304" s="88">
        <f>(C304/(($J$3-D304)/100-(0.08)))</f>
        <v>168539.32584269662</v>
      </c>
      <c r="K304" s="112">
        <f t="shared" si="54"/>
        <v>29.3215</v>
      </c>
      <c r="L304" s="84">
        <v>10900</v>
      </c>
      <c r="M304" s="115"/>
      <c r="N304" s="111">
        <f t="shared" si="55"/>
        <v>223128.61266155902</v>
      </c>
      <c r="O304" s="112" t="s">
        <v>156</v>
      </c>
      <c r="P304" s="116" t="s">
        <v>28</v>
      </c>
    </row>
    <row r="305" spans="1:16" x14ac:dyDescent="0.2">
      <c r="A305" s="116" t="s">
        <v>204</v>
      </c>
      <c r="B305" s="116" t="s">
        <v>205</v>
      </c>
      <c r="C305" s="98">
        <v>159250</v>
      </c>
      <c r="D305" s="1">
        <v>0</v>
      </c>
      <c r="E305" s="116">
        <v>15.5</v>
      </c>
      <c r="F305" s="115">
        <f t="shared" si="50"/>
        <v>18.754999999999999</v>
      </c>
      <c r="G305" s="114" t="s">
        <v>903</v>
      </c>
      <c r="H305" s="113">
        <f>(IF(G305=$G$3,$H$3)+IF(G305=$G$4,$H$4)+IF(G305=$G$5,$H$5)+IF(G305=$G$6,$H$6)+IF(G305=$G$7,$H$7)+IF(G305=$G$8,$H$8)+IF(G305=$G$9,$H$9)+IF(G305=$G$10,$H$10)+IF(G305=$G$11,$H$11))</f>
        <v>0</v>
      </c>
      <c r="I305" s="93">
        <f>(C305/(($J$3-D305)/100))</f>
        <v>159250</v>
      </c>
      <c r="J305" s="88">
        <f>(C305/(($J$3-D305)/100-(0.08)))</f>
        <v>173097.82608695651</v>
      </c>
      <c r="K305" s="112">
        <f t="shared" si="54"/>
        <v>27.954999999999998</v>
      </c>
      <c r="L305" s="84">
        <v>0</v>
      </c>
      <c r="M305" s="115"/>
      <c r="N305" s="111">
        <f t="shared" si="55"/>
        <v>221042.40405302242</v>
      </c>
      <c r="O305" s="112" t="s">
        <v>207</v>
      </c>
      <c r="P305" s="116" t="s">
        <v>206</v>
      </c>
    </row>
    <row r="306" spans="1:16" x14ac:dyDescent="0.2">
      <c r="A306" s="116" t="s">
        <v>592</v>
      </c>
      <c r="B306" s="116" t="s">
        <v>593</v>
      </c>
      <c r="C306" s="98">
        <v>3900</v>
      </c>
      <c r="D306" s="1">
        <v>3</v>
      </c>
      <c r="E306" s="116">
        <v>16</v>
      </c>
      <c r="F306" s="115">
        <f t="shared" si="50"/>
        <v>19.36</v>
      </c>
      <c r="G306" s="114" t="s">
        <v>903</v>
      </c>
      <c r="H306" s="113">
        <f>(IF(G306='base para costos'!$G$3,'base para costos'!$H$3)+IF(G306='base para costos'!$G$4,'base para costos'!$H$4)+IF(G306='base para costos'!$G$5,'base para costos'!$H$5)+IF(G306='base para costos'!$G$6,'base para costos'!$H$6)+IF(G306='base para costos'!$G$7,'base para costos'!$H$7)+IF(G306='base para costos'!$G$8,'base para costos'!$H$8)+IF(G306='base para costos'!$G$9,'base para costos'!$H$9)+IF(G306='base para costos'!$G$10,'base para costos'!$H$10)+IF(G306='base para costos'!$G$11,'base para costos'!$H$11))</f>
        <v>0</v>
      </c>
      <c r="I306" s="93">
        <f>(C306/(('base para costos'!$J$3-D306)/100))</f>
        <v>4020.6185567010311</v>
      </c>
      <c r="J306" s="88">
        <f>(C306/(('base para costos'!$J$3-D306)/100-(0.08)))</f>
        <v>4382.0224719101125</v>
      </c>
      <c r="K306" s="112">
        <f t="shared" si="54"/>
        <v>31.56</v>
      </c>
      <c r="L306" s="84">
        <v>0</v>
      </c>
      <c r="M306" s="115"/>
      <c r="N306" s="111">
        <f t="shared" si="55"/>
        <v>5698.4219754529513</v>
      </c>
      <c r="O306" s="112" t="s">
        <v>230</v>
      </c>
      <c r="P306" s="116" t="s">
        <v>482</v>
      </c>
    </row>
    <row r="307" spans="1:16" x14ac:dyDescent="0.2">
      <c r="A307" s="116" t="s">
        <v>596</v>
      </c>
      <c r="B307" s="116" t="s">
        <v>597</v>
      </c>
      <c r="C307" s="98">
        <v>5000</v>
      </c>
      <c r="D307" s="1">
        <v>3</v>
      </c>
      <c r="E307" s="116">
        <v>16</v>
      </c>
      <c r="F307" s="115">
        <f t="shared" ref="F307:F327" si="56">E307*1.21</f>
        <v>19.36</v>
      </c>
      <c r="G307" s="114" t="s">
        <v>903</v>
      </c>
      <c r="H307" s="113">
        <f>(IF(G307='base para costos'!$G$3,'base para costos'!$H$3)+IF(G307='base para costos'!$G$4,'base para costos'!$H$4)+IF(G307='base para costos'!$G$5,'base para costos'!$H$5)+IF(G307='base para costos'!$G$6,'base para costos'!$H$6)+IF(G307='base para costos'!$G$7,'base para costos'!$H$7)+IF(G307='base para costos'!$G$8,'base para costos'!$H$8)+IF(G307='base para costos'!$G$9,'base para costos'!$H$9)+IF(G307='base para costos'!$G$10,'base para costos'!$H$10)+IF(G307='base para costos'!$G$11,'base para costos'!$H$11))</f>
        <v>0</v>
      </c>
      <c r="I307" s="93">
        <f>(C307/(('base para costos'!$J$3-D307)/100))</f>
        <v>5154.6391752577319</v>
      </c>
      <c r="J307" s="88">
        <f>(C307/(('base para costos'!$J$3-D307)/100-(0.08)))</f>
        <v>5617.9775280898875</v>
      </c>
      <c r="K307" s="112">
        <f t="shared" si="54"/>
        <v>31.56</v>
      </c>
      <c r="L307" s="84">
        <v>0</v>
      </c>
      <c r="M307" s="115"/>
      <c r="N307" s="111">
        <f t="shared" si="55"/>
        <v>7305.6691992986553</v>
      </c>
      <c r="O307" s="112" t="s">
        <v>598</v>
      </c>
      <c r="P307" s="116" t="s">
        <v>482</v>
      </c>
    </row>
    <row r="308" spans="1:16" x14ac:dyDescent="0.2">
      <c r="A308" s="116" t="s">
        <v>480</v>
      </c>
      <c r="B308" s="116" t="s">
        <v>481</v>
      </c>
      <c r="C308" s="98">
        <v>10075</v>
      </c>
      <c r="D308" s="1">
        <v>3</v>
      </c>
      <c r="E308" s="116">
        <v>16</v>
      </c>
      <c r="F308" s="115">
        <f t="shared" si="56"/>
        <v>19.36</v>
      </c>
      <c r="G308" s="114" t="s">
        <v>903</v>
      </c>
      <c r="H308" s="113">
        <f>(IF(G308='base para costos'!$G$3,'base para costos'!$H$3)+IF(G308='base para costos'!$G$4,'base para costos'!$H$4)+IF(G308='base para costos'!$G$5,'base para costos'!$H$5)+IF(G308='base para costos'!$G$6,'base para costos'!$H$6)+IF(G308='base para costos'!$G$7,'base para costos'!$H$7)+IF(G308='base para costos'!$G$8,'base para costos'!$H$8)+IF(G308='base para costos'!$G$9,'base para costos'!$H$9)+IF(G308='base para costos'!$G$10,'base para costos'!$H$10)+IF(G308='base para costos'!$G$11,'base para costos'!$H$11))</f>
        <v>0</v>
      </c>
      <c r="I308" s="93">
        <f>(C308/(('base para costos'!$J$3-D308)/100))</f>
        <v>10386.59793814433</v>
      </c>
      <c r="J308" s="88">
        <f>(C308/(('base para costos'!$J$3-D308)/100-(0.08)))</f>
        <v>11320.224719101123</v>
      </c>
      <c r="K308" s="112">
        <f t="shared" si="54"/>
        <v>31.56</v>
      </c>
      <c r="L308" s="84">
        <v>0</v>
      </c>
      <c r="M308" s="115"/>
      <c r="N308" s="111">
        <f t="shared" si="55"/>
        <v>14720.923436586791</v>
      </c>
      <c r="O308" s="112" t="s">
        <v>153</v>
      </c>
      <c r="P308" s="116" t="s">
        <v>482</v>
      </c>
    </row>
    <row r="309" spans="1:16" x14ac:dyDescent="0.2">
      <c r="A309" s="116" t="s">
        <v>884</v>
      </c>
      <c r="B309" s="116" t="s">
        <v>885</v>
      </c>
      <c r="C309" s="98">
        <v>156.29</v>
      </c>
      <c r="D309" s="1">
        <v>3</v>
      </c>
      <c r="E309" s="116">
        <v>16</v>
      </c>
      <c r="F309" s="115">
        <f t="shared" si="56"/>
        <v>19.36</v>
      </c>
      <c r="G309" s="114" t="s">
        <v>903</v>
      </c>
      <c r="H309" s="113">
        <f>(IF(G309=$G$3,$H$3)+IF(G309=$G$4,$H$4)+IF(G309=$G$5,$H$5)+IF(G309=$G$6,$H$6)+IF(G309=$G$7,$H$7)+IF(G309=$G$8,$H$8)+IF(G309=$G$9,$H$9)+IF(G309=$G$10,$H$10)+IF(G309=$G$11,$H$11))</f>
        <v>0</v>
      </c>
      <c r="I309" s="93">
        <f>(C309/(($J$3-D309)/100))</f>
        <v>161.12371134020617</v>
      </c>
      <c r="J309" s="88">
        <f>(C309/(($J$3-D309)/100-(0.08)))</f>
        <v>175.6067415730337</v>
      </c>
      <c r="K309" s="112">
        <f t="shared" si="54"/>
        <v>31.56</v>
      </c>
      <c r="L309" s="84">
        <v>0</v>
      </c>
      <c r="M309" s="115"/>
      <c r="N309" s="111">
        <f t="shared" si="55"/>
        <v>228.36060783167736</v>
      </c>
      <c r="O309" s="112" t="s">
        <v>230</v>
      </c>
      <c r="P309" s="116" t="s">
        <v>482</v>
      </c>
    </row>
    <row r="310" spans="1:16" x14ac:dyDescent="0.2">
      <c r="A310" s="116" t="s">
        <v>894</v>
      </c>
      <c r="B310" s="116" t="s">
        <v>895</v>
      </c>
      <c r="C310" s="98">
        <v>73.319999999999993</v>
      </c>
      <c r="D310" s="1">
        <v>3</v>
      </c>
      <c r="E310" s="116">
        <v>16</v>
      </c>
      <c r="F310" s="115">
        <f t="shared" si="56"/>
        <v>19.36</v>
      </c>
      <c r="G310" s="114" t="s">
        <v>903</v>
      </c>
      <c r="H310" s="113">
        <f>(IF(G310=$G$3,$H$3)+IF(G310=$G$4,$H$4)+IF(G310=$G$5,$H$5)+IF(G310=$G$6,$H$6)+IF(G310=$G$7,$H$7)+IF(G310=$G$8,$H$8)+IF(G310=$G$9,$H$9)+IF(G310=$G$10,$H$10)+IF(G310=$G$11,$H$11))</f>
        <v>0</v>
      </c>
      <c r="I310" s="93">
        <f>(C310/(($J$3-D310)/100))</f>
        <v>75.587628865979383</v>
      </c>
      <c r="J310" s="88">
        <f>(C310/(($J$3-D310)/100-(0.08)))</f>
        <v>82.382022471910105</v>
      </c>
      <c r="K310" s="112">
        <f t="shared" si="54"/>
        <v>31.56</v>
      </c>
      <c r="L310" s="84">
        <v>0</v>
      </c>
      <c r="M310" s="115"/>
      <c r="N310" s="111">
        <f t="shared" si="55"/>
        <v>107.13033313851548</v>
      </c>
      <c r="O310" s="112" t="s">
        <v>299</v>
      </c>
      <c r="P310" s="116" t="s">
        <v>482</v>
      </c>
    </row>
    <row r="311" spans="1:16" x14ac:dyDescent="0.2">
      <c r="A311" s="116" t="s">
        <v>653</v>
      </c>
      <c r="B311" s="116" t="s">
        <v>654</v>
      </c>
      <c r="C311" s="98">
        <v>2800</v>
      </c>
      <c r="D311" s="1">
        <v>3</v>
      </c>
      <c r="E311" s="116">
        <v>16</v>
      </c>
      <c r="F311" s="115">
        <f t="shared" si="56"/>
        <v>19.36</v>
      </c>
      <c r="G311" s="114" t="s">
        <v>903</v>
      </c>
      <c r="H311" s="113">
        <f>(IF(G311='base para costos'!$G$3,'base para costos'!$H$3)+IF(G311='base para costos'!$G$4,'base para costos'!$H$4)+IF(G311='base para costos'!$G$5,'base para costos'!$H$5)+IF(G311='base para costos'!$G$6,'base para costos'!$H$6)+IF(G311='base para costos'!$G$7,'base para costos'!$H$7)+IF(G311='base para costos'!$G$8,'base para costos'!$H$8)+IF(G311='base para costos'!$G$9,'base para costos'!$H$9)+IF(G311='base para costos'!$G$10,'base para costos'!$H$10)+IF(G311='base para costos'!$G$11,'base para costos'!$H$11))</f>
        <v>0</v>
      </c>
      <c r="I311" s="93">
        <f>(C311/(('base para costos'!$J$3-D311)/100))</f>
        <v>2886.5979381443299</v>
      </c>
      <c r="J311" s="88">
        <f>(C311/(('base para costos'!$J$3-D311)/100-(0.08)))</f>
        <v>3146.067415730337</v>
      </c>
      <c r="K311" s="112">
        <f t="shared" si="54"/>
        <v>31.56</v>
      </c>
      <c r="L311" s="84">
        <v>0</v>
      </c>
      <c r="M311" s="115"/>
      <c r="N311" s="111">
        <f t="shared" si="55"/>
        <v>4091.1747516072473</v>
      </c>
      <c r="O311" s="112" t="s">
        <v>230</v>
      </c>
      <c r="P311" s="116" t="s">
        <v>482</v>
      </c>
    </row>
    <row r="312" spans="1:16" x14ac:dyDescent="0.2">
      <c r="A312" s="116" t="s">
        <v>842</v>
      </c>
      <c r="B312" s="116" t="s">
        <v>843</v>
      </c>
      <c r="C312" s="98">
        <v>1600</v>
      </c>
      <c r="D312" s="1">
        <v>3</v>
      </c>
      <c r="E312" s="116">
        <v>16</v>
      </c>
      <c r="F312" s="115">
        <f t="shared" si="56"/>
        <v>19.36</v>
      </c>
      <c r="G312" s="114" t="s">
        <v>903</v>
      </c>
      <c r="H312" s="113">
        <f>(IF(G312='base para costos'!$G$3,'base para costos'!$H$3)+IF(G312='base para costos'!$G$4,'base para costos'!$H$4)+IF(G312='base para costos'!$G$5,'base para costos'!$H$5)+IF(G312='base para costos'!$G$6,'base para costos'!$H$6)+IF(G312='base para costos'!$G$7,'base para costos'!$H$7)+IF(G312='base para costos'!$G$8,'base para costos'!$H$8)+IF(G312='base para costos'!$G$9,'base para costos'!$H$9)+IF(G312='base para costos'!$G$10,'base para costos'!$H$10)+IF(G312='base para costos'!$G$11,'base para costos'!$H$11))</f>
        <v>0</v>
      </c>
      <c r="I312" s="93">
        <f>(C312/(('base para costos'!$J$3-D312)/100))</f>
        <v>1649.4845360824743</v>
      </c>
      <c r="J312" s="88">
        <f>(C312/(('base para costos'!$J$3-D312)/100-(0.08)))</f>
        <v>1797.7528089887639</v>
      </c>
      <c r="K312" s="112">
        <f t="shared" si="54"/>
        <v>31.56</v>
      </c>
      <c r="L312" s="84">
        <v>0</v>
      </c>
      <c r="M312" s="115"/>
      <c r="N312" s="111">
        <f t="shared" si="55"/>
        <v>2337.8141437755698</v>
      </c>
      <c r="O312" s="112" t="s">
        <v>299</v>
      </c>
      <c r="P312" s="116" t="s">
        <v>482</v>
      </c>
    </row>
    <row r="313" spans="1:16" x14ac:dyDescent="0.2">
      <c r="A313" s="116" t="s">
        <v>802</v>
      </c>
      <c r="B313" s="116" t="s">
        <v>803</v>
      </c>
      <c r="C313" s="98">
        <v>3639.99</v>
      </c>
      <c r="D313" s="1">
        <v>3</v>
      </c>
      <c r="E313" s="116">
        <v>16</v>
      </c>
      <c r="F313" s="115">
        <f t="shared" si="56"/>
        <v>19.36</v>
      </c>
      <c r="G313" s="114" t="s">
        <v>903</v>
      </c>
      <c r="H313" s="113">
        <f>(IF(G313='base para costos'!$G$3,'base para costos'!$H$3)+IF(G313='base para costos'!$G$4,'base para costos'!$H$4)+IF(G313='base para costos'!$G$5,'base para costos'!$H$5)+IF(G313='base para costos'!$G$6,'base para costos'!$H$6)+IF(G313='base para costos'!$G$7,'base para costos'!$H$7)+IF(G313='base para costos'!$G$8,'base para costos'!$H$8)+IF(G313='base para costos'!$G$9,'base para costos'!$H$9)+IF(G313='base para costos'!$G$10,'base para costos'!$H$10)+IF(G313='base para costos'!$G$11,'base para costos'!$H$11))</f>
        <v>0</v>
      </c>
      <c r="I313" s="93">
        <f>(C313/(('base para costos'!$J$3-D313)/100))</f>
        <v>3752.5670103092784</v>
      </c>
      <c r="J313" s="88">
        <f>(C313/(('base para costos'!$J$3-D313)/100-(0.08)))</f>
        <v>4089.8764044943819</v>
      </c>
      <c r="K313" s="112">
        <f t="shared" si="54"/>
        <v>31.56</v>
      </c>
      <c r="L313" s="84">
        <v>0</v>
      </c>
      <c r="M313" s="115"/>
      <c r="N313" s="111">
        <f t="shared" si="55"/>
        <v>5318.5125657510225</v>
      </c>
      <c r="O313" s="112" t="s">
        <v>804</v>
      </c>
      <c r="P313" s="116" t="s">
        <v>482</v>
      </c>
    </row>
    <row r="314" spans="1:16" x14ac:dyDescent="0.2">
      <c r="A314" s="116" t="s">
        <v>830</v>
      </c>
      <c r="B314" s="116" t="s">
        <v>831</v>
      </c>
      <c r="C314" s="98">
        <v>1200.01</v>
      </c>
      <c r="D314" s="1">
        <v>3</v>
      </c>
      <c r="E314" s="116">
        <v>13.5</v>
      </c>
      <c r="F314" s="115">
        <f t="shared" si="56"/>
        <v>16.335000000000001</v>
      </c>
      <c r="G314" s="114" t="s">
        <v>903</v>
      </c>
      <c r="H314" s="113">
        <f>(IF(G314='base para costos'!$G$3,'base para costos'!$H$3)+IF(G314='base para costos'!$G$4,'base para costos'!$H$4)+IF(G314='base para costos'!$G$5,'base para costos'!$H$5)+IF(G314='base para costos'!$G$6,'base para costos'!$H$6)+IF(G314='base para costos'!$G$7,'base para costos'!$H$7)+IF(G314='base para costos'!$G$8,'base para costos'!$H$8)+IF(G314='base para costos'!$G$9,'base para costos'!$H$9)+IF(G314='base para costos'!$G$10,'base para costos'!$H$10)+IF(G314='base para costos'!$G$11,'base para costos'!$H$11))</f>
        <v>0</v>
      </c>
      <c r="I314" s="93">
        <f>(C314/(('base para costos'!$J$3-D314)/100))</f>
        <v>1237.1237113402062</v>
      </c>
      <c r="J314" s="88">
        <f>(C314/(('base para costos'!$J$3-D314)/100-(0.08)))</f>
        <v>1348.3258426966293</v>
      </c>
      <c r="K314" s="112">
        <f t="shared" si="54"/>
        <v>28.535</v>
      </c>
      <c r="L314" s="84">
        <v>0</v>
      </c>
      <c r="M314" s="115"/>
      <c r="N314" s="111">
        <f t="shared" si="55"/>
        <v>1679.1576296088995</v>
      </c>
      <c r="O314" s="112" t="s">
        <v>153</v>
      </c>
      <c r="P314" s="116" t="s">
        <v>792</v>
      </c>
    </row>
    <row r="315" spans="1:16" x14ac:dyDescent="0.2">
      <c r="A315" s="116" t="s">
        <v>787</v>
      </c>
      <c r="B315" s="116" t="s">
        <v>788</v>
      </c>
      <c r="C315" s="98">
        <v>4155.16</v>
      </c>
      <c r="D315" s="1">
        <v>3</v>
      </c>
      <c r="E315" s="116">
        <v>15.5</v>
      </c>
      <c r="F315" s="115">
        <f t="shared" si="56"/>
        <v>18.754999999999999</v>
      </c>
      <c r="G315" s="114" t="s">
        <v>903</v>
      </c>
      <c r="H315" s="113">
        <f>(IF(G315='base para costos'!$G$3,'base para costos'!$H$3)+IF(G315='base para costos'!$G$4,'base para costos'!$H$4)+IF(G315='base para costos'!$G$5,'base para costos'!$H$5)+IF(G315='base para costos'!$G$6,'base para costos'!$H$6)+IF(G315='base para costos'!$G$7,'base para costos'!$H$7)+IF(G315='base para costos'!$G$8,'base para costos'!$H$8)+IF(G315='base para costos'!$G$9,'base para costos'!$H$9)+IF(G315='base para costos'!$G$10,'base para costos'!$H$10)+IF(G315='base para costos'!$G$11,'base para costos'!$H$11))</f>
        <v>0</v>
      </c>
      <c r="I315" s="93">
        <f>(C315/(('base para costos'!$J$3-D315)/100))</f>
        <v>4283.6701030927834</v>
      </c>
      <c r="J315" s="88">
        <f>(C315/(('base para costos'!$J$3-D315)/100-(0.08)))</f>
        <v>4668.7191011235955</v>
      </c>
      <c r="K315" s="112">
        <f t="shared" si="54"/>
        <v>30.954999999999998</v>
      </c>
      <c r="L315" s="84">
        <v>0</v>
      </c>
      <c r="M315" s="115"/>
      <c r="N315" s="111">
        <f t="shared" si="55"/>
        <v>6018.0462017524796</v>
      </c>
      <c r="O315" s="112" t="s">
        <v>153</v>
      </c>
      <c r="P315" s="116" t="s">
        <v>789</v>
      </c>
    </row>
    <row r="316" spans="1:16" x14ac:dyDescent="0.2">
      <c r="A316" s="116" t="s">
        <v>751</v>
      </c>
      <c r="B316" s="116" t="s">
        <v>752</v>
      </c>
      <c r="C316" s="98">
        <v>5525.01</v>
      </c>
      <c r="D316" s="1">
        <v>3</v>
      </c>
      <c r="E316" s="116">
        <v>15.5</v>
      </c>
      <c r="F316" s="115">
        <f t="shared" si="56"/>
        <v>18.754999999999999</v>
      </c>
      <c r="G316" s="114" t="s">
        <v>903</v>
      </c>
      <c r="H316" s="113">
        <f>(IF(G316='base para costos'!$G$3,'base para costos'!$H$3)+IF(G316='base para costos'!$G$4,'base para costos'!$H$4)+IF(G316='base para costos'!$G$5,'base para costos'!$H$5)+IF(G316='base para costos'!$G$6,'base para costos'!$H$6)+IF(G316='base para costos'!$G$7,'base para costos'!$H$7)+IF(G316='base para costos'!$G$8,'base para costos'!$H$8)+IF(G316='base para costos'!$G$9,'base para costos'!$H$9)+IF(G316='base para costos'!$G$10,'base para costos'!$H$10)+IF(G316='base para costos'!$G$11,'base para costos'!$H$11))</f>
        <v>0</v>
      </c>
      <c r="I316" s="93">
        <f>(C316/(('base para costos'!$J$3-D316)/100))</f>
        <v>5695.8865979381444</v>
      </c>
      <c r="J316" s="88">
        <f>(C316/(('base para costos'!$J$3-D316)/100-(0.08)))</f>
        <v>6207.8764044943819</v>
      </c>
      <c r="K316" s="112">
        <f t="shared" si="54"/>
        <v>30.954999999999998</v>
      </c>
      <c r="L316" s="84">
        <v>0</v>
      </c>
      <c r="M316" s="115"/>
      <c r="N316" s="111">
        <f t="shared" si="55"/>
        <v>8002.0421464262436</v>
      </c>
      <c r="O316" s="112" t="s">
        <v>168</v>
      </c>
      <c r="P316" s="116" t="s">
        <v>753</v>
      </c>
    </row>
    <row r="317" spans="1:16" x14ac:dyDescent="0.2">
      <c r="A317" s="116" t="s">
        <v>590</v>
      </c>
      <c r="B317" s="116" t="s">
        <v>591</v>
      </c>
      <c r="C317" s="98">
        <v>16055.01</v>
      </c>
      <c r="D317" s="1">
        <v>3</v>
      </c>
      <c r="E317" s="116">
        <v>13.5</v>
      </c>
      <c r="F317" s="115">
        <f t="shared" si="56"/>
        <v>16.335000000000001</v>
      </c>
      <c r="G317" s="114" t="s">
        <v>903</v>
      </c>
      <c r="H317" s="113">
        <f>(IF(G317='base para costos'!$G$3,'base para costos'!$H$3)+IF(G317='base para costos'!$G$4,'base para costos'!$H$4)+IF(G317='base para costos'!$G$5,'base para costos'!$H$5)+IF(G317='base para costos'!$G$6,'base para costos'!$H$6)+IF(G317='base para costos'!$G$7,'base para costos'!$H$7)+IF(G317='base para costos'!$G$8,'base para costos'!$H$8)+IF(G317='base para costos'!$G$9,'base para costos'!$H$9)+IF(G317='base para costos'!$G$10,'base para costos'!$H$10)+IF(G317='base para costos'!$G$11,'base para costos'!$H$11))</f>
        <v>0</v>
      </c>
      <c r="I317" s="93">
        <f>(C317/(('base para costos'!$J$3-D317)/100))</f>
        <v>16551.556701030928</v>
      </c>
      <c r="J317" s="88">
        <f>(C317/(('base para costos'!$J$3-D317)/100-(0.08)))</f>
        <v>18039.337078651686</v>
      </c>
      <c r="K317" s="112">
        <f t="shared" si="54"/>
        <v>28.535</v>
      </c>
      <c r="L317" s="84">
        <v>0</v>
      </c>
      <c r="M317" s="115"/>
      <c r="N317" s="111">
        <f t="shared" si="55"/>
        <v>22465.556566151263</v>
      </c>
      <c r="O317" s="112" t="s">
        <v>153</v>
      </c>
      <c r="P317" s="116" t="s">
        <v>182</v>
      </c>
    </row>
    <row r="318" spans="1:16" x14ac:dyDescent="0.2">
      <c r="A318" s="116" t="s">
        <v>612</v>
      </c>
      <c r="B318" s="116" t="s">
        <v>613</v>
      </c>
      <c r="C318" s="98">
        <v>3595.02</v>
      </c>
      <c r="D318" s="1">
        <v>3</v>
      </c>
      <c r="E318" s="116">
        <v>16</v>
      </c>
      <c r="F318" s="115">
        <f t="shared" si="56"/>
        <v>19.36</v>
      </c>
      <c r="G318" s="114" t="s">
        <v>903</v>
      </c>
      <c r="H318" s="113">
        <f>(IF(G318='base para costos'!$G$3,'base para costos'!$H$3)+IF(G318='base para costos'!$G$4,'base para costos'!$H$4)+IF(G318='base para costos'!$G$5,'base para costos'!$H$5)+IF(G318='base para costos'!$G$6,'base para costos'!$H$6)+IF(G318='base para costos'!$G$7,'base para costos'!$H$7)+IF(G318='base para costos'!$G$8,'base para costos'!$H$8)+IF(G318='base para costos'!$G$9,'base para costos'!$H$9)+IF(G318='base para costos'!$G$10,'base para costos'!$H$10)+IF(G318='base para costos'!$G$11,'base para costos'!$H$11))</f>
        <v>0</v>
      </c>
      <c r="I318" s="93">
        <f>(C318/(('base para costos'!$J$3-D318)/100))</f>
        <v>3706.2061855670104</v>
      </c>
      <c r="J318" s="88">
        <f>(C318/(('base para costos'!$J$3-D318)/100-(0.08)))</f>
        <v>4039.3483146067415</v>
      </c>
      <c r="K318" s="112">
        <f t="shared" si="54"/>
        <v>31.56</v>
      </c>
      <c r="L318" s="84">
        <v>0</v>
      </c>
      <c r="M318" s="115"/>
      <c r="N318" s="111">
        <f t="shared" si="55"/>
        <v>5252.8053769725302</v>
      </c>
      <c r="O318" s="112" t="s">
        <v>230</v>
      </c>
      <c r="P318" s="116" t="s">
        <v>233</v>
      </c>
    </row>
    <row r="319" spans="1:16" x14ac:dyDescent="0.2">
      <c r="A319" s="116" t="s">
        <v>670</v>
      </c>
      <c r="B319" s="116" t="s">
        <v>671</v>
      </c>
      <c r="C319" s="98">
        <v>9775</v>
      </c>
      <c r="D319" s="1">
        <v>3</v>
      </c>
      <c r="E319" s="116">
        <v>16</v>
      </c>
      <c r="F319" s="115">
        <f t="shared" si="56"/>
        <v>19.36</v>
      </c>
      <c r="G319" s="114" t="s">
        <v>903</v>
      </c>
      <c r="H319" s="113">
        <f>(IF(G319='base para costos'!$G$3,'base para costos'!$H$3)+IF(G319='base para costos'!$G$4,'base para costos'!$H$4)+IF(G319='base para costos'!$G$5,'base para costos'!$H$5)+IF(G319='base para costos'!$G$6,'base para costos'!$H$6)+IF(G319='base para costos'!$G$7,'base para costos'!$H$7)+IF(G319='base para costos'!$G$8,'base para costos'!$H$8)+IF(G319='base para costos'!$G$9,'base para costos'!$H$9)+IF(G319='base para costos'!$G$10,'base para costos'!$H$10)+IF(G319='base para costos'!$G$11,'base para costos'!$H$11))</f>
        <v>0</v>
      </c>
      <c r="I319" s="93">
        <f>(C319/(('base para costos'!$J$3-D319)/100))</f>
        <v>10077.319587628866</v>
      </c>
      <c r="J319" s="88">
        <f>(C319/(('base para costos'!$J$3-D319)/100-(0.08)))</f>
        <v>10983.14606741573</v>
      </c>
      <c r="K319" s="112">
        <f t="shared" si="54"/>
        <v>31.56</v>
      </c>
      <c r="L319" s="84">
        <v>0</v>
      </c>
      <c r="M319" s="115"/>
      <c r="N319" s="111">
        <f t="shared" si="55"/>
        <v>14282.583284628872</v>
      </c>
      <c r="O319" s="112" t="s">
        <v>673</v>
      </c>
      <c r="P319" s="116" t="s">
        <v>672</v>
      </c>
    </row>
    <row r="320" spans="1:16" x14ac:dyDescent="0.2">
      <c r="A320" s="116" t="s">
        <v>678</v>
      </c>
      <c r="B320" s="116" t="s">
        <v>679</v>
      </c>
      <c r="C320" s="98">
        <v>8882.9</v>
      </c>
      <c r="D320" s="1">
        <v>3</v>
      </c>
      <c r="E320" s="116">
        <v>16</v>
      </c>
      <c r="F320" s="115">
        <f t="shared" si="56"/>
        <v>19.36</v>
      </c>
      <c r="G320" s="114" t="s">
        <v>903</v>
      </c>
      <c r="H320" s="113">
        <f>(IF(G320='base para costos'!$G$3,'base para costos'!$H$3)+IF(G320='base para costos'!$G$4,'base para costos'!$H$4)+IF(G320='base para costos'!$G$5,'base para costos'!$H$5)+IF(G320='base para costos'!$G$6,'base para costos'!$H$6)+IF(G320='base para costos'!$G$7,'base para costos'!$H$7)+IF(G320='base para costos'!$G$8,'base para costos'!$H$8)+IF(G320='base para costos'!$G$9,'base para costos'!$H$9)+IF(G320='base para costos'!$G$10,'base para costos'!$H$10)+IF(G320='base para costos'!$G$11,'base para costos'!$H$11))</f>
        <v>0</v>
      </c>
      <c r="I320" s="93">
        <f>(C320/(('base para costos'!$J$3-D320)/100))</f>
        <v>9157.6288659793809</v>
      </c>
      <c r="J320" s="88">
        <f>(C320/(('base para costos'!$J$3-D320)/100-(0.08)))</f>
        <v>9980.786516853932</v>
      </c>
      <c r="K320" s="112">
        <f t="shared" si="54"/>
        <v>31.56</v>
      </c>
      <c r="L320" s="84">
        <v>0</v>
      </c>
      <c r="M320" s="115"/>
      <c r="N320" s="111">
        <f t="shared" si="55"/>
        <v>12979.105786090005</v>
      </c>
      <c r="O320" s="112" t="s">
        <v>680</v>
      </c>
      <c r="P320" s="116" t="s">
        <v>482</v>
      </c>
    </row>
    <row r="321" spans="1:16" x14ac:dyDescent="0.2">
      <c r="A321" s="116" t="s">
        <v>747</v>
      </c>
      <c r="B321" s="116" t="s">
        <v>748</v>
      </c>
      <c r="C321" s="98">
        <v>5590</v>
      </c>
      <c r="D321" s="1">
        <v>3</v>
      </c>
      <c r="E321" s="116">
        <v>15.5</v>
      </c>
      <c r="F321" s="115">
        <f t="shared" si="56"/>
        <v>18.754999999999999</v>
      </c>
      <c r="G321" s="114" t="s">
        <v>903</v>
      </c>
      <c r="H321" s="113">
        <f>(IF(G321='base para costos'!$G$3,'base para costos'!$H$3)+IF(G321='base para costos'!$G$4,'base para costos'!$H$4)+IF(G321='base para costos'!$G$5,'base para costos'!$H$5)+IF(G321='base para costos'!$G$6,'base para costos'!$H$6)+IF(G321='base para costos'!$G$7,'base para costos'!$H$7)+IF(G321='base para costos'!$G$8,'base para costos'!$H$8)+IF(G321='base para costos'!$G$9,'base para costos'!$H$9)+IF(G321='base para costos'!$G$10,'base para costos'!$H$10)+IF(G321='base para costos'!$G$11,'base para costos'!$H$11))</f>
        <v>0</v>
      </c>
      <c r="I321" s="93">
        <f>(C321/(('base para costos'!$J$3-D321)/100))</f>
        <v>5762.8865979381444</v>
      </c>
      <c r="J321" s="88">
        <f>(C321/(('base para costos'!$J$3-D321)/100-(0.08)))</f>
        <v>6280.8988764044943</v>
      </c>
      <c r="K321" s="112">
        <f t="shared" si="54"/>
        <v>30.954999999999998</v>
      </c>
      <c r="L321" s="84">
        <v>0</v>
      </c>
      <c r="M321" s="115"/>
      <c r="N321" s="111">
        <f t="shared" si="55"/>
        <v>8096.1691650372941</v>
      </c>
      <c r="O321" s="112" t="s">
        <v>153</v>
      </c>
      <c r="P321" s="116" t="s">
        <v>242</v>
      </c>
    </row>
    <row r="322" spans="1:16" x14ac:dyDescent="0.2">
      <c r="A322" s="116" t="s">
        <v>240</v>
      </c>
      <c r="B322" s="116" t="s">
        <v>241</v>
      </c>
      <c r="C322" s="98">
        <v>27170.01</v>
      </c>
      <c r="D322" s="1">
        <v>3</v>
      </c>
      <c r="E322" s="116">
        <v>15.5</v>
      </c>
      <c r="F322" s="115">
        <f t="shared" si="56"/>
        <v>18.754999999999999</v>
      </c>
      <c r="G322" s="114" t="s">
        <v>903</v>
      </c>
      <c r="H322" s="113">
        <f>(IF(G322=$G$3,$H$3)+IF(G322=$G$4,$H$4)+IF(G322=$G$5,$H$5)+IF(G322=$G$6,$H$6)+IF(G322=$G$7,$H$7)+IF(G322=$G$8,$H$8)+IF(G322=$G$9,$H$9)+IF(G322=$G$10,$H$10)+IF(G322=$G$11,$H$11))</f>
        <v>0</v>
      </c>
      <c r="I322" s="93">
        <f>(C322/(($J$3-D322)/100))</f>
        <v>28010.319587628866</v>
      </c>
      <c r="J322" s="88">
        <f>(C322/(($J$3-D322)/100-(0.08)))</f>
        <v>30528.101123595505</v>
      </c>
      <c r="K322" s="112">
        <f t="shared" si="54"/>
        <v>30.954999999999998</v>
      </c>
      <c r="L322" s="84">
        <v>4900</v>
      </c>
      <c r="M322" s="115"/>
      <c r="N322" s="111">
        <f t="shared" si="55"/>
        <v>44251.162285465995</v>
      </c>
      <c r="O322" s="112" t="s">
        <v>153</v>
      </c>
      <c r="P322" s="116" t="s">
        <v>242</v>
      </c>
    </row>
    <row r="323" spans="1:16" x14ac:dyDescent="0.2">
      <c r="A323" s="116" t="s">
        <v>745</v>
      </c>
      <c r="B323" s="116" t="s">
        <v>746</v>
      </c>
      <c r="C323" s="98">
        <v>2828.29</v>
      </c>
      <c r="D323" s="1">
        <v>3</v>
      </c>
      <c r="E323" s="116">
        <v>16.5</v>
      </c>
      <c r="F323" s="115">
        <f t="shared" si="56"/>
        <v>19.965</v>
      </c>
      <c r="G323" s="114" t="s">
        <v>903</v>
      </c>
      <c r="H323" s="113">
        <f>(IF(G323='base para costos'!$G$3,'base para costos'!$H$3)+IF(G323='base para costos'!$G$4,'base para costos'!$H$4)+IF(G323='base para costos'!$G$5,'base para costos'!$H$5)+IF(G323='base para costos'!$G$6,'base para costos'!$H$6)+IF(G323='base para costos'!$G$7,'base para costos'!$H$7)+IF(G323='base para costos'!$G$8,'base para costos'!$H$8)+IF(G323='base para costos'!$G$9,'base para costos'!$H$9)+IF(G323='base para costos'!$G$10,'base para costos'!$H$10)+IF(G323='base para costos'!$G$11,'base para costos'!$H$11))</f>
        <v>0</v>
      </c>
      <c r="I323" s="93">
        <f>(C323/(('base para costos'!$J$3-D323)/100))</f>
        <v>2915.7628865979382</v>
      </c>
      <c r="J323" s="88">
        <f>(C323/(('base para costos'!$J$3-D323)/100-(0.08)))</f>
        <v>3177.8539325842694</v>
      </c>
      <c r="K323" s="112">
        <f t="shared" si="54"/>
        <v>32.164999999999999</v>
      </c>
      <c r="L323" s="84">
        <v>0</v>
      </c>
      <c r="M323" s="115"/>
      <c r="N323" s="111">
        <f t="shared" si="55"/>
        <v>4169.3668460234385</v>
      </c>
      <c r="O323" s="112" t="s">
        <v>153</v>
      </c>
      <c r="P323" s="116" t="s">
        <v>508</v>
      </c>
    </row>
    <row r="324" spans="1:16" x14ac:dyDescent="0.2">
      <c r="A324" s="116" t="s">
        <v>616</v>
      </c>
      <c r="B324" s="116" t="s">
        <v>617</v>
      </c>
      <c r="C324" s="98">
        <v>1950</v>
      </c>
      <c r="D324" s="1">
        <v>3</v>
      </c>
      <c r="E324" s="116">
        <v>15.5</v>
      </c>
      <c r="F324" s="115">
        <f t="shared" si="56"/>
        <v>18.754999999999999</v>
      </c>
      <c r="G324" s="114" t="s">
        <v>903</v>
      </c>
      <c r="H324" s="113">
        <f>(IF(G324='base para costos'!$G$3,'base para costos'!$H$3)+IF(G324='base para costos'!$G$4,'base para costos'!$H$4)+IF(G324='base para costos'!$G$5,'base para costos'!$H$5)+IF(G324='base para costos'!$G$6,'base para costos'!$H$6)+IF(G324='base para costos'!$G$7,'base para costos'!$H$7)+IF(G324='base para costos'!$G$8,'base para costos'!$H$8)+IF(G324='base para costos'!$G$9,'base para costos'!$H$9)+IF(G324='base para costos'!$G$10,'base para costos'!$H$10)+IF(G324='base para costos'!$G$11,'base para costos'!$H$11))</f>
        <v>0</v>
      </c>
      <c r="I324" s="93">
        <f>(C324/(('base para costos'!$J$3-D324)/100))</f>
        <v>2010.3092783505156</v>
      </c>
      <c r="J324" s="88">
        <f>(C324/(('base para costos'!$J$3-D324)/100-(0.08)))</f>
        <v>2191.0112359550562</v>
      </c>
      <c r="K324" s="112">
        <f t="shared" si="54"/>
        <v>30.954999999999998</v>
      </c>
      <c r="L324" s="84">
        <v>0</v>
      </c>
      <c r="M324" s="115"/>
      <c r="N324" s="111">
        <f t="shared" si="55"/>
        <v>2824.2450575711491</v>
      </c>
      <c r="O324" s="112" t="s">
        <v>153</v>
      </c>
      <c r="P324" s="116" t="s">
        <v>152</v>
      </c>
    </row>
    <row r="325" spans="1:16" x14ac:dyDescent="0.2">
      <c r="A325" s="116" t="s">
        <v>813</v>
      </c>
      <c r="B325" s="116" t="s">
        <v>814</v>
      </c>
      <c r="C325" s="98">
        <v>748.79</v>
      </c>
      <c r="D325" s="1">
        <v>3</v>
      </c>
      <c r="E325" s="116">
        <v>15.5</v>
      </c>
      <c r="F325" s="115">
        <f t="shared" si="56"/>
        <v>18.754999999999999</v>
      </c>
      <c r="G325" s="114" t="s">
        <v>903</v>
      </c>
      <c r="H325" s="113">
        <f>(IF(G325='base para costos'!$G$3,'base para costos'!$H$3)+IF(G325='base para costos'!$G$4,'base para costos'!$H$4)+IF(G325='base para costos'!$G$5,'base para costos'!$H$5)+IF(G325='base para costos'!$G$6,'base para costos'!$H$6)+IF(G325='base para costos'!$G$7,'base para costos'!$H$7)+IF(G325='base para costos'!$G$8,'base para costos'!$H$8)+IF(G325='base para costos'!$G$9,'base para costos'!$H$9)+IF(G325='base para costos'!$G$10,'base para costos'!$H$10)+IF(G325='base para costos'!$G$11,'base para costos'!$H$11))</f>
        <v>0</v>
      </c>
      <c r="I325" s="93">
        <f>(C325/(('base para costos'!$J$3-D325)/100))</f>
        <v>771.94845360824741</v>
      </c>
      <c r="J325" s="88">
        <f>(C325/(('base para costos'!$J$3-D325)/100-(0.08)))</f>
        <v>841.33707865168537</v>
      </c>
      <c r="K325" s="112">
        <f t="shared" si="54"/>
        <v>30.954999999999998</v>
      </c>
      <c r="L325" s="84">
        <v>0</v>
      </c>
      <c r="M325" s="115"/>
      <c r="N325" s="111">
        <f t="shared" si="55"/>
        <v>1084.4956187993337</v>
      </c>
      <c r="O325" s="112" t="s">
        <v>230</v>
      </c>
      <c r="P325" s="116" t="s">
        <v>152</v>
      </c>
    </row>
    <row r="326" spans="1:16" x14ac:dyDescent="0.2">
      <c r="A326" s="116" t="s">
        <v>826</v>
      </c>
      <c r="B326" s="116" t="s">
        <v>827</v>
      </c>
      <c r="C326" s="98">
        <v>2600</v>
      </c>
      <c r="D326" s="1">
        <v>3</v>
      </c>
      <c r="E326" s="116">
        <v>15.5</v>
      </c>
      <c r="F326" s="115">
        <f t="shared" si="56"/>
        <v>18.754999999999999</v>
      </c>
      <c r="G326" s="114" t="s">
        <v>903</v>
      </c>
      <c r="H326" s="113">
        <f>(IF(G326='base para costos'!$G$3,'base para costos'!$H$3)+IF(G326='base para costos'!$G$4,'base para costos'!$H$4)+IF(G326='base para costos'!$G$5,'base para costos'!$H$5)+IF(G326='base para costos'!$G$6,'base para costos'!$H$6)+IF(G326='base para costos'!$G$7,'base para costos'!$H$7)+IF(G326='base para costos'!$G$8,'base para costos'!$H$8)+IF(G326='base para costos'!$G$9,'base para costos'!$H$9)+IF(G326='base para costos'!$G$10,'base para costos'!$H$10)+IF(G326='base para costos'!$G$11,'base para costos'!$H$11))</f>
        <v>0</v>
      </c>
      <c r="I326" s="93">
        <f>(C326/(('base para costos'!$J$3-D326)/100))</f>
        <v>2680.4123711340208</v>
      </c>
      <c r="J326" s="88">
        <f>(C326/(('base para costos'!$J$3-D326)/100-(0.08)))</f>
        <v>2921.3483146067415</v>
      </c>
      <c r="K326" s="112">
        <f t="shared" si="54"/>
        <v>30.954999999999998</v>
      </c>
      <c r="L326" s="84">
        <v>0</v>
      </c>
      <c r="M326" s="115"/>
      <c r="N326" s="111">
        <f t="shared" si="55"/>
        <v>3765.6600767615323</v>
      </c>
      <c r="O326" s="112" t="s">
        <v>168</v>
      </c>
      <c r="P326" s="116" t="s">
        <v>152</v>
      </c>
    </row>
    <row r="327" spans="1:16" x14ac:dyDescent="0.2">
      <c r="A327" s="116" t="s">
        <v>852</v>
      </c>
      <c r="B327" s="116" t="s">
        <v>853</v>
      </c>
      <c r="C327" s="98">
        <v>1300</v>
      </c>
      <c r="D327" s="1">
        <v>3</v>
      </c>
      <c r="E327" s="116">
        <v>15.5</v>
      </c>
      <c r="F327" s="115">
        <f t="shared" si="56"/>
        <v>18.754999999999999</v>
      </c>
      <c r="G327" s="114" t="s">
        <v>903</v>
      </c>
      <c r="H327" s="113">
        <f>(IF(G327='base para costos'!$G$3,'base para costos'!$H$3)+IF(G327='base para costos'!$G$4,'base para costos'!$H$4)+IF(G327='base para costos'!$G$5,'base para costos'!$H$5)+IF(G327='base para costos'!$G$6,'base para costos'!$H$6)+IF(G327='base para costos'!$G$7,'base para costos'!$H$7)+IF(G327='base para costos'!$G$8,'base para costos'!$H$8)+IF(G327='base para costos'!$G$9,'base para costos'!$H$9)+IF(G327='base para costos'!$G$10,'base para costos'!$H$10)+IF(G327='base para costos'!$G$11,'base para costos'!$H$11))</f>
        <v>0</v>
      </c>
      <c r="I327" s="93">
        <f>(C327/(('base para costos'!$J$3-D327)/100))</f>
        <v>1340.2061855670104</v>
      </c>
      <c r="J327" s="88">
        <f>(C327/(('base para costos'!$J$3-D327)/100-(0.08)))</f>
        <v>1460.6741573033707</v>
      </c>
      <c r="K327" s="112">
        <f t="shared" si="54"/>
        <v>30.954999999999998</v>
      </c>
      <c r="L327" s="84">
        <v>0</v>
      </c>
      <c r="M327" s="115"/>
      <c r="N327" s="111">
        <f t="shared" si="55"/>
        <v>1882.8300383807662</v>
      </c>
      <c r="O327" s="112" t="s">
        <v>168</v>
      </c>
      <c r="P327" s="116" t="s">
        <v>152</v>
      </c>
    </row>
    <row r="328" spans="1:16" x14ac:dyDescent="0.2">
      <c r="A328" s="116" t="s">
        <v>836</v>
      </c>
      <c r="B328" s="116" t="s">
        <v>837</v>
      </c>
      <c r="C328" s="98">
        <v>1989</v>
      </c>
      <c r="D328" s="1">
        <v>3</v>
      </c>
      <c r="E328" s="116">
        <v>15.5</v>
      </c>
      <c r="F328" s="115">
        <f t="shared" ref="F328:F346" si="57">E328*1.21</f>
        <v>18.754999999999999</v>
      </c>
      <c r="G328" s="114" t="s">
        <v>903</v>
      </c>
      <c r="H328" s="113">
        <f>(IF(G328='base para costos'!$G$3,'base para costos'!$H$3)+IF(G328='base para costos'!$G$4,'base para costos'!$H$4)+IF(G328='base para costos'!$G$5,'base para costos'!$H$5)+IF(G328='base para costos'!$G$6,'base para costos'!$H$6)+IF(G328='base para costos'!$G$7,'base para costos'!$H$7)+IF(G328='base para costos'!$G$8,'base para costos'!$H$8)+IF(G328='base para costos'!$G$9,'base para costos'!$H$9)+IF(G328='base para costos'!$G$10,'base para costos'!$H$10)+IF(G328='base para costos'!$G$11,'base para costos'!$H$11))</f>
        <v>0</v>
      </c>
      <c r="I328" s="93">
        <f>(C328/(('base para costos'!$J$3-D328)/100))</f>
        <v>2050.5154639175257</v>
      </c>
      <c r="J328" s="88">
        <f>(C328/(('base para costos'!$J$3-D328)/100-(0.08)))</f>
        <v>2234.8314606741574</v>
      </c>
      <c r="K328" s="112">
        <f t="shared" si="54"/>
        <v>30.954999999999998</v>
      </c>
      <c r="L328" s="84">
        <v>0</v>
      </c>
      <c r="M328" s="115"/>
      <c r="N328" s="111">
        <f t="shared" si="55"/>
        <v>2880.7299587225721</v>
      </c>
      <c r="O328" s="112" t="s">
        <v>153</v>
      </c>
      <c r="P328" s="116" t="s">
        <v>152</v>
      </c>
    </row>
    <row r="329" spans="1:16" x14ac:dyDescent="0.2">
      <c r="A329" s="116" t="s">
        <v>838</v>
      </c>
      <c r="B329" s="116" t="s">
        <v>839</v>
      </c>
      <c r="C329" s="98">
        <v>1729.01</v>
      </c>
      <c r="D329" s="1">
        <v>3</v>
      </c>
      <c r="E329" s="116">
        <v>15.5</v>
      </c>
      <c r="F329" s="115">
        <f t="shared" si="57"/>
        <v>18.754999999999999</v>
      </c>
      <c r="G329" s="114" t="s">
        <v>903</v>
      </c>
      <c r="H329" s="113">
        <f>(IF(G329='base para costos'!$G$3,'base para costos'!$H$3)+IF(G329='base para costos'!$G$4,'base para costos'!$H$4)+IF(G329='base para costos'!$G$5,'base para costos'!$H$5)+IF(G329='base para costos'!$G$6,'base para costos'!$H$6)+IF(G329='base para costos'!$G$7,'base para costos'!$H$7)+IF(G329='base para costos'!$G$8,'base para costos'!$H$8)+IF(G329='base para costos'!$G$9,'base para costos'!$H$9)+IF(G329='base para costos'!$G$10,'base para costos'!$H$10)+IF(G329='base para costos'!$G$11,'base para costos'!$H$11))</f>
        <v>0</v>
      </c>
      <c r="I329" s="93">
        <f>(C329/(('base para costos'!$J$3-D329)/100))</f>
        <v>1782.4845360824743</v>
      </c>
      <c r="J329" s="88">
        <f>(C329/(('base para costos'!$J$3-D329)/100-(0.08)))</f>
        <v>1942.7078651685392</v>
      </c>
      <c r="K329" s="112">
        <f t="shared" si="54"/>
        <v>30.954999999999998</v>
      </c>
      <c r="L329" s="84">
        <v>0</v>
      </c>
      <c r="M329" s="115"/>
      <c r="N329" s="111">
        <f t="shared" si="55"/>
        <v>2504.1784343544064</v>
      </c>
      <c r="O329" s="112" t="s">
        <v>153</v>
      </c>
      <c r="P329" s="116" t="s">
        <v>152</v>
      </c>
    </row>
    <row r="330" spans="1:16" x14ac:dyDescent="0.2">
      <c r="A330" s="116" t="s">
        <v>859</v>
      </c>
      <c r="B330" s="116" t="s">
        <v>860</v>
      </c>
      <c r="C330" s="98">
        <v>195.16</v>
      </c>
      <c r="D330" s="1">
        <v>3</v>
      </c>
      <c r="E330" s="116">
        <v>15.5</v>
      </c>
      <c r="F330" s="115">
        <f t="shared" si="57"/>
        <v>18.754999999999999</v>
      </c>
      <c r="G330" s="114" t="s">
        <v>903</v>
      </c>
      <c r="H330" s="113">
        <f>(IF(G330='base para costos'!$G$3,'base para costos'!$H$3)+IF(G330='base para costos'!$G$4,'base para costos'!$H$4)+IF(G330='base para costos'!$G$5,'base para costos'!$H$5)+IF(G330='base para costos'!$G$6,'base para costos'!$H$6)+IF(G330='base para costos'!$G$7,'base para costos'!$H$7)+IF(G330='base para costos'!$G$8,'base para costos'!$H$8)+IF(G330='base para costos'!$G$9,'base para costos'!$H$9)+IF(G330='base para costos'!$G$10,'base para costos'!$H$10)+IF(G330='base para costos'!$G$11,'base para costos'!$H$11))</f>
        <v>0</v>
      </c>
      <c r="I330" s="93">
        <f>(C330/(('base para costos'!$J$3-D330)/100))</f>
        <v>201.1958762886598</v>
      </c>
      <c r="J330" s="88">
        <f>(C330/(('base para costos'!$J$3-D330)/100-(0.08)))</f>
        <v>219.28089887640448</v>
      </c>
      <c r="K330" s="112">
        <f t="shared" si="54"/>
        <v>30.954999999999998</v>
      </c>
      <c r="L330" s="84">
        <v>0</v>
      </c>
      <c r="M330" s="115"/>
      <c r="N330" s="111">
        <f t="shared" si="55"/>
        <v>282.65623868491565</v>
      </c>
      <c r="O330" s="112" t="s">
        <v>230</v>
      </c>
      <c r="P330" s="116" t="s">
        <v>152</v>
      </c>
    </row>
    <row r="331" spans="1:16" x14ac:dyDescent="0.2">
      <c r="A331" s="116" t="s">
        <v>770</v>
      </c>
      <c r="B331" s="116" t="s">
        <v>771</v>
      </c>
      <c r="C331" s="98">
        <v>4810</v>
      </c>
      <c r="D331" s="1">
        <v>3</v>
      </c>
      <c r="E331" s="116">
        <v>15.5</v>
      </c>
      <c r="F331" s="115">
        <f t="shared" si="57"/>
        <v>18.754999999999999</v>
      </c>
      <c r="G331" s="114" t="s">
        <v>903</v>
      </c>
      <c r="H331" s="113">
        <f>(IF(G331='base para costos'!$G$3,'base para costos'!$H$3)+IF(G331='base para costos'!$G$4,'base para costos'!$H$4)+IF(G331='base para costos'!$G$5,'base para costos'!$H$5)+IF(G331='base para costos'!$G$6,'base para costos'!$H$6)+IF(G331='base para costos'!$G$7,'base para costos'!$H$7)+IF(G331='base para costos'!$G$8,'base para costos'!$H$8)+IF(G331='base para costos'!$G$9,'base para costos'!$H$9)+IF(G331='base para costos'!$G$10,'base para costos'!$H$10)+IF(G331='base para costos'!$G$11,'base para costos'!$H$11))</f>
        <v>0</v>
      </c>
      <c r="I331" s="93">
        <f>(C331/(('base para costos'!$J$3-D331)/100))</f>
        <v>4958.7628865979386</v>
      </c>
      <c r="J331" s="88">
        <f>(C331/(('base para costos'!$J$3-D331)/100-(0.08)))</f>
        <v>5404.4943820224717</v>
      </c>
      <c r="K331" s="112">
        <f t="shared" si="54"/>
        <v>30.954999999999998</v>
      </c>
      <c r="L331" s="84">
        <v>0</v>
      </c>
      <c r="M331" s="115"/>
      <c r="N331" s="111">
        <f t="shared" si="55"/>
        <v>6966.4711420088352</v>
      </c>
      <c r="O331" s="112" t="s">
        <v>168</v>
      </c>
      <c r="P331" s="116" t="s">
        <v>152</v>
      </c>
    </row>
    <row r="332" spans="1:16" x14ac:dyDescent="0.2">
      <c r="A332" s="116" t="s">
        <v>736</v>
      </c>
      <c r="B332" s="116" t="s">
        <v>737</v>
      </c>
      <c r="C332" s="98">
        <v>5980</v>
      </c>
      <c r="D332" s="1">
        <v>3</v>
      </c>
      <c r="E332" s="116">
        <v>15.5</v>
      </c>
      <c r="F332" s="115">
        <f t="shared" si="57"/>
        <v>18.754999999999999</v>
      </c>
      <c r="G332" s="114" t="s">
        <v>903</v>
      </c>
      <c r="H332" s="113">
        <f>(IF(G332='base para costos'!$G$3,'base para costos'!$H$3)+IF(G332='base para costos'!$G$4,'base para costos'!$H$4)+IF(G332='base para costos'!$G$5,'base para costos'!$H$5)+IF(G332='base para costos'!$G$6,'base para costos'!$H$6)+IF(G332='base para costos'!$G$7,'base para costos'!$H$7)+IF(G332='base para costos'!$G$8,'base para costos'!$H$8)+IF(G332='base para costos'!$G$9,'base para costos'!$H$9)+IF(G332='base para costos'!$G$10,'base para costos'!$H$10)+IF(G332='base para costos'!$G$11,'base para costos'!$H$11))</f>
        <v>0</v>
      </c>
      <c r="I332" s="93">
        <f>(C332/(('base para costos'!$J$3-D332)/100))</f>
        <v>6164.9484536082473</v>
      </c>
      <c r="J332" s="88">
        <f>(C332/(('base para costos'!$J$3-D332)/100-(0.08)))</f>
        <v>6719.1011235955057</v>
      </c>
      <c r="K332" s="112">
        <f t="shared" si="54"/>
        <v>30.954999999999998</v>
      </c>
      <c r="L332" s="84">
        <v>0</v>
      </c>
      <c r="M332" s="115"/>
      <c r="N332" s="111">
        <f t="shared" si="55"/>
        <v>8661.0181765515244</v>
      </c>
      <c r="O332" s="112" t="s">
        <v>153</v>
      </c>
      <c r="P332" s="116" t="s">
        <v>152</v>
      </c>
    </row>
    <row r="333" spans="1:16" x14ac:dyDescent="0.2">
      <c r="A333" s="116" t="s">
        <v>738</v>
      </c>
      <c r="B333" s="116" t="s">
        <v>739</v>
      </c>
      <c r="C333" s="98">
        <v>1950</v>
      </c>
      <c r="D333" s="1">
        <v>3</v>
      </c>
      <c r="E333" s="116">
        <v>15.5</v>
      </c>
      <c r="F333" s="115">
        <f t="shared" si="57"/>
        <v>18.754999999999999</v>
      </c>
      <c r="G333" s="114" t="s">
        <v>903</v>
      </c>
      <c r="H333" s="113">
        <f>(IF(G333='base para costos'!$G$3,'base para costos'!$H$3)+IF(G333='base para costos'!$G$4,'base para costos'!$H$4)+IF(G333='base para costos'!$G$5,'base para costos'!$H$5)+IF(G333='base para costos'!$G$6,'base para costos'!$H$6)+IF(G333='base para costos'!$G$7,'base para costos'!$H$7)+IF(G333='base para costos'!$G$8,'base para costos'!$H$8)+IF(G333='base para costos'!$G$9,'base para costos'!$H$9)+IF(G333='base para costos'!$G$10,'base para costos'!$H$10)+IF(G333='base para costos'!$G$11,'base para costos'!$H$11))</f>
        <v>0</v>
      </c>
      <c r="I333" s="93">
        <f>(C333/(('base para costos'!$J$3-D333)/100))</f>
        <v>2010.3092783505156</v>
      </c>
      <c r="J333" s="88">
        <f>(C333/(('base para costos'!$J$3-D333)/100-(0.08)))</f>
        <v>2191.0112359550562</v>
      </c>
      <c r="K333" s="112">
        <f t="shared" si="54"/>
        <v>30.954999999999998</v>
      </c>
      <c r="L333" s="84">
        <v>0</v>
      </c>
      <c r="M333" s="115"/>
      <c r="N333" s="111">
        <f t="shared" si="55"/>
        <v>2824.2450575711491</v>
      </c>
      <c r="O333" s="112" t="s">
        <v>230</v>
      </c>
      <c r="P333" s="116" t="s">
        <v>152</v>
      </c>
    </row>
    <row r="334" spans="1:16" x14ac:dyDescent="0.2">
      <c r="A334" s="116" t="s">
        <v>718</v>
      </c>
      <c r="B334" s="116" t="s">
        <v>719</v>
      </c>
      <c r="C334" s="98">
        <v>3250</v>
      </c>
      <c r="D334" s="1">
        <v>3</v>
      </c>
      <c r="E334" s="116">
        <v>15.5</v>
      </c>
      <c r="F334" s="115">
        <f t="shared" si="57"/>
        <v>18.754999999999999</v>
      </c>
      <c r="G334" s="114" t="s">
        <v>903</v>
      </c>
      <c r="H334" s="113">
        <f>(IF(G334='base para costos'!$G$3,'base para costos'!$H$3)+IF(G334='base para costos'!$G$4,'base para costos'!$H$4)+IF(G334='base para costos'!$G$5,'base para costos'!$H$5)+IF(G334='base para costos'!$G$6,'base para costos'!$H$6)+IF(G334='base para costos'!$G$7,'base para costos'!$H$7)+IF(G334='base para costos'!$G$8,'base para costos'!$H$8)+IF(G334='base para costos'!$G$9,'base para costos'!$H$9)+IF(G334='base para costos'!$G$10,'base para costos'!$H$10)+IF(G334='base para costos'!$G$11,'base para costos'!$H$11))</f>
        <v>0</v>
      </c>
      <c r="I334" s="93">
        <f>(C334/(('base para costos'!$J$3-D334)/100))</f>
        <v>3350.5154639175257</v>
      </c>
      <c r="J334" s="88">
        <f>(C334/(('base para costos'!$J$3-D334)/100-(0.08)))</f>
        <v>3651.6853932584268</v>
      </c>
      <c r="K334" s="112">
        <f t="shared" ref="K334:K370" si="58">(D334+8+1.2)+(F334+H334)</f>
        <v>30.954999999999998</v>
      </c>
      <c r="L334" s="84">
        <v>0</v>
      </c>
      <c r="M334" s="115"/>
      <c r="N334" s="111">
        <f t="shared" ref="N334:N370" si="59">C334/((100-K334)/100)+L334</f>
        <v>4707.0750959519155</v>
      </c>
      <c r="O334" s="112" t="s">
        <v>168</v>
      </c>
      <c r="P334" s="116" t="s">
        <v>152</v>
      </c>
    </row>
    <row r="335" spans="1:16" x14ac:dyDescent="0.2">
      <c r="A335" s="116" t="s">
        <v>331</v>
      </c>
      <c r="B335" s="116" t="s">
        <v>332</v>
      </c>
      <c r="C335" s="98">
        <v>3639.99</v>
      </c>
      <c r="D335" s="1">
        <v>3</v>
      </c>
      <c r="E335" s="116">
        <v>15.5</v>
      </c>
      <c r="F335" s="115">
        <f t="shared" si="57"/>
        <v>18.754999999999999</v>
      </c>
      <c r="G335" s="114" t="s">
        <v>903</v>
      </c>
      <c r="H335" s="113">
        <f t="shared" ref="H335:H344" si="60">(IF(G335=$G$3,$H$3)+IF(G335=$G$4,$H$4)+IF(G335=$G$5,$H$5)+IF(G335=$G$6,$H$6)+IF(G335=$G$7,$H$7)+IF(G335=$G$8,$H$8)+IF(G335=$G$9,$H$9)+IF(G335=$G$10,$H$10)+IF(G335=$G$11,$H$11))</f>
        <v>0</v>
      </c>
      <c r="I335" s="93">
        <f t="shared" ref="I335:I344" si="61">(C335/(($J$3-D335)/100))</f>
        <v>3752.5670103092784</v>
      </c>
      <c r="J335" s="88">
        <f t="shared" ref="J335:J344" si="62">(C335/(($J$3-D335)/100-(0.08)))</f>
        <v>4089.8764044943819</v>
      </c>
      <c r="K335" s="112">
        <f t="shared" si="58"/>
        <v>30.954999999999998</v>
      </c>
      <c r="L335" s="84">
        <v>0</v>
      </c>
      <c r="M335" s="115"/>
      <c r="N335" s="111">
        <f t="shared" si="59"/>
        <v>5271.9096241581574</v>
      </c>
      <c r="O335" s="112" t="s">
        <v>168</v>
      </c>
      <c r="P335" s="116" t="s">
        <v>152</v>
      </c>
    </row>
    <row r="336" spans="1:16" x14ac:dyDescent="0.2">
      <c r="A336" s="116" t="s">
        <v>333</v>
      </c>
      <c r="B336" s="116" t="s">
        <v>334</v>
      </c>
      <c r="C336" s="98">
        <v>3250</v>
      </c>
      <c r="D336" s="1">
        <v>3</v>
      </c>
      <c r="E336" s="116">
        <v>15.5</v>
      </c>
      <c r="F336" s="115">
        <f t="shared" si="57"/>
        <v>18.754999999999999</v>
      </c>
      <c r="G336" s="114" t="s">
        <v>903</v>
      </c>
      <c r="H336" s="113">
        <f t="shared" si="60"/>
        <v>0</v>
      </c>
      <c r="I336" s="93">
        <f t="shared" si="61"/>
        <v>3350.5154639175257</v>
      </c>
      <c r="J336" s="88">
        <f t="shared" si="62"/>
        <v>3651.6853932584268</v>
      </c>
      <c r="K336" s="112">
        <f t="shared" si="58"/>
        <v>30.954999999999998</v>
      </c>
      <c r="L336" s="84">
        <v>0</v>
      </c>
      <c r="M336" s="115"/>
      <c r="N336" s="111">
        <f t="shared" si="59"/>
        <v>4707.0750959519155</v>
      </c>
      <c r="O336" s="112" t="s">
        <v>168</v>
      </c>
      <c r="P336" s="116" t="s">
        <v>152</v>
      </c>
    </row>
    <row r="337" spans="1:16" x14ac:dyDescent="0.2">
      <c r="A337" s="116" t="s">
        <v>886</v>
      </c>
      <c r="B337" s="116" t="s">
        <v>887</v>
      </c>
      <c r="C337" s="98">
        <v>153.62</v>
      </c>
      <c r="D337" s="1">
        <v>3</v>
      </c>
      <c r="E337" s="116">
        <v>15.5</v>
      </c>
      <c r="F337" s="115">
        <f t="shared" si="57"/>
        <v>18.754999999999999</v>
      </c>
      <c r="G337" s="114" t="s">
        <v>903</v>
      </c>
      <c r="H337" s="113">
        <f t="shared" si="60"/>
        <v>0</v>
      </c>
      <c r="I337" s="93">
        <f t="shared" si="61"/>
        <v>158.37113402061857</v>
      </c>
      <c r="J337" s="88">
        <f t="shared" si="62"/>
        <v>172.6067415730337</v>
      </c>
      <c r="K337" s="112">
        <f t="shared" si="58"/>
        <v>30.954999999999998</v>
      </c>
      <c r="L337" s="84">
        <v>0</v>
      </c>
      <c r="M337" s="115"/>
      <c r="N337" s="111">
        <f t="shared" si="59"/>
        <v>222.49257730465638</v>
      </c>
      <c r="O337" s="112" t="s">
        <v>153</v>
      </c>
      <c r="P337" s="116" t="s">
        <v>152</v>
      </c>
    </row>
    <row r="338" spans="1:16" x14ac:dyDescent="0.2">
      <c r="A338" s="116" t="s">
        <v>284</v>
      </c>
      <c r="B338" s="116" t="s">
        <v>285</v>
      </c>
      <c r="C338" s="98">
        <v>5525.01</v>
      </c>
      <c r="D338" s="1">
        <v>3</v>
      </c>
      <c r="E338" s="116">
        <v>15.5</v>
      </c>
      <c r="F338" s="115">
        <f t="shared" si="57"/>
        <v>18.754999999999999</v>
      </c>
      <c r="G338" s="114" t="s">
        <v>903</v>
      </c>
      <c r="H338" s="113">
        <f t="shared" si="60"/>
        <v>0</v>
      </c>
      <c r="I338" s="93">
        <f t="shared" si="61"/>
        <v>5695.8865979381444</v>
      </c>
      <c r="J338" s="88">
        <f t="shared" si="62"/>
        <v>6207.8764044943819</v>
      </c>
      <c r="K338" s="112">
        <f t="shared" si="58"/>
        <v>30.954999999999998</v>
      </c>
      <c r="L338" s="84">
        <v>0</v>
      </c>
      <c r="M338" s="115"/>
      <c r="N338" s="111">
        <f t="shared" si="59"/>
        <v>8002.0421464262436</v>
      </c>
      <c r="O338" s="112" t="s">
        <v>153</v>
      </c>
      <c r="P338" s="116" t="s">
        <v>152</v>
      </c>
    </row>
    <row r="339" spans="1:16" x14ac:dyDescent="0.2">
      <c r="A339" s="116" t="s">
        <v>286</v>
      </c>
      <c r="B339" s="116" t="s">
        <v>287</v>
      </c>
      <c r="C339" s="98">
        <v>9295</v>
      </c>
      <c r="D339" s="1">
        <v>3</v>
      </c>
      <c r="E339" s="116">
        <v>15.5</v>
      </c>
      <c r="F339" s="115">
        <f t="shared" si="57"/>
        <v>18.754999999999999</v>
      </c>
      <c r="G339" s="114" t="s">
        <v>903</v>
      </c>
      <c r="H339" s="113">
        <f t="shared" si="60"/>
        <v>0</v>
      </c>
      <c r="I339" s="93">
        <f t="shared" si="61"/>
        <v>9582.4742268041246</v>
      </c>
      <c r="J339" s="88">
        <f t="shared" si="62"/>
        <v>10443.8202247191</v>
      </c>
      <c r="K339" s="112">
        <f t="shared" si="58"/>
        <v>30.954999999999998</v>
      </c>
      <c r="L339" s="84">
        <v>2000</v>
      </c>
      <c r="M339" s="115"/>
      <c r="N339" s="111">
        <f t="shared" si="59"/>
        <v>15462.234774422477</v>
      </c>
      <c r="O339" s="112" t="s">
        <v>153</v>
      </c>
      <c r="P339" s="116" t="s">
        <v>152</v>
      </c>
    </row>
    <row r="340" spans="1:16" x14ac:dyDescent="0.2">
      <c r="A340" s="116" t="s">
        <v>247</v>
      </c>
      <c r="B340" s="116" t="s">
        <v>248</v>
      </c>
      <c r="C340" s="98">
        <v>2730</v>
      </c>
      <c r="D340" s="1">
        <v>3</v>
      </c>
      <c r="E340" s="116">
        <v>15.5</v>
      </c>
      <c r="F340" s="115">
        <f t="shared" si="57"/>
        <v>18.754999999999999</v>
      </c>
      <c r="G340" s="114" t="s">
        <v>903</v>
      </c>
      <c r="H340" s="113">
        <f t="shared" si="60"/>
        <v>0</v>
      </c>
      <c r="I340" s="93">
        <f t="shared" si="61"/>
        <v>2814.4329896907216</v>
      </c>
      <c r="J340" s="88">
        <f t="shared" si="62"/>
        <v>3067.4157303370785</v>
      </c>
      <c r="K340" s="112">
        <f t="shared" si="58"/>
        <v>30.954999999999998</v>
      </c>
      <c r="L340" s="84">
        <v>0</v>
      </c>
      <c r="M340" s="115"/>
      <c r="N340" s="111">
        <f t="shared" si="59"/>
        <v>3953.9430805996089</v>
      </c>
      <c r="O340" s="112" t="s">
        <v>168</v>
      </c>
      <c r="P340" s="116" t="s">
        <v>152</v>
      </c>
    </row>
    <row r="341" spans="1:16" x14ac:dyDescent="0.2">
      <c r="A341" s="116" t="s">
        <v>184</v>
      </c>
      <c r="B341" s="116" t="s">
        <v>185</v>
      </c>
      <c r="C341" s="98">
        <v>2954.55</v>
      </c>
      <c r="D341" s="1">
        <v>10</v>
      </c>
      <c r="E341" s="116">
        <v>15.5</v>
      </c>
      <c r="F341" s="115">
        <f t="shared" si="57"/>
        <v>18.754999999999999</v>
      </c>
      <c r="G341" s="114" t="s">
        <v>1300</v>
      </c>
      <c r="H341" s="113">
        <f t="shared" si="60"/>
        <v>0</v>
      </c>
      <c r="I341" s="93">
        <f t="shared" si="61"/>
        <v>3282.8333333333335</v>
      </c>
      <c r="J341" s="88">
        <f t="shared" si="62"/>
        <v>3603.1097560975609</v>
      </c>
      <c r="K341" s="112">
        <f t="shared" si="58"/>
        <v>37.954999999999998</v>
      </c>
      <c r="L341" s="84">
        <v>1000</v>
      </c>
      <c r="M341" s="115"/>
      <c r="N341" s="111">
        <f t="shared" si="59"/>
        <v>5761.9469739705055</v>
      </c>
      <c r="O341" s="112" t="s">
        <v>168</v>
      </c>
      <c r="P341" s="116" t="s">
        <v>152</v>
      </c>
    </row>
    <row r="342" spans="1:16" x14ac:dyDescent="0.2">
      <c r="A342" s="116" t="s">
        <v>166</v>
      </c>
      <c r="B342" s="116" t="s">
        <v>167</v>
      </c>
      <c r="C342" s="98">
        <v>390</v>
      </c>
      <c r="D342" s="1">
        <v>3</v>
      </c>
      <c r="E342" s="116">
        <v>15.5</v>
      </c>
      <c r="F342" s="115">
        <f t="shared" si="57"/>
        <v>18.754999999999999</v>
      </c>
      <c r="G342" s="114" t="s">
        <v>903</v>
      </c>
      <c r="H342" s="113">
        <f t="shared" si="60"/>
        <v>0</v>
      </c>
      <c r="I342" s="93">
        <f t="shared" si="61"/>
        <v>402.06185567010311</v>
      </c>
      <c r="J342" s="88">
        <f t="shared" si="62"/>
        <v>438.20224719101122</v>
      </c>
      <c r="K342" s="112">
        <f t="shared" si="58"/>
        <v>30.954999999999998</v>
      </c>
      <c r="L342" s="84">
        <v>0</v>
      </c>
      <c r="M342" s="115"/>
      <c r="N342" s="111">
        <f t="shared" si="59"/>
        <v>564.8490115142298</v>
      </c>
      <c r="O342" s="112" t="s">
        <v>168</v>
      </c>
      <c r="P342" s="116" t="s">
        <v>152</v>
      </c>
    </row>
    <row r="343" spans="1:16" x14ac:dyDescent="0.2">
      <c r="A343" s="116" t="s">
        <v>150</v>
      </c>
      <c r="B343" s="116" t="s">
        <v>151</v>
      </c>
      <c r="C343" s="98">
        <v>2339.35</v>
      </c>
      <c r="D343" s="1">
        <v>3</v>
      </c>
      <c r="E343" s="116">
        <v>15.5</v>
      </c>
      <c r="F343" s="115">
        <f t="shared" si="57"/>
        <v>18.754999999999999</v>
      </c>
      <c r="G343" s="114" t="s">
        <v>903</v>
      </c>
      <c r="H343" s="113">
        <f t="shared" si="60"/>
        <v>0</v>
      </c>
      <c r="I343" s="93">
        <f t="shared" si="61"/>
        <v>2411.7010309278348</v>
      </c>
      <c r="J343" s="88">
        <f t="shared" si="62"/>
        <v>2628.4831460674154</v>
      </c>
      <c r="K343" s="112">
        <f t="shared" si="58"/>
        <v>30.954999999999998</v>
      </c>
      <c r="L343" s="84">
        <v>1000</v>
      </c>
      <c r="M343" s="115"/>
      <c r="N343" s="111">
        <f t="shared" si="59"/>
        <v>4388.1526540661889</v>
      </c>
      <c r="O343" s="112" t="s">
        <v>153</v>
      </c>
      <c r="P343" s="116" t="s">
        <v>152</v>
      </c>
    </row>
    <row r="344" spans="1:16" x14ac:dyDescent="0.2">
      <c r="A344" s="116" t="s">
        <v>882</v>
      </c>
      <c r="B344" s="116" t="s">
        <v>883</v>
      </c>
      <c r="C344" s="98">
        <v>199.71</v>
      </c>
      <c r="D344" s="1">
        <v>3</v>
      </c>
      <c r="E344" s="116">
        <v>15.5</v>
      </c>
      <c r="F344" s="115">
        <f t="shared" si="57"/>
        <v>18.754999999999999</v>
      </c>
      <c r="G344" s="114" t="s">
        <v>903</v>
      </c>
      <c r="H344" s="113">
        <f t="shared" si="60"/>
        <v>0</v>
      </c>
      <c r="I344" s="93">
        <f t="shared" si="61"/>
        <v>205.88659793814435</v>
      </c>
      <c r="J344" s="88">
        <f t="shared" si="62"/>
        <v>224.3932584269663</v>
      </c>
      <c r="K344" s="112">
        <f t="shared" si="58"/>
        <v>30.954999999999998</v>
      </c>
      <c r="L344" s="84">
        <v>0</v>
      </c>
      <c r="M344" s="115"/>
      <c r="N344" s="111">
        <f t="shared" si="59"/>
        <v>289.24614381924835</v>
      </c>
      <c r="O344" s="112" t="s">
        <v>153</v>
      </c>
      <c r="P344" s="116" t="s">
        <v>152</v>
      </c>
    </row>
    <row r="345" spans="1:16" x14ac:dyDescent="0.2">
      <c r="A345" s="116" t="s">
        <v>412</v>
      </c>
      <c r="B345" s="116" t="s">
        <v>413</v>
      </c>
      <c r="C345" s="98">
        <v>780</v>
      </c>
      <c r="D345" s="1">
        <v>3</v>
      </c>
      <c r="E345" s="116">
        <v>15.5</v>
      </c>
      <c r="F345" s="115">
        <f t="shared" si="57"/>
        <v>18.754999999999999</v>
      </c>
      <c r="G345" s="114" t="s">
        <v>903</v>
      </c>
      <c r="H345" s="113">
        <f>(IF(G345='base para costos'!$G$3,'base para costos'!$H$3)+IF(G345='base para costos'!$G$4,'base para costos'!$H$4)+IF(G345='base para costos'!$G$5,'base para costos'!$H$5)+IF(G345='base para costos'!$G$6,'base para costos'!$H$6)+IF(G345='base para costos'!$G$7,'base para costos'!$H$7)+IF(G345='base para costos'!$G$8,'base para costos'!$H$8)+IF(G345='base para costos'!$G$9,'base para costos'!$H$9)+IF(G345='base para costos'!$G$10,'base para costos'!$H$10)+IF(G345='base para costos'!$G$11,'base para costos'!$H$11))</f>
        <v>0</v>
      </c>
      <c r="I345" s="93">
        <f>(C345/(('base para costos'!$J$3-D345)/100))</f>
        <v>804.12371134020623</v>
      </c>
      <c r="J345" s="88">
        <f>(C345/(('base para costos'!$J$3-D345)/100-(0.08)))</f>
        <v>876.40449438202245</v>
      </c>
      <c r="K345" s="112">
        <f t="shared" si="58"/>
        <v>30.954999999999998</v>
      </c>
      <c r="L345" s="84">
        <v>1000</v>
      </c>
      <c r="M345" s="115"/>
      <c r="N345" s="111">
        <f t="shared" si="59"/>
        <v>2129.6980230284598</v>
      </c>
      <c r="O345" s="112" t="s">
        <v>168</v>
      </c>
      <c r="P345" s="116" t="s">
        <v>152</v>
      </c>
    </row>
    <row r="346" spans="1:16" x14ac:dyDescent="0.2">
      <c r="A346" s="116" t="s">
        <v>392</v>
      </c>
      <c r="B346" s="116" t="s">
        <v>393</v>
      </c>
      <c r="C346" s="98">
        <v>2080</v>
      </c>
      <c r="D346" s="1">
        <v>3</v>
      </c>
      <c r="E346" s="116">
        <v>15.5</v>
      </c>
      <c r="F346" s="115">
        <f t="shared" si="57"/>
        <v>18.754999999999999</v>
      </c>
      <c r="G346" s="114" t="s">
        <v>903</v>
      </c>
      <c r="H346" s="113">
        <f>(IF(G346='base para costos'!$G$3,'base para costos'!$H$3)+IF(G346='base para costos'!$G$4,'base para costos'!$H$4)+IF(G346='base para costos'!$G$5,'base para costos'!$H$5)+IF(G346='base para costos'!$G$6,'base para costos'!$H$6)+IF(G346='base para costos'!$G$7,'base para costos'!$H$7)+IF(G346='base para costos'!$G$8,'base para costos'!$H$8)+IF(G346='base para costos'!$G$9,'base para costos'!$H$9)+IF(G346='base para costos'!$G$10,'base para costos'!$H$10)+IF(G346='base para costos'!$G$11,'base para costos'!$H$11))</f>
        <v>0</v>
      </c>
      <c r="I346" s="93">
        <f>(C346/(('base para costos'!$J$3-D346)/100))</f>
        <v>2144.3298969072166</v>
      </c>
      <c r="J346" s="88">
        <f>(C346/(('base para costos'!$J$3-D346)/100-(0.08)))</f>
        <v>2337.0786516853932</v>
      </c>
      <c r="K346" s="112">
        <f t="shared" si="58"/>
        <v>30.954999999999998</v>
      </c>
      <c r="L346" s="84">
        <v>0</v>
      </c>
      <c r="M346" s="115"/>
      <c r="N346" s="111">
        <f t="shared" si="59"/>
        <v>3012.5280614092258</v>
      </c>
      <c r="O346" s="112" t="s">
        <v>168</v>
      </c>
      <c r="P346" s="116" t="s">
        <v>152</v>
      </c>
    </row>
    <row r="347" spans="1:16" x14ac:dyDescent="0.2">
      <c r="A347" s="116" t="s">
        <v>491</v>
      </c>
      <c r="B347" s="116" t="s">
        <v>492</v>
      </c>
      <c r="C347" s="98">
        <v>5200</v>
      </c>
      <c r="D347" s="1">
        <v>3</v>
      </c>
      <c r="E347" s="116">
        <v>15.5</v>
      </c>
      <c r="F347" s="115">
        <f t="shared" ref="F347:F370" si="63">E347*1.21</f>
        <v>18.754999999999999</v>
      </c>
      <c r="G347" s="114" t="s">
        <v>903</v>
      </c>
      <c r="H347" s="113">
        <f>(IF(G347='base para costos'!$G$3,'base para costos'!$H$3)+IF(G347='base para costos'!$G$4,'base para costos'!$H$4)+IF(G347='base para costos'!$G$5,'base para costos'!$H$5)+IF(G347='base para costos'!$G$6,'base para costos'!$H$6)+IF(G347='base para costos'!$G$7,'base para costos'!$H$7)+IF(G347='base para costos'!$G$8,'base para costos'!$H$8)+IF(G347='base para costos'!$G$9,'base para costos'!$H$9)+IF(G347='base para costos'!$G$10,'base para costos'!$H$10)+IF(G347='base para costos'!$G$11,'base para costos'!$H$11))</f>
        <v>0</v>
      </c>
      <c r="I347" s="93">
        <f>(C347/(('base para costos'!$J$3-D347)/100))</f>
        <v>5360.8247422680415</v>
      </c>
      <c r="J347" s="88">
        <f>(C347/(('base para costos'!$J$3-D347)/100-(0.08)))</f>
        <v>5842.696629213483</v>
      </c>
      <c r="K347" s="112">
        <f t="shared" si="58"/>
        <v>30.954999999999998</v>
      </c>
      <c r="L347" s="84">
        <v>0</v>
      </c>
      <c r="M347" s="115"/>
      <c r="N347" s="111">
        <f t="shared" si="59"/>
        <v>7531.3201535230646</v>
      </c>
      <c r="O347" s="112" t="s">
        <v>153</v>
      </c>
      <c r="P347" s="116" t="s">
        <v>152</v>
      </c>
    </row>
    <row r="348" spans="1:16" x14ac:dyDescent="0.2">
      <c r="A348" s="116" t="s">
        <v>448</v>
      </c>
      <c r="B348" s="116" t="s">
        <v>449</v>
      </c>
      <c r="C348" s="98">
        <v>3835</v>
      </c>
      <c r="D348" s="1">
        <v>3</v>
      </c>
      <c r="E348" s="116">
        <v>15.5</v>
      </c>
      <c r="F348" s="115">
        <f t="shared" si="63"/>
        <v>18.754999999999999</v>
      </c>
      <c r="G348" s="114" t="s">
        <v>903</v>
      </c>
      <c r="H348" s="113">
        <f>(IF(G348='base para costos'!$G$3,'base para costos'!$H$3)+IF(G348='base para costos'!$G$4,'base para costos'!$H$4)+IF(G348='base para costos'!$G$5,'base para costos'!$H$5)+IF(G348='base para costos'!$G$6,'base para costos'!$H$6)+IF(G348='base para costos'!$G$7,'base para costos'!$H$7)+IF(G348='base para costos'!$G$8,'base para costos'!$H$8)+IF(G348='base para costos'!$G$9,'base para costos'!$H$9)+IF(G348='base para costos'!$G$10,'base para costos'!$H$10)+IF(G348='base para costos'!$G$11,'base para costos'!$H$11))</f>
        <v>0</v>
      </c>
      <c r="I348" s="93">
        <f>(C348/(('base para costos'!$J$3-D348)/100))</f>
        <v>3953.6082474226805</v>
      </c>
      <c r="J348" s="88">
        <f>(C348/(('base para costos'!$J$3-D348)/100-(0.08)))</f>
        <v>4308.9887640449433</v>
      </c>
      <c r="K348" s="112">
        <f t="shared" si="58"/>
        <v>30.954999999999998</v>
      </c>
      <c r="L348" s="84">
        <v>0</v>
      </c>
      <c r="M348" s="115"/>
      <c r="N348" s="111">
        <f t="shared" si="59"/>
        <v>5554.3486132232601</v>
      </c>
      <c r="O348" s="112" t="s">
        <v>168</v>
      </c>
      <c r="P348" s="116" t="s">
        <v>152</v>
      </c>
    </row>
    <row r="349" spans="1:16" x14ac:dyDescent="0.2">
      <c r="A349" s="116" t="s">
        <v>429</v>
      </c>
      <c r="B349" s="116" t="s">
        <v>430</v>
      </c>
      <c r="C349" s="98">
        <v>1950</v>
      </c>
      <c r="D349" s="1">
        <v>3</v>
      </c>
      <c r="E349" s="116">
        <v>15.5</v>
      </c>
      <c r="F349" s="115">
        <f t="shared" si="63"/>
        <v>18.754999999999999</v>
      </c>
      <c r="G349" s="114" t="s">
        <v>903</v>
      </c>
      <c r="H349" s="113">
        <f>(IF(G349='base para costos'!$G$3,'base para costos'!$H$3)+IF(G349='base para costos'!$G$4,'base para costos'!$H$4)+IF(G349='base para costos'!$G$5,'base para costos'!$H$5)+IF(G349='base para costos'!$G$6,'base para costos'!$H$6)+IF(G349='base para costos'!$G$7,'base para costos'!$H$7)+IF(G349='base para costos'!$G$8,'base para costos'!$H$8)+IF(G349='base para costos'!$G$9,'base para costos'!$H$9)+IF(G349='base para costos'!$G$10,'base para costos'!$H$10)+IF(G349='base para costos'!$G$11,'base para costos'!$H$11))</f>
        <v>0</v>
      </c>
      <c r="I349" s="93">
        <f>(C349/(('base para costos'!$J$3-D349)/100))</f>
        <v>2010.3092783505156</v>
      </c>
      <c r="J349" s="88">
        <f>(C349/(('base para costos'!$J$3-D349)/100-(0.08)))</f>
        <v>2191.0112359550562</v>
      </c>
      <c r="K349" s="112">
        <f t="shared" si="58"/>
        <v>30.954999999999998</v>
      </c>
      <c r="L349" s="84">
        <v>0</v>
      </c>
      <c r="M349" s="115"/>
      <c r="N349" s="111">
        <f t="shared" si="59"/>
        <v>2824.2450575711491</v>
      </c>
      <c r="O349" s="112" t="s">
        <v>153</v>
      </c>
      <c r="P349" s="116" t="s">
        <v>152</v>
      </c>
    </row>
    <row r="350" spans="1:16" x14ac:dyDescent="0.2">
      <c r="A350" s="116" t="s">
        <v>497</v>
      </c>
      <c r="B350" s="116" t="s">
        <v>498</v>
      </c>
      <c r="C350" s="98">
        <v>1235</v>
      </c>
      <c r="D350" s="1">
        <v>3</v>
      </c>
      <c r="E350" s="116">
        <v>15.5</v>
      </c>
      <c r="F350" s="115">
        <f t="shared" si="63"/>
        <v>18.754999999999999</v>
      </c>
      <c r="G350" s="114" t="s">
        <v>903</v>
      </c>
      <c r="H350" s="113">
        <f>(IF(G350='base para costos'!$G$3,'base para costos'!$H$3)+IF(G350='base para costos'!$G$4,'base para costos'!$H$4)+IF(G350='base para costos'!$G$5,'base para costos'!$H$5)+IF(G350='base para costos'!$G$6,'base para costos'!$H$6)+IF(G350='base para costos'!$G$7,'base para costos'!$H$7)+IF(G350='base para costos'!$G$8,'base para costos'!$H$8)+IF(G350='base para costos'!$G$9,'base para costos'!$H$9)+IF(G350='base para costos'!$G$10,'base para costos'!$H$10)+IF(G350='base para costos'!$G$11,'base para costos'!$H$11))</f>
        <v>0</v>
      </c>
      <c r="I350" s="93">
        <f>(C350/(('base para costos'!$J$3-D350)/100))</f>
        <v>1273.1958762886597</v>
      </c>
      <c r="J350" s="88">
        <f>(C350/(('base para costos'!$J$3-D350)/100-(0.08)))</f>
        <v>1387.6404494382023</v>
      </c>
      <c r="K350" s="112">
        <f t="shared" si="58"/>
        <v>30.954999999999998</v>
      </c>
      <c r="L350" s="84">
        <v>0</v>
      </c>
      <c r="M350" s="115"/>
      <c r="N350" s="111">
        <f t="shared" si="59"/>
        <v>1788.6885364617278</v>
      </c>
      <c r="O350" s="112" t="s">
        <v>168</v>
      </c>
      <c r="P350" s="116" t="s">
        <v>152</v>
      </c>
    </row>
    <row r="351" spans="1:16" x14ac:dyDescent="0.2">
      <c r="A351" s="116" t="s">
        <v>499</v>
      </c>
      <c r="B351" s="116" t="s">
        <v>500</v>
      </c>
      <c r="C351" s="98">
        <v>2145</v>
      </c>
      <c r="D351" s="1">
        <v>3</v>
      </c>
      <c r="E351" s="116">
        <v>15.5</v>
      </c>
      <c r="F351" s="115">
        <f t="shared" si="63"/>
        <v>18.754999999999999</v>
      </c>
      <c r="G351" s="114" t="s">
        <v>903</v>
      </c>
      <c r="H351" s="113">
        <f>(IF(G351='base para costos'!$G$3,'base para costos'!$H$3)+IF(G351='base para costos'!$G$4,'base para costos'!$H$4)+IF(G351='base para costos'!$G$5,'base para costos'!$H$5)+IF(G351='base para costos'!$G$6,'base para costos'!$H$6)+IF(G351='base para costos'!$G$7,'base para costos'!$H$7)+IF(G351='base para costos'!$G$8,'base para costos'!$H$8)+IF(G351='base para costos'!$G$9,'base para costos'!$H$9)+IF(G351='base para costos'!$G$10,'base para costos'!$H$10)+IF(G351='base para costos'!$G$11,'base para costos'!$H$11))</f>
        <v>0</v>
      </c>
      <c r="I351" s="93">
        <f>(C351/(('base para costos'!$J$3-D351)/100))</f>
        <v>2211.3402061855672</v>
      </c>
      <c r="J351" s="88">
        <f>(C351/(('base para costos'!$J$3-D351)/100-(0.08)))</f>
        <v>2410.1123595505619</v>
      </c>
      <c r="K351" s="112">
        <f t="shared" si="58"/>
        <v>30.954999999999998</v>
      </c>
      <c r="L351" s="84">
        <v>0</v>
      </c>
      <c r="M351" s="115"/>
      <c r="N351" s="111">
        <f t="shared" si="59"/>
        <v>3106.6695633282643</v>
      </c>
      <c r="O351" s="112" t="s">
        <v>168</v>
      </c>
      <c r="P351" s="116" t="s">
        <v>152</v>
      </c>
    </row>
    <row r="352" spans="1:16" x14ac:dyDescent="0.2">
      <c r="A352" s="116" t="s">
        <v>523</v>
      </c>
      <c r="B352" s="116" t="s">
        <v>524</v>
      </c>
      <c r="C352" s="98">
        <v>4451.2</v>
      </c>
      <c r="D352" s="1">
        <v>3</v>
      </c>
      <c r="E352" s="116">
        <v>15.5</v>
      </c>
      <c r="F352" s="115">
        <f t="shared" si="63"/>
        <v>18.754999999999999</v>
      </c>
      <c r="G352" s="114" t="s">
        <v>903</v>
      </c>
      <c r="H352" s="113">
        <f>(IF(G352='base para costos'!$G$3,'base para costos'!$H$3)+IF(G352='base para costos'!$G$4,'base para costos'!$H$4)+IF(G352='base para costos'!$G$5,'base para costos'!$H$5)+IF(G352='base para costos'!$G$6,'base para costos'!$H$6)+IF(G352='base para costos'!$G$7,'base para costos'!$H$7)+IF(G352='base para costos'!$G$8,'base para costos'!$H$8)+IF(G352='base para costos'!$G$9,'base para costos'!$H$9)+IF(G352='base para costos'!$G$10,'base para costos'!$H$10)+IF(G352='base para costos'!$G$11,'base para costos'!$H$11))</f>
        <v>0</v>
      </c>
      <c r="I352" s="93">
        <f>(C352/(('base para costos'!$J$3-D352)/100))</f>
        <v>4588.8659793814431</v>
      </c>
      <c r="J352" s="88">
        <f>(C352/(('base para costos'!$J$3-D352)/100-(0.08)))</f>
        <v>5001.348314606741</v>
      </c>
      <c r="K352" s="112">
        <f t="shared" si="58"/>
        <v>30.954999999999998</v>
      </c>
      <c r="L352" s="84">
        <v>0</v>
      </c>
      <c r="M352" s="115"/>
      <c r="N352" s="111">
        <f t="shared" si="59"/>
        <v>6446.8100514157431</v>
      </c>
      <c r="O352" s="112" t="s">
        <v>153</v>
      </c>
      <c r="P352" s="116" t="s">
        <v>152</v>
      </c>
    </row>
    <row r="353" spans="1:16" x14ac:dyDescent="0.2">
      <c r="A353" s="116" t="s">
        <v>506</v>
      </c>
      <c r="B353" s="116" t="s">
        <v>507</v>
      </c>
      <c r="C353" s="98">
        <v>1310.4100000000001</v>
      </c>
      <c r="D353" s="1">
        <v>3</v>
      </c>
      <c r="E353" s="116">
        <v>16.5</v>
      </c>
      <c r="F353" s="115">
        <f t="shared" si="63"/>
        <v>19.965</v>
      </c>
      <c r="G353" s="114" t="s">
        <v>903</v>
      </c>
      <c r="H353" s="113">
        <f>(IF(G353='base para costos'!$G$3,'base para costos'!$H$3)+IF(G353='base para costos'!$G$4,'base para costos'!$H$4)+IF(G353='base para costos'!$G$5,'base para costos'!$H$5)+IF(G353='base para costos'!$G$6,'base para costos'!$H$6)+IF(G353='base para costos'!$G$7,'base para costos'!$H$7)+IF(G353='base para costos'!$G$8,'base para costos'!$H$8)+IF(G353='base para costos'!$G$9,'base para costos'!$H$9)+IF(G353='base para costos'!$G$10,'base para costos'!$H$10)+IF(G353='base para costos'!$G$11,'base para costos'!$H$11))</f>
        <v>0</v>
      </c>
      <c r="I353" s="93">
        <f>(C353/(('base para costos'!$J$3-D353)/100))</f>
        <v>1350.9381443298971</v>
      </c>
      <c r="J353" s="88">
        <f>(C353/(('base para costos'!$J$3-D353)/100-(0.08)))</f>
        <v>1472.370786516854</v>
      </c>
      <c r="K353" s="112">
        <f t="shared" si="58"/>
        <v>32.164999999999999</v>
      </c>
      <c r="L353" s="84">
        <v>0</v>
      </c>
      <c r="M353" s="115"/>
      <c r="N353" s="111">
        <f t="shared" si="59"/>
        <v>1931.7608903958132</v>
      </c>
      <c r="O353" s="112" t="s">
        <v>153</v>
      </c>
      <c r="P353" s="116" t="s">
        <v>508</v>
      </c>
    </row>
    <row r="354" spans="1:16" x14ac:dyDescent="0.2">
      <c r="A354" s="116" t="s">
        <v>531</v>
      </c>
      <c r="B354" s="116" t="s">
        <v>532</v>
      </c>
      <c r="C354" s="98">
        <v>2640.95</v>
      </c>
      <c r="D354" s="1">
        <v>3</v>
      </c>
      <c r="E354" s="116">
        <v>15.5</v>
      </c>
      <c r="F354" s="115">
        <f t="shared" si="63"/>
        <v>18.754999999999999</v>
      </c>
      <c r="G354" s="114" t="s">
        <v>902</v>
      </c>
      <c r="H354" s="113">
        <f>(IF(G354='base para costos'!$G$3,'base para costos'!$H$3)+IF(G354='base para costos'!$G$4,'base para costos'!$H$4)+IF(G354='base para costos'!$G$5,'base para costos'!$H$5)+IF(G354='base para costos'!$G$6,'base para costos'!$H$6)+IF(G354='base para costos'!$G$7,'base para costos'!$H$7)+IF(G354='base para costos'!$G$8,'base para costos'!$H$8)+IF(G354='base para costos'!$G$9,'base para costos'!$H$9)+IF(G354='base para costos'!$G$10,'base para costos'!$H$10)+IF(G354='base para costos'!$G$11,'base para costos'!$H$11))</f>
        <v>0</v>
      </c>
      <c r="I354" s="93">
        <f>(C354/(('base para costos'!$J$3-D354)/100))</f>
        <v>2722.6288659793813</v>
      </c>
      <c r="J354" s="88">
        <f>(C354/(('base para costos'!$J$3-D354)/100-(0.08)))</f>
        <v>2967.3595505617973</v>
      </c>
      <c r="K354" s="112">
        <f t="shared" si="58"/>
        <v>30.954999999999998</v>
      </c>
      <c r="L354" s="84">
        <v>2400</v>
      </c>
      <c r="M354" s="115"/>
      <c r="N354" s="111">
        <f t="shared" si="59"/>
        <v>6224.9692229705261</v>
      </c>
      <c r="O354" s="112" t="s">
        <v>153</v>
      </c>
      <c r="P354" s="116" t="s">
        <v>152</v>
      </c>
    </row>
    <row r="355" spans="1:16" x14ac:dyDescent="0.2">
      <c r="A355" s="116" t="s">
        <v>539</v>
      </c>
      <c r="B355" s="116" t="s">
        <v>540</v>
      </c>
      <c r="C355" s="98">
        <v>2054</v>
      </c>
      <c r="D355" s="1">
        <v>10</v>
      </c>
      <c r="E355" s="116">
        <v>15.5</v>
      </c>
      <c r="F355" s="115">
        <f t="shared" si="63"/>
        <v>18.754999999999999</v>
      </c>
      <c r="G355" s="114" t="s">
        <v>903</v>
      </c>
      <c r="H355" s="113">
        <f>(IF(G355='base para costos'!$G$3,'base para costos'!$H$3)+IF(G355='base para costos'!$G$4,'base para costos'!$H$4)+IF(G355='base para costos'!$G$5,'base para costos'!$H$5)+IF(G355='base para costos'!$G$6,'base para costos'!$H$6)+IF(G355='base para costos'!$G$7,'base para costos'!$H$7)+IF(G355='base para costos'!$G$8,'base para costos'!$H$8)+IF(G355='base para costos'!$G$9,'base para costos'!$H$9)+IF(G355='base para costos'!$G$10,'base para costos'!$H$10)+IF(G355='base para costos'!$G$11,'base para costos'!$H$11))</f>
        <v>0</v>
      </c>
      <c r="I355" s="93">
        <f>(C355/(('base para costos'!$J$3-D355)/100))</f>
        <v>2282.2222222222222</v>
      </c>
      <c r="J355" s="88">
        <f>(C355/(('base para costos'!$J$3-D355)/100-(0.08)))</f>
        <v>2504.8780487804875</v>
      </c>
      <c r="K355" s="112">
        <f t="shared" si="58"/>
        <v>37.954999999999998</v>
      </c>
      <c r="L355" s="84">
        <v>0</v>
      </c>
      <c r="M355" s="115"/>
      <c r="N355" s="111">
        <f t="shared" si="59"/>
        <v>3310.5004432266901</v>
      </c>
      <c r="O355" s="112" t="s">
        <v>153</v>
      </c>
      <c r="P355" s="116" t="s">
        <v>152</v>
      </c>
    </row>
    <row r="356" spans="1:16" x14ac:dyDescent="0.2">
      <c r="A356" s="116" t="s">
        <v>584</v>
      </c>
      <c r="B356" s="116" t="s">
        <v>585</v>
      </c>
      <c r="C356" s="98">
        <v>3250</v>
      </c>
      <c r="D356" s="1">
        <v>3</v>
      </c>
      <c r="E356" s="116">
        <v>15.5</v>
      </c>
      <c r="F356" s="115">
        <f t="shared" si="63"/>
        <v>18.754999999999999</v>
      </c>
      <c r="G356" s="114" t="s">
        <v>903</v>
      </c>
      <c r="H356" s="113">
        <f>(IF(G356='base para costos'!$G$3,'base para costos'!$H$3)+IF(G356='base para costos'!$G$4,'base para costos'!$H$4)+IF(G356='base para costos'!$G$5,'base para costos'!$H$5)+IF(G356='base para costos'!$G$6,'base para costos'!$H$6)+IF(G356='base para costos'!$G$7,'base para costos'!$H$7)+IF(G356='base para costos'!$G$8,'base para costos'!$H$8)+IF(G356='base para costos'!$G$9,'base para costos'!$H$9)+IF(G356='base para costos'!$G$10,'base para costos'!$H$10)+IF(G356='base para costos'!$G$11,'base para costos'!$H$11))</f>
        <v>0</v>
      </c>
      <c r="I356" s="93">
        <f>(C356/(('base para costos'!$J$3-D356)/100))</f>
        <v>3350.5154639175257</v>
      </c>
      <c r="J356" s="88">
        <f>(C356/(('base para costos'!$J$3-D356)/100-(0.08)))</f>
        <v>3651.6853932584268</v>
      </c>
      <c r="K356" s="112">
        <f t="shared" si="58"/>
        <v>30.954999999999998</v>
      </c>
      <c r="L356" s="84">
        <v>0</v>
      </c>
      <c r="M356" s="115"/>
      <c r="N356" s="111">
        <f t="shared" si="59"/>
        <v>4707.0750959519155</v>
      </c>
      <c r="O356" s="112" t="s">
        <v>153</v>
      </c>
      <c r="P356" s="116" t="s">
        <v>152</v>
      </c>
    </row>
    <row r="357" spans="1:16" x14ac:dyDescent="0.2">
      <c r="A357" s="116" t="s">
        <v>603</v>
      </c>
      <c r="B357" s="116" t="s">
        <v>604</v>
      </c>
      <c r="C357" s="98">
        <v>4950</v>
      </c>
      <c r="D357" s="1">
        <v>3</v>
      </c>
      <c r="E357" s="116">
        <v>15.5</v>
      </c>
      <c r="F357" s="115">
        <f t="shared" si="63"/>
        <v>18.754999999999999</v>
      </c>
      <c r="G357" s="114" t="s">
        <v>903</v>
      </c>
      <c r="H357" s="113">
        <f>(IF(G357='base para costos'!$G$3,'base para costos'!$H$3)+IF(G357='base para costos'!$G$4,'base para costos'!$H$4)+IF(G357='base para costos'!$G$5,'base para costos'!$H$5)+IF(G357='base para costos'!$G$6,'base para costos'!$H$6)+IF(G357='base para costos'!$G$7,'base para costos'!$H$7)+IF(G357='base para costos'!$G$8,'base para costos'!$H$8)+IF(G357='base para costos'!$G$9,'base para costos'!$H$9)+IF(G357='base para costos'!$G$10,'base para costos'!$H$10)+IF(G357='base para costos'!$G$11,'base para costos'!$H$11))</f>
        <v>0</v>
      </c>
      <c r="I357" s="93">
        <f>(C357/(('base para costos'!$J$3-D357)/100))</f>
        <v>5103.0927835051543</v>
      </c>
      <c r="J357" s="88">
        <f>(C357/(('base para costos'!$J$3-D357)/100-(0.08)))</f>
        <v>5561.7977528089887</v>
      </c>
      <c r="K357" s="112">
        <f t="shared" si="58"/>
        <v>30.954999999999998</v>
      </c>
      <c r="L357" s="84">
        <v>0</v>
      </c>
      <c r="M357" s="115"/>
      <c r="N357" s="111">
        <f t="shared" si="59"/>
        <v>7169.2374538344557</v>
      </c>
      <c r="O357" s="112" t="s">
        <v>153</v>
      </c>
      <c r="P357" s="116" t="s">
        <v>152</v>
      </c>
    </row>
    <row r="358" spans="1:16" x14ac:dyDescent="0.2">
      <c r="A358" s="116" t="s">
        <v>635</v>
      </c>
      <c r="B358" s="116" t="s">
        <v>636</v>
      </c>
      <c r="C358" s="98">
        <v>12333.75</v>
      </c>
      <c r="D358" s="1">
        <v>3</v>
      </c>
      <c r="E358" s="116">
        <v>15.5</v>
      </c>
      <c r="F358" s="115">
        <f t="shared" si="63"/>
        <v>18.754999999999999</v>
      </c>
      <c r="G358" s="114" t="s">
        <v>903</v>
      </c>
      <c r="H358" s="113">
        <f>(IF(G358='base para costos'!$G$3,'base para costos'!$H$3)+IF(G358='base para costos'!$G$4,'base para costos'!$H$4)+IF(G358='base para costos'!$G$5,'base para costos'!$H$5)+IF(G358='base para costos'!$G$6,'base para costos'!$H$6)+IF(G358='base para costos'!$G$7,'base para costos'!$H$7)+IF(G358='base para costos'!$G$8,'base para costos'!$H$8)+IF(G358='base para costos'!$G$9,'base para costos'!$H$9)+IF(G358='base para costos'!$G$10,'base para costos'!$H$10)+IF(G358='base para costos'!$G$11,'base para costos'!$H$11))</f>
        <v>0</v>
      </c>
      <c r="I358" s="93">
        <f>(C358/(('base para costos'!$J$3-D358)/100))</f>
        <v>12715.206185567011</v>
      </c>
      <c r="J358" s="88">
        <f>(C358/(('base para costos'!$J$3-D358)/100-(0.08)))</f>
        <v>13858.14606741573</v>
      </c>
      <c r="K358" s="112">
        <f t="shared" si="58"/>
        <v>30.954999999999998</v>
      </c>
      <c r="L358" s="84">
        <v>0</v>
      </c>
      <c r="M358" s="115"/>
      <c r="N358" s="111">
        <f t="shared" si="59"/>
        <v>17863.349989137518</v>
      </c>
      <c r="O358" s="112" t="s">
        <v>230</v>
      </c>
      <c r="P358" s="116" t="s">
        <v>152</v>
      </c>
    </row>
    <row r="359" spans="1:16" x14ac:dyDescent="0.2">
      <c r="A359" s="116" t="s">
        <v>708</v>
      </c>
      <c r="B359" s="116" t="s">
        <v>709</v>
      </c>
      <c r="C359" s="98">
        <v>1420.25</v>
      </c>
      <c r="D359" s="1">
        <v>3</v>
      </c>
      <c r="E359" s="116">
        <v>15.5</v>
      </c>
      <c r="F359" s="115">
        <f t="shared" si="63"/>
        <v>18.754999999999999</v>
      </c>
      <c r="G359" s="114" t="s">
        <v>903</v>
      </c>
      <c r="H359" s="113">
        <f>(IF(G359='base para costos'!$G$3,'base para costos'!$H$3)+IF(G359='base para costos'!$G$4,'base para costos'!$H$4)+IF(G359='base para costos'!$G$5,'base para costos'!$H$5)+IF(G359='base para costos'!$G$6,'base para costos'!$H$6)+IF(G359='base para costos'!$G$7,'base para costos'!$H$7)+IF(G359='base para costos'!$G$8,'base para costos'!$H$8)+IF(G359='base para costos'!$G$9,'base para costos'!$H$9)+IF(G359='base para costos'!$G$10,'base para costos'!$H$10)+IF(G359='base para costos'!$G$11,'base para costos'!$H$11))</f>
        <v>0</v>
      </c>
      <c r="I359" s="93">
        <f>(C359/(('base para costos'!$J$3-D359)/100))</f>
        <v>1464.1752577319587</v>
      </c>
      <c r="J359" s="88">
        <f>(C359/(('base para costos'!$J$3-D359)/100-(0.08)))</f>
        <v>1595.7865168539327</v>
      </c>
      <c r="K359" s="112">
        <f t="shared" si="58"/>
        <v>30.954999999999998</v>
      </c>
      <c r="L359" s="84">
        <v>0</v>
      </c>
      <c r="M359" s="115"/>
      <c r="N359" s="111">
        <f t="shared" si="59"/>
        <v>2056.9918169309872</v>
      </c>
      <c r="O359" s="112" t="s">
        <v>153</v>
      </c>
      <c r="P359" s="116" t="s">
        <v>152</v>
      </c>
    </row>
    <row r="360" spans="1:16" x14ac:dyDescent="0.2">
      <c r="A360" s="116" t="s">
        <v>692</v>
      </c>
      <c r="B360" s="116" t="s">
        <v>693</v>
      </c>
      <c r="C360" s="98">
        <v>1625.01</v>
      </c>
      <c r="D360" s="1">
        <v>3</v>
      </c>
      <c r="E360" s="116">
        <v>15.5</v>
      </c>
      <c r="F360" s="115">
        <f t="shared" si="63"/>
        <v>18.754999999999999</v>
      </c>
      <c r="G360" s="114" t="s">
        <v>903</v>
      </c>
      <c r="H360" s="113">
        <f>(IF(G360='base para costos'!$G$3,'base para costos'!$H$3)+IF(G360='base para costos'!$G$4,'base para costos'!$H$4)+IF(G360='base para costos'!$G$5,'base para costos'!$H$5)+IF(G360='base para costos'!$G$6,'base para costos'!$H$6)+IF(G360='base para costos'!$G$7,'base para costos'!$H$7)+IF(G360='base para costos'!$G$8,'base para costos'!$H$8)+IF(G360='base para costos'!$G$9,'base para costos'!$H$9)+IF(G360='base para costos'!$G$10,'base para costos'!$H$10)+IF(G360='base para costos'!$G$11,'base para costos'!$H$11))</f>
        <v>0</v>
      </c>
      <c r="I360" s="93">
        <f>(C360/(('base para costos'!$J$3-D360)/100))</f>
        <v>1675.2680412371135</v>
      </c>
      <c r="J360" s="88">
        <f>(C360/(('base para costos'!$J$3-D360)/100-(0.08)))</f>
        <v>1825.8539325842696</v>
      </c>
      <c r="K360" s="112">
        <f t="shared" si="58"/>
        <v>30.954999999999998</v>
      </c>
      <c r="L360" s="84">
        <v>0</v>
      </c>
      <c r="M360" s="115"/>
      <c r="N360" s="111">
        <f t="shared" si="59"/>
        <v>2353.5520312839453</v>
      </c>
      <c r="O360" s="112" t="s">
        <v>168</v>
      </c>
      <c r="P360" s="116" t="s">
        <v>152</v>
      </c>
    </row>
    <row r="361" spans="1:16" x14ac:dyDescent="0.2">
      <c r="A361" s="116" t="s">
        <v>651</v>
      </c>
      <c r="B361" s="116" t="s">
        <v>652</v>
      </c>
      <c r="C361" s="98">
        <v>11231.99</v>
      </c>
      <c r="D361" s="1">
        <v>3</v>
      </c>
      <c r="E361" s="116">
        <v>15.5</v>
      </c>
      <c r="F361" s="115">
        <f t="shared" si="63"/>
        <v>18.754999999999999</v>
      </c>
      <c r="G361" s="114" t="s">
        <v>903</v>
      </c>
      <c r="H361" s="113">
        <f>(IF(G361='base para costos'!$G$3,'base para costos'!$H$3)+IF(G361='base para costos'!$G$4,'base para costos'!$H$4)+IF(G361='base para costos'!$G$5,'base para costos'!$H$5)+IF(G361='base para costos'!$G$6,'base para costos'!$H$6)+IF(G361='base para costos'!$G$7,'base para costos'!$H$7)+IF(G361='base para costos'!$G$8,'base para costos'!$H$8)+IF(G361='base para costos'!$G$9,'base para costos'!$H$9)+IF(G361='base para costos'!$G$10,'base para costos'!$H$10)+IF(G361='base para costos'!$G$11,'base para costos'!$H$11))</f>
        <v>0</v>
      </c>
      <c r="I361" s="93">
        <f>(C361/(('base para costos'!$J$3-D361)/100))</f>
        <v>11579.371134020619</v>
      </c>
      <c r="J361" s="88">
        <f>(C361/(('base para costos'!$J$3-D361)/100-(0.08)))</f>
        <v>12620.213483146066</v>
      </c>
      <c r="K361" s="112">
        <f t="shared" si="58"/>
        <v>30.954999999999998</v>
      </c>
      <c r="L361" s="84">
        <v>0</v>
      </c>
      <c r="M361" s="115"/>
      <c r="N361" s="111">
        <f t="shared" si="59"/>
        <v>16267.637048301831</v>
      </c>
      <c r="O361" s="112" t="s">
        <v>153</v>
      </c>
      <c r="P361" s="116" t="s">
        <v>152</v>
      </c>
    </row>
    <row r="362" spans="1:16" x14ac:dyDescent="0.2">
      <c r="A362" s="116" t="s">
        <v>696</v>
      </c>
      <c r="B362" s="116" t="s">
        <v>697</v>
      </c>
      <c r="C362" s="98">
        <v>4030</v>
      </c>
      <c r="D362" s="1">
        <v>3</v>
      </c>
      <c r="E362" s="116">
        <v>15.5</v>
      </c>
      <c r="F362" s="115">
        <f t="shared" si="63"/>
        <v>18.754999999999999</v>
      </c>
      <c r="G362" s="114" t="s">
        <v>903</v>
      </c>
      <c r="H362" s="113">
        <f>(IF(G362='base para costos'!$G$3,'base para costos'!$H$3)+IF(G362='base para costos'!$G$4,'base para costos'!$H$4)+IF(G362='base para costos'!$G$5,'base para costos'!$H$5)+IF(G362='base para costos'!$G$6,'base para costos'!$H$6)+IF(G362='base para costos'!$G$7,'base para costos'!$H$7)+IF(G362='base para costos'!$G$8,'base para costos'!$H$8)+IF(G362='base para costos'!$G$9,'base para costos'!$H$9)+IF(G362='base para costos'!$G$10,'base para costos'!$H$10)+IF(G362='base para costos'!$G$11,'base para costos'!$H$11))</f>
        <v>0</v>
      </c>
      <c r="I362" s="93">
        <f>(C362/(('base para costos'!$J$3-D362)/100))</f>
        <v>4154.6391752577319</v>
      </c>
      <c r="J362" s="88">
        <f>(C362/(('base para costos'!$J$3-D362)/100-(0.08)))</f>
        <v>4528.089887640449</v>
      </c>
      <c r="K362" s="112">
        <f t="shared" si="58"/>
        <v>30.954999999999998</v>
      </c>
      <c r="L362" s="84">
        <v>0</v>
      </c>
      <c r="M362" s="115"/>
      <c r="N362" s="111">
        <f t="shared" si="59"/>
        <v>5836.7731189803753</v>
      </c>
      <c r="O362" s="112" t="s">
        <v>168</v>
      </c>
      <c r="P362" s="116" t="s">
        <v>152</v>
      </c>
    </row>
    <row r="363" spans="1:16" x14ac:dyDescent="0.2">
      <c r="A363" s="116" t="s">
        <v>877</v>
      </c>
      <c r="B363" s="116" t="s">
        <v>878</v>
      </c>
      <c r="C363" s="98">
        <v>301.14999999999998</v>
      </c>
      <c r="D363" s="1">
        <v>3</v>
      </c>
      <c r="E363" s="116">
        <v>16.5</v>
      </c>
      <c r="F363" s="115">
        <f t="shared" si="63"/>
        <v>19.965</v>
      </c>
      <c r="G363" s="114" t="s">
        <v>903</v>
      </c>
      <c r="H363" s="113">
        <f>(IF(G363=$G$3,$H$3)+IF(G363=$G$4,$H$4)+IF(G363=$G$5,$H$5)+IF(G363=$G$6,$H$6)+IF(G363=$G$7,$H$7)+IF(G363=$G$8,$H$8)+IF(G363=$G$9,$H$9)+IF(G363=$G$10,$H$10)+IF(G363=$G$11,$H$11))</f>
        <v>0</v>
      </c>
      <c r="I363" s="93">
        <f>(C363/(($J$3-D363)/100))</f>
        <v>310.46391752577318</v>
      </c>
      <c r="J363" s="88">
        <f>(C363/(($J$3-D363)/100-(0.08)))</f>
        <v>338.37078651685391</v>
      </c>
      <c r="K363" s="112">
        <f t="shared" si="58"/>
        <v>32.164999999999999</v>
      </c>
      <c r="L363" s="84">
        <v>0</v>
      </c>
      <c r="M363" s="115"/>
      <c r="N363" s="111">
        <f t="shared" si="59"/>
        <v>443.94486621950307</v>
      </c>
      <c r="O363" s="112" t="s">
        <v>778</v>
      </c>
      <c r="P363" s="116" t="s">
        <v>508</v>
      </c>
    </row>
    <row r="364" spans="1:16" x14ac:dyDescent="0.2">
      <c r="A364" s="116" t="s">
        <v>774</v>
      </c>
      <c r="B364" s="116" t="s">
        <v>775</v>
      </c>
      <c r="C364" s="98">
        <v>2275.0100000000002</v>
      </c>
      <c r="D364" s="1">
        <v>3</v>
      </c>
      <c r="E364" s="116">
        <v>16.5</v>
      </c>
      <c r="F364" s="115">
        <f t="shared" si="63"/>
        <v>19.965</v>
      </c>
      <c r="G364" s="114" t="s">
        <v>903</v>
      </c>
      <c r="H364" s="113">
        <f>(IF(G364='base para costos'!$G$3,'base para costos'!$H$3)+IF(G364='base para costos'!$G$4,'base para costos'!$H$4)+IF(G364='base para costos'!$G$5,'base para costos'!$H$5)+IF(G364='base para costos'!$G$6,'base para costos'!$H$6)+IF(G364='base para costos'!$G$7,'base para costos'!$H$7)+IF(G364='base para costos'!$G$8,'base para costos'!$H$8)+IF(G364='base para costos'!$G$9,'base para costos'!$H$9)+IF(G364='base para costos'!$G$10,'base para costos'!$H$10)+IF(G364='base para costos'!$G$11,'base para costos'!$H$11))</f>
        <v>0</v>
      </c>
      <c r="I364" s="93">
        <f>(C364/(('base para costos'!$J$3-D364)/100))</f>
        <v>2345.3711340206187</v>
      </c>
      <c r="J364" s="88">
        <f>(C364/(('base para costos'!$J$3-D364)/100-(0.08)))</f>
        <v>2556.1910112359551</v>
      </c>
      <c r="K364" s="112">
        <f t="shared" si="58"/>
        <v>32.164999999999999</v>
      </c>
      <c r="L364" s="84">
        <v>0</v>
      </c>
      <c r="M364" s="115"/>
      <c r="N364" s="111">
        <f t="shared" si="59"/>
        <v>3353.7406943318342</v>
      </c>
      <c r="O364" s="112" t="s">
        <v>348</v>
      </c>
      <c r="P364" s="116" t="s">
        <v>508</v>
      </c>
    </row>
    <row r="365" spans="1:16" x14ac:dyDescent="0.2">
      <c r="A365" s="116" t="s">
        <v>776</v>
      </c>
      <c r="B365" s="116" t="s">
        <v>777</v>
      </c>
      <c r="C365" s="98">
        <v>2275.0100000000002</v>
      </c>
      <c r="D365" s="1">
        <v>3</v>
      </c>
      <c r="E365" s="116">
        <v>15.5</v>
      </c>
      <c r="F365" s="115">
        <f t="shared" si="63"/>
        <v>18.754999999999999</v>
      </c>
      <c r="G365" s="114" t="s">
        <v>903</v>
      </c>
      <c r="H365" s="113">
        <f>(IF(G365='base para costos'!$G$3,'base para costos'!$H$3)+IF(G365='base para costos'!$G$4,'base para costos'!$H$4)+IF(G365='base para costos'!$G$5,'base para costos'!$H$5)+IF(G365='base para costos'!$G$6,'base para costos'!$H$6)+IF(G365='base para costos'!$G$7,'base para costos'!$H$7)+IF(G365='base para costos'!$G$8,'base para costos'!$H$8)+IF(G365='base para costos'!$G$9,'base para costos'!$H$9)+IF(G365='base para costos'!$G$10,'base para costos'!$H$10)+IF(G365='base para costos'!$G$11,'base para costos'!$H$11))</f>
        <v>0</v>
      </c>
      <c r="I365" s="93">
        <f>(C365/(('base para costos'!$J$3-D365)/100))</f>
        <v>2345.3711340206187</v>
      </c>
      <c r="J365" s="88">
        <f>(C365/(('base para costos'!$J$3-D365)/100-(0.08)))</f>
        <v>2556.1910112359551</v>
      </c>
      <c r="K365" s="112">
        <f t="shared" si="58"/>
        <v>30.954999999999998</v>
      </c>
      <c r="L365" s="84">
        <v>0</v>
      </c>
      <c r="M365" s="115"/>
      <c r="N365" s="111">
        <f t="shared" si="59"/>
        <v>3294.9670504743285</v>
      </c>
      <c r="O365" s="112" t="s">
        <v>778</v>
      </c>
      <c r="P365" s="116" t="s">
        <v>152</v>
      </c>
    </row>
    <row r="366" spans="1:16" x14ac:dyDescent="0.2">
      <c r="A366" s="116" t="s">
        <v>807</v>
      </c>
      <c r="B366" s="116" t="s">
        <v>808</v>
      </c>
      <c r="C366" s="98">
        <v>3477.5</v>
      </c>
      <c r="D366" s="1">
        <v>3</v>
      </c>
      <c r="E366" s="116">
        <v>16.5</v>
      </c>
      <c r="F366" s="115">
        <f t="shared" si="63"/>
        <v>19.965</v>
      </c>
      <c r="G366" s="114" t="s">
        <v>903</v>
      </c>
      <c r="H366" s="113">
        <f>(IF(G366='base para costos'!$G$3,'base para costos'!$H$3)+IF(G366='base para costos'!$G$4,'base para costos'!$H$4)+IF(G366='base para costos'!$G$5,'base para costos'!$H$5)+IF(G366='base para costos'!$G$6,'base para costos'!$H$6)+IF(G366='base para costos'!$G$7,'base para costos'!$H$7)+IF(G366='base para costos'!$G$8,'base para costos'!$H$8)+IF(G366='base para costos'!$G$9,'base para costos'!$H$9)+IF(G366='base para costos'!$G$10,'base para costos'!$H$10)+IF(G366='base para costos'!$G$11,'base para costos'!$H$11))</f>
        <v>0</v>
      </c>
      <c r="I366" s="93">
        <f>(C366/(('base para costos'!$J$3-D366)/100))</f>
        <v>3585.0515463917527</v>
      </c>
      <c r="J366" s="88">
        <f>(C366/(('base para costos'!$J$3-D366)/100-(0.08)))</f>
        <v>3907.303370786517</v>
      </c>
      <c r="K366" s="112">
        <f t="shared" si="58"/>
        <v>32.164999999999999</v>
      </c>
      <c r="L366" s="84">
        <v>0</v>
      </c>
      <c r="M366" s="115"/>
      <c r="N366" s="111">
        <f t="shared" si="59"/>
        <v>5126.4096705240645</v>
      </c>
      <c r="O366" s="112" t="s">
        <v>153</v>
      </c>
      <c r="P366" s="116" t="s">
        <v>508</v>
      </c>
    </row>
    <row r="367" spans="1:16" x14ac:dyDescent="0.2">
      <c r="A367" s="116" t="s">
        <v>800</v>
      </c>
      <c r="B367" s="116" t="s">
        <v>801</v>
      </c>
      <c r="C367" s="98">
        <v>1852.5</v>
      </c>
      <c r="D367" s="1">
        <v>3</v>
      </c>
      <c r="E367" s="116">
        <v>16.5</v>
      </c>
      <c r="F367" s="115">
        <f t="shared" si="63"/>
        <v>19.965</v>
      </c>
      <c r="G367" s="114" t="s">
        <v>903</v>
      </c>
      <c r="H367" s="113">
        <f>(IF(G367='base para costos'!$G$3,'base para costos'!$H$3)+IF(G367='base para costos'!$G$4,'base para costos'!$H$4)+IF(G367='base para costos'!$G$5,'base para costos'!$H$5)+IF(G367='base para costos'!$G$6,'base para costos'!$H$6)+IF(G367='base para costos'!$G$7,'base para costos'!$H$7)+IF(G367='base para costos'!$G$8,'base para costos'!$H$8)+IF(G367='base para costos'!$G$9,'base para costos'!$H$9)+IF(G367='base para costos'!$G$10,'base para costos'!$H$10)+IF(G367='base para costos'!$G$11,'base para costos'!$H$11))</f>
        <v>0</v>
      </c>
      <c r="I367" s="93">
        <f>(C367/(('base para costos'!$J$3-D367)/100))</f>
        <v>1909.7938144329898</v>
      </c>
      <c r="J367" s="88">
        <f>(C367/(('base para costos'!$J$3-D367)/100-(0.08)))</f>
        <v>2081.4606741573034</v>
      </c>
      <c r="K367" s="112">
        <f t="shared" si="58"/>
        <v>32.164999999999999</v>
      </c>
      <c r="L367" s="84">
        <v>0</v>
      </c>
      <c r="M367" s="115"/>
      <c r="N367" s="111">
        <f t="shared" si="59"/>
        <v>2730.8911328959971</v>
      </c>
      <c r="O367" s="112" t="s">
        <v>348</v>
      </c>
      <c r="P367" s="116" t="s">
        <v>508</v>
      </c>
    </row>
    <row r="368" spans="1:16" x14ac:dyDescent="0.2">
      <c r="A368" s="116" t="s">
        <v>716</v>
      </c>
      <c r="B368" s="116" t="s">
        <v>717</v>
      </c>
      <c r="C368" s="98">
        <v>3250</v>
      </c>
      <c r="D368" s="1">
        <v>3</v>
      </c>
      <c r="E368" s="116">
        <v>16.5</v>
      </c>
      <c r="F368" s="115">
        <f t="shared" si="63"/>
        <v>19.965</v>
      </c>
      <c r="G368" s="114" t="s">
        <v>903</v>
      </c>
      <c r="H368" s="113">
        <f>(IF(G368='base para costos'!$G$3,'base para costos'!$H$3)+IF(G368='base para costos'!$G$4,'base para costos'!$H$4)+IF(G368='base para costos'!$G$5,'base para costos'!$H$5)+IF(G368='base para costos'!$G$6,'base para costos'!$H$6)+IF(G368='base para costos'!$G$7,'base para costos'!$H$7)+IF(G368='base para costos'!$G$8,'base para costos'!$H$8)+IF(G368='base para costos'!$G$9,'base para costos'!$H$9)+IF(G368='base para costos'!$G$10,'base para costos'!$H$10)+IF(G368='base para costos'!$G$11,'base para costos'!$H$11))</f>
        <v>0</v>
      </c>
      <c r="I368" s="93">
        <f>(C368/(('base para costos'!$J$3-D368)/100))</f>
        <v>3350.5154639175257</v>
      </c>
      <c r="J368" s="88">
        <f>(C368/(('base para costos'!$J$3-D368)/100-(0.08)))</f>
        <v>3651.6853932584268</v>
      </c>
      <c r="K368" s="112">
        <f t="shared" si="58"/>
        <v>32.164999999999999</v>
      </c>
      <c r="L368" s="84">
        <v>0</v>
      </c>
      <c r="M368" s="115"/>
      <c r="N368" s="111">
        <f t="shared" si="59"/>
        <v>4791.0370752561357</v>
      </c>
      <c r="O368" s="112" t="s">
        <v>153</v>
      </c>
      <c r="P368" s="116" t="s">
        <v>508</v>
      </c>
    </row>
    <row r="369" spans="1:16" x14ac:dyDescent="0.2">
      <c r="A369" s="116" t="s">
        <v>702</v>
      </c>
      <c r="B369" s="116" t="s">
        <v>703</v>
      </c>
      <c r="C369" s="98">
        <v>7670</v>
      </c>
      <c r="D369" s="1">
        <v>3</v>
      </c>
      <c r="E369" s="116">
        <v>16.5</v>
      </c>
      <c r="F369" s="115">
        <f t="shared" si="63"/>
        <v>19.965</v>
      </c>
      <c r="G369" s="114" t="s">
        <v>903</v>
      </c>
      <c r="H369" s="113">
        <f>(IF(G369='base para costos'!$G$3,'base para costos'!$H$3)+IF(G369='base para costos'!$G$4,'base para costos'!$H$4)+IF(G369='base para costos'!$G$5,'base para costos'!$H$5)+IF(G369='base para costos'!$G$6,'base para costos'!$H$6)+IF(G369='base para costos'!$G$7,'base para costos'!$H$7)+IF(G369='base para costos'!$G$8,'base para costos'!$H$8)+IF(G369='base para costos'!$G$9,'base para costos'!$H$9)+IF(G369='base para costos'!$G$10,'base para costos'!$H$10)+IF(G369='base para costos'!$G$11,'base para costos'!$H$11))</f>
        <v>0</v>
      </c>
      <c r="I369" s="93">
        <f>(C369/(('base para costos'!$J$3-D369)/100))</f>
        <v>7907.216494845361</v>
      </c>
      <c r="J369" s="88">
        <f>(C369/(('base para costos'!$J$3-D369)/100-(0.08)))</f>
        <v>8617.9775280898866</v>
      </c>
      <c r="K369" s="112">
        <f t="shared" si="58"/>
        <v>32.164999999999999</v>
      </c>
      <c r="L369" s="84">
        <v>0</v>
      </c>
      <c r="M369" s="115"/>
      <c r="N369" s="111">
        <f t="shared" si="59"/>
        <v>11306.84749760448</v>
      </c>
      <c r="O369" s="112" t="s">
        <v>153</v>
      </c>
      <c r="P369" s="116" t="s">
        <v>508</v>
      </c>
    </row>
    <row r="370" spans="1:16" x14ac:dyDescent="0.2">
      <c r="A370" s="116"/>
      <c r="B370" s="116"/>
      <c r="C370" s="98">
        <v>277000</v>
      </c>
      <c r="D370" s="1">
        <v>3</v>
      </c>
      <c r="E370" s="116">
        <v>14.15</v>
      </c>
      <c r="F370" s="115">
        <f t="shared" si="63"/>
        <v>17.121500000000001</v>
      </c>
      <c r="G370" s="114" t="s">
        <v>903</v>
      </c>
      <c r="H370" s="113">
        <f>(IF(G370='base para costos'!$G$3,'base para costos'!$H$3)+IF(G370='base para costos'!$G$4,'base para costos'!$H$4)+IF(G370='base para costos'!$G$5,'base para costos'!$H$5)+IF(G370='base para costos'!$G$6,'base para costos'!$H$6)+IF(G370='base para costos'!$G$7,'base para costos'!$H$7)+IF(G370='base para costos'!$G$8,'base para costos'!$H$8)+IF(G370='base para costos'!$G$9,'base para costos'!$H$9)+IF(G370='base para costos'!$G$10,'base para costos'!$H$10)+IF(G370='base para costos'!$G$11,'base para costos'!$H$11))</f>
        <v>0</v>
      </c>
      <c r="I370" s="93">
        <f>(C370/(('base para costos'!$J$3-D370)/100))</f>
        <v>285567.01030927838</v>
      </c>
      <c r="J370" s="88">
        <f>(C370/(('base para costos'!$J$3-D370)/100-(0.08)))</f>
        <v>311235.95505617978</v>
      </c>
      <c r="K370" s="112">
        <f t="shared" si="58"/>
        <v>29.3215</v>
      </c>
      <c r="L370" s="84">
        <v>0</v>
      </c>
      <c r="M370" s="115"/>
      <c r="N370" s="111">
        <f t="shared" si="59"/>
        <v>391915.50471501233</v>
      </c>
      <c r="O370" s="112"/>
      <c r="P370" s="116"/>
    </row>
    <row r="371" spans="1:16" x14ac:dyDescent="0.2">
      <c r="A371" s="116"/>
      <c r="B371" s="116"/>
      <c r="C371" s="98"/>
      <c r="D371" s="1"/>
      <c r="E371" s="116"/>
      <c r="F371" s="115"/>
      <c r="G371" s="114"/>
      <c r="H371" s="113"/>
      <c r="I371" s="93"/>
      <c r="J371" s="88"/>
      <c r="K371" s="112"/>
      <c r="L371" s="84"/>
      <c r="M371" s="115"/>
      <c r="N371" s="111"/>
      <c r="O371" s="112"/>
      <c r="P371" s="116"/>
    </row>
    <row r="372" spans="1:16" x14ac:dyDescent="0.2">
      <c r="A372" s="116"/>
      <c r="B372" s="116"/>
      <c r="C372" s="98"/>
      <c r="D372" s="1"/>
      <c r="E372" s="116"/>
      <c r="F372" s="115"/>
      <c r="G372" s="114"/>
      <c r="H372" s="113"/>
      <c r="I372" s="93"/>
      <c r="J372" s="88"/>
      <c r="K372" s="112"/>
      <c r="L372" s="84"/>
      <c r="M372" s="115"/>
      <c r="N372" s="111"/>
      <c r="O372" s="112"/>
      <c r="P372" s="116"/>
    </row>
    <row r="373" spans="1:16" x14ac:dyDescent="0.2">
      <c r="A373" s="116" t="s">
        <v>1482</v>
      </c>
      <c r="B373" s="116" t="s">
        <v>1484</v>
      </c>
      <c r="C373" s="98">
        <v>200850</v>
      </c>
      <c r="D373" s="1">
        <v>3</v>
      </c>
      <c r="E373" s="116">
        <v>12.15</v>
      </c>
      <c r="F373" s="115">
        <f>E373*1.21</f>
        <v>14.701499999999999</v>
      </c>
      <c r="G373" s="114" t="s">
        <v>1619</v>
      </c>
      <c r="H373" s="113">
        <f>(IF(G373=$G$3,$H$3)+IF(G373=$G$4,$H$4)+IF(G373=$G$5,$H$5)+IF(G373=$G$6,$H$6)+IF(G373=$G$7,$H$7)+IF(G373=$G$8,$H$8)+IF(G373=$G$9,$H$9)+IF(G373=$G$10,$H$10)+IF(G373=$G$11,$H$11))</f>
        <v>16.213999999999999</v>
      </c>
      <c r="I373" s="93">
        <f t="shared" ref="I373:I404" si="64">(C373/(($J$3-D373)/100))</f>
        <v>207061.8556701031</v>
      </c>
      <c r="J373" s="88">
        <f t="shared" ref="J373:J404" si="65">(C373/(($J$3-D373)/100-(0.08)))</f>
        <v>225674.1573033708</v>
      </c>
      <c r="K373" s="112">
        <f t="shared" ref="K373:K404" si="66">(D373+8+1.2)+(F373+H373)</f>
        <v>43.115499999999997</v>
      </c>
      <c r="L373" s="84">
        <v>8335</v>
      </c>
      <c r="M373" s="115"/>
      <c r="N373" s="111">
        <f t="shared" ref="N373:N404" si="67">C373/((100-K373)/100)+L373</f>
        <v>361418.8804946866</v>
      </c>
      <c r="O373" s="112" t="s">
        <v>1498</v>
      </c>
      <c r="P373" s="116"/>
    </row>
    <row r="374" spans="1:16" x14ac:dyDescent="0.2">
      <c r="A374" s="116" t="s">
        <v>1409</v>
      </c>
      <c r="B374" s="116" t="s">
        <v>1426</v>
      </c>
      <c r="C374" s="98">
        <v>13794.79</v>
      </c>
      <c r="D374" s="1">
        <v>3</v>
      </c>
      <c r="E374" s="116">
        <v>14.15</v>
      </c>
      <c r="F374" s="115">
        <f t="shared" ref="F374:F409" si="68">E374*1.21</f>
        <v>17.121500000000001</v>
      </c>
      <c r="G374" s="114" t="s">
        <v>903</v>
      </c>
      <c r="H374" s="113">
        <f t="shared" ref="H374:H409" si="69">(IF(G374=$G$3,$H$3)+IF(G374=$G$4,$H$4)+IF(G374=$G$5,$H$5)+IF(G374=$G$6,$H$6)+IF(G374=$G$7,$H$7)+IF(G374=$G$8,$H$8)+IF(G374=$G$9,$H$9)+IF(G374=$G$10,$H$10)+IF(G374=$G$11,$H$11))</f>
        <v>0</v>
      </c>
      <c r="I374" s="93">
        <f t="shared" si="64"/>
        <v>14221.432989690724</v>
      </c>
      <c r="J374" s="88">
        <f t="shared" si="65"/>
        <v>15499.76404494382</v>
      </c>
      <c r="K374" s="112">
        <f t="shared" si="66"/>
        <v>29.3215</v>
      </c>
      <c r="L374" s="84">
        <v>2400</v>
      </c>
      <c r="M374" s="115"/>
      <c r="N374" s="111">
        <f t="shared" si="67"/>
        <v>21917.660957716987</v>
      </c>
      <c r="O374" s="112" t="s">
        <v>1498</v>
      </c>
      <c r="P374" s="116"/>
    </row>
    <row r="375" spans="1:16" x14ac:dyDescent="0.2">
      <c r="A375" s="116" t="s">
        <v>1379</v>
      </c>
      <c r="B375" s="116" t="s">
        <v>1427</v>
      </c>
      <c r="C375" s="98">
        <v>27172.49</v>
      </c>
      <c r="D375" s="1">
        <v>3</v>
      </c>
      <c r="E375" s="116">
        <v>14.15</v>
      </c>
      <c r="F375" s="115">
        <f t="shared" si="68"/>
        <v>17.121500000000001</v>
      </c>
      <c r="G375" s="114" t="s">
        <v>1460</v>
      </c>
      <c r="H375" s="113">
        <f t="shared" si="69"/>
        <v>10.285</v>
      </c>
      <c r="I375" s="93">
        <f t="shared" si="64"/>
        <v>28012.876288659798</v>
      </c>
      <c r="J375" s="88">
        <f t="shared" si="65"/>
        <v>30530.88764044944</v>
      </c>
      <c r="K375" s="112">
        <f t="shared" si="66"/>
        <v>39.606499999999997</v>
      </c>
      <c r="L375" s="84">
        <v>8334.99</v>
      </c>
      <c r="M375" s="115"/>
      <c r="N375" s="111">
        <f t="shared" si="67"/>
        <v>53327.398123390762</v>
      </c>
      <c r="O375" s="112" t="s">
        <v>1498</v>
      </c>
      <c r="P375" s="116"/>
    </row>
    <row r="376" spans="1:16" x14ac:dyDescent="0.2">
      <c r="A376" s="116" t="s">
        <v>1353</v>
      </c>
      <c r="B376" s="116" t="s">
        <v>1354</v>
      </c>
      <c r="C376" s="98">
        <v>314924.61</v>
      </c>
      <c r="D376" s="1">
        <v>3</v>
      </c>
      <c r="E376" s="116">
        <v>15.5</v>
      </c>
      <c r="F376" s="115">
        <f t="shared" si="68"/>
        <v>18.754999999999999</v>
      </c>
      <c r="G376" s="114" t="s">
        <v>1299</v>
      </c>
      <c r="H376" s="113">
        <f t="shared" si="69"/>
        <v>0</v>
      </c>
      <c r="I376" s="93">
        <f t="shared" si="64"/>
        <v>324664.54639175255</v>
      </c>
      <c r="J376" s="88">
        <f t="shared" si="65"/>
        <v>353847.87640449434</v>
      </c>
      <c r="K376" s="112">
        <f t="shared" si="66"/>
        <v>30.954999999999998</v>
      </c>
      <c r="L376" s="84">
        <v>16328.49</v>
      </c>
      <c r="M376" s="115"/>
      <c r="N376" s="111">
        <f t="shared" si="67"/>
        <v>472443.50194872904</v>
      </c>
      <c r="O376" s="112" t="s">
        <v>1498</v>
      </c>
      <c r="P376" s="116"/>
    </row>
    <row r="377" spans="1:16" x14ac:dyDescent="0.2">
      <c r="A377" s="116" t="s">
        <v>1360</v>
      </c>
      <c r="B377" s="116" t="s">
        <v>1428</v>
      </c>
      <c r="C377" s="98">
        <v>296381.98</v>
      </c>
      <c r="D377" s="1">
        <v>3</v>
      </c>
      <c r="E377" s="116">
        <v>15.5</v>
      </c>
      <c r="F377" s="115">
        <f t="shared" si="68"/>
        <v>18.754999999999999</v>
      </c>
      <c r="G377" s="114" t="s">
        <v>903</v>
      </c>
      <c r="H377" s="113">
        <f t="shared" si="69"/>
        <v>0</v>
      </c>
      <c r="I377" s="93">
        <f t="shared" si="64"/>
        <v>305548.43298969069</v>
      </c>
      <c r="J377" s="88">
        <f t="shared" si="65"/>
        <v>333013.46067415725</v>
      </c>
      <c r="K377" s="112">
        <f t="shared" si="66"/>
        <v>30.954999999999998</v>
      </c>
      <c r="L377" s="84">
        <v>13685.49</v>
      </c>
      <c r="M377" s="115"/>
      <c r="N377" s="111">
        <f t="shared" si="67"/>
        <v>442944.63982982107</v>
      </c>
      <c r="O377" s="112" t="s">
        <v>1498</v>
      </c>
      <c r="P377" s="116"/>
    </row>
    <row r="378" spans="1:16" x14ac:dyDescent="0.2">
      <c r="A378" s="116" t="s">
        <v>1355</v>
      </c>
      <c r="B378" s="116" t="s">
        <v>1356</v>
      </c>
      <c r="C378" s="98">
        <v>457648.89</v>
      </c>
      <c r="D378" s="1">
        <v>3</v>
      </c>
      <c r="E378" s="116">
        <v>15.5</v>
      </c>
      <c r="F378" s="115">
        <f t="shared" si="68"/>
        <v>18.754999999999999</v>
      </c>
      <c r="G378" s="114" t="s">
        <v>1300</v>
      </c>
      <c r="H378" s="113">
        <f t="shared" si="69"/>
        <v>0</v>
      </c>
      <c r="I378" s="93">
        <f t="shared" si="64"/>
        <v>471802.97938144335</v>
      </c>
      <c r="J378" s="88">
        <f t="shared" si="65"/>
        <v>514212.23595505621</v>
      </c>
      <c r="K378" s="112">
        <f t="shared" si="66"/>
        <v>30.954999999999998</v>
      </c>
      <c r="L378" s="84">
        <v>13685</v>
      </c>
      <c r="M378" s="115"/>
      <c r="N378" s="111">
        <f t="shared" si="67"/>
        <v>676511.98240278079</v>
      </c>
      <c r="O378" s="112" t="s">
        <v>1498</v>
      </c>
      <c r="P378" s="116"/>
    </row>
    <row r="379" spans="1:16" x14ac:dyDescent="0.2">
      <c r="A379" s="116" t="s">
        <v>1412</v>
      </c>
      <c r="B379" s="116" t="s">
        <v>1413</v>
      </c>
      <c r="C379" s="98">
        <v>94899.05</v>
      </c>
      <c r="D379" s="1">
        <v>3</v>
      </c>
      <c r="E379" s="116">
        <v>15.5</v>
      </c>
      <c r="F379" s="115">
        <f t="shared" si="68"/>
        <v>18.754999999999999</v>
      </c>
      <c r="G379" s="114" t="s">
        <v>1300</v>
      </c>
      <c r="H379" s="113">
        <f t="shared" si="69"/>
        <v>0</v>
      </c>
      <c r="I379" s="93">
        <f t="shared" si="64"/>
        <v>97834.072164948462</v>
      </c>
      <c r="J379" s="88">
        <f t="shared" si="65"/>
        <v>106628.14606741573</v>
      </c>
      <c r="K379" s="112">
        <f t="shared" si="66"/>
        <v>30.954999999999998</v>
      </c>
      <c r="L379" s="84">
        <v>9899.49</v>
      </c>
      <c r="M379" s="115"/>
      <c r="N379" s="111">
        <f t="shared" si="67"/>
        <v>147344.70688753712</v>
      </c>
      <c r="O379" s="112" t="s">
        <v>1498</v>
      </c>
      <c r="P379" s="116"/>
    </row>
    <row r="380" spans="1:16" x14ac:dyDescent="0.2">
      <c r="A380" s="116" t="s">
        <v>1399</v>
      </c>
      <c r="B380" s="116" t="s">
        <v>1429</v>
      </c>
      <c r="C380" s="98">
        <v>142524.64000000001</v>
      </c>
      <c r="D380" s="1">
        <v>3</v>
      </c>
      <c r="E380" s="116">
        <v>15.5</v>
      </c>
      <c r="F380" s="115">
        <f t="shared" si="68"/>
        <v>18.754999999999999</v>
      </c>
      <c r="G380" s="114" t="s">
        <v>1300</v>
      </c>
      <c r="H380" s="113">
        <f t="shared" si="69"/>
        <v>0</v>
      </c>
      <c r="I380" s="93">
        <f t="shared" si="64"/>
        <v>146932.61855670105</v>
      </c>
      <c r="J380" s="88">
        <f t="shared" si="65"/>
        <v>160140.04494382025</v>
      </c>
      <c r="K380" s="112">
        <f t="shared" si="66"/>
        <v>30.954999999999998</v>
      </c>
      <c r="L380" s="84">
        <v>16328.49</v>
      </c>
      <c r="M380" s="115"/>
      <c r="N380" s="111">
        <f t="shared" si="67"/>
        <v>222751.31569338837</v>
      </c>
      <c r="O380" s="112" t="s">
        <v>1498</v>
      </c>
      <c r="P380" s="116"/>
    </row>
    <row r="381" spans="1:16" x14ac:dyDescent="0.2">
      <c r="A381" s="116" t="s">
        <v>1394</v>
      </c>
      <c r="B381" s="116" t="s">
        <v>1395</v>
      </c>
      <c r="C381" s="98">
        <v>173034.59</v>
      </c>
      <c r="D381" s="1">
        <v>3</v>
      </c>
      <c r="E381" s="116">
        <v>15.5</v>
      </c>
      <c r="F381" s="115">
        <f t="shared" si="68"/>
        <v>18.754999999999999</v>
      </c>
      <c r="G381" s="114" t="s">
        <v>1299</v>
      </c>
      <c r="H381" s="113">
        <f t="shared" si="69"/>
        <v>0</v>
      </c>
      <c r="I381" s="93">
        <f t="shared" si="64"/>
        <v>178386.17525773196</v>
      </c>
      <c r="J381" s="88">
        <f t="shared" si="65"/>
        <v>194420.88764044942</v>
      </c>
      <c r="K381" s="112">
        <f t="shared" si="66"/>
        <v>30.954999999999998</v>
      </c>
      <c r="L381" s="84">
        <v>13685.49</v>
      </c>
      <c r="M381" s="115"/>
      <c r="N381" s="111">
        <f t="shared" si="67"/>
        <v>264296.81594684627</v>
      </c>
      <c r="O381" s="112" t="s">
        <v>1498</v>
      </c>
      <c r="P381" s="116"/>
    </row>
    <row r="382" spans="1:16" x14ac:dyDescent="0.2">
      <c r="A382" s="116" t="s">
        <v>1358</v>
      </c>
      <c r="B382" s="116" t="s">
        <v>1359</v>
      </c>
      <c r="C382" s="98">
        <v>307278.40000000002</v>
      </c>
      <c r="D382" s="1">
        <v>3</v>
      </c>
      <c r="E382" s="116">
        <v>15.5</v>
      </c>
      <c r="F382" s="115">
        <f t="shared" si="68"/>
        <v>18.754999999999999</v>
      </c>
      <c r="G382" s="114" t="s">
        <v>1237</v>
      </c>
      <c r="H382" s="113">
        <f t="shared" si="69"/>
        <v>4.84</v>
      </c>
      <c r="I382" s="93">
        <f t="shared" si="64"/>
        <v>316781.8556701031</v>
      </c>
      <c r="J382" s="88">
        <f t="shared" si="65"/>
        <v>345256.62921348319</v>
      </c>
      <c r="K382" s="112">
        <f t="shared" si="66"/>
        <v>35.795000000000002</v>
      </c>
      <c r="L382" s="84">
        <v>13685.49</v>
      </c>
      <c r="M382" s="115"/>
      <c r="N382" s="111">
        <f t="shared" si="67"/>
        <v>492275.00795031543</v>
      </c>
      <c r="O382" s="112" t="s">
        <v>1498</v>
      </c>
      <c r="P382" s="116"/>
    </row>
    <row r="383" spans="1:16" x14ac:dyDescent="0.2">
      <c r="A383" s="116" t="s">
        <v>1430</v>
      </c>
      <c r="B383" s="116" t="s">
        <v>1431</v>
      </c>
      <c r="C383" s="98">
        <v>54045.77</v>
      </c>
      <c r="D383" s="1">
        <v>3</v>
      </c>
      <c r="E383" s="116">
        <v>15.5</v>
      </c>
      <c r="F383" s="115">
        <f t="shared" si="68"/>
        <v>18.754999999999999</v>
      </c>
      <c r="G383" s="114" t="s">
        <v>903</v>
      </c>
      <c r="H383" s="113">
        <f t="shared" si="69"/>
        <v>0</v>
      </c>
      <c r="I383" s="93">
        <f t="shared" si="64"/>
        <v>55717.288659793812</v>
      </c>
      <c r="J383" s="88">
        <f t="shared" si="65"/>
        <v>60725.584269662919</v>
      </c>
      <c r="K383" s="112">
        <f t="shared" si="66"/>
        <v>30.954999999999998</v>
      </c>
      <c r="L383" s="84">
        <v>0</v>
      </c>
      <c r="M383" s="115"/>
      <c r="N383" s="111">
        <f t="shared" si="67"/>
        <v>78276.153233398509</v>
      </c>
      <c r="O383" s="112" t="s">
        <v>1498</v>
      </c>
      <c r="P383" s="116"/>
    </row>
    <row r="384" spans="1:16" x14ac:dyDescent="0.2">
      <c r="A384" s="116" t="s">
        <v>1387</v>
      </c>
      <c r="B384" s="116" t="s">
        <v>1388</v>
      </c>
      <c r="C384" s="98">
        <v>206595.54</v>
      </c>
      <c r="D384" s="1">
        <v>3</v>
      </c>
      <c r="E384" s="116">
        <v>15.5</v>
      </c>
      <c r="F384" s="115">
        <f t="shared" si="68"/>
        <v>18.754999999999999</v>
      </c>
      <c r="G384" s="114" t="s">
        <v>903</v>
      </c>
      <c r="H384" s="113">
        <f t="shared" si="69"/>
        <v>0</v>
      </c>
      <c r="I384" s="93">
        <f t="shared" si="64"/>
        <v>212985.09278350516</v>
      </c>
      <c r="J384" s="88">
        <f t="shared" si="65"/>
        <v>232129.82022471909</v>
      </c>
      <c r="K384" s="112">
        <f t="shared" si="66"/>
        <v>30.954999999999998</v>
      </c>
      <c r="L384" s="84">
        <v>0</v>
      </c>
      <c r="M384" s="115"/>
      <c r="N384" s="111">
        <f t="shared" si="67"/>
        <v>299218.68346730393</v>
      </c>
      <c r="O384" s="112" t="s">
        <v>1498</v>
      </c>
      <c r="P384" s="116"/>
    </row>
    <row r="385" spans="1:16" x14ac:dyDescent="0.2">
      <c r="A385" s="116" t="s">
        <v>1423</v>
      </c>
      <c r="B385" s="116" t="s">
        <v>1432</v>
      </c>
      <c r="C385" s="98">
        <v>41405.93</v>
      </c>
      <c r="D385" s="1">
        <v>3</v>
      </c>
      <c r="E385" s="116">
        <v>15.5</v>
      </c>
      <c r="F385" s="115">
        <f t="shared" si="68"/>
        <v>18.754999999999999</v>
      </c>
      <c r="G385" s="114" t="s">
        <v>903</v>
      </c>
      <c r="H385" s="113">
        <f t="shared" si="69"/>
        <v>0</v>
      </c>
      <c r="I385" s="93">
        <f t="shared" si="64"/>
        <v>42686.525773195877</v>
      </c>
      <c r="J385" s="88">
        <f t="shared" si="65"/>
        <v>46523.516853932582</v>
      </c>
      <c r="K385" s="112">
        <f t="shared" si="66"/>
        <v>30.954999999999998</v>
      </c>
      <c r="L385" s="84">
        <v>6266.49</v>
      </c>
      <c r="M385" s="115"/>
      <c r="N385" s="111">
        <f t="shared" si="67"/>
        <v>66235.973670070249</v>
      </c>
      <c r="O385" s="112" t="s">
        <v>1498</v>
      </c>
      <c r="P385" s="116"/>
    </row>
    <row r="386" spans="1:16" x14ac:dyDescent="0.2">
      <c r="A386" s="116" t="s">
        <v>1397</v>
      </c>
      <c r="B386" s="116" t="s">
        <v>1398</v>
      </c>
      <c r="C386" s="98">
        <v>70658</v>
      </c>
      <c r="D386" s="1">
        <v>3</v>
      </c>
      <c r="E386" s="116">
        <v>15.5</v>
      </c>
      <c r="F386" s="115">
        <f t="shared" si="68"/>
        <v>18.754999999999999</v>
      </c>
      <c r="G386" s="114" t="s">
        <v>1237</v>
      </c>
      <c r="H386" s="113">
        <f t="shared" si="69"/>
        <v>4.84</v>
      </c>
      <c r="I386" s="93">
        <f t="shared" si="64"/>
        <v>72843.298969072173</v>
      </c>
      <c r="J386" s="88">
        <f t="shared" si="65"/>
        <v>79391.011235955055</v>
      </c>
      <c r="K386" s="112">
        <f t="shared" si="66"/>
        <v>35.795000000000002</v>
      </c>
      <c r="L386" s="84">
        <v>6266</v>
      </c>
      <c r="M386" s="115"/>
      <c r="N386" s="111">
        <f t="shared" si="67"/>
        <v>116316.61911066117</v>
      </c>
      <c r="O386" s="112" t="s">
        <v>1498</v>
      </c>
      <c r="P386" s="116"/>
    </row>
    <row r="387" spans="1:16" x14ac:dyDescent="0.2">
      <c r="A387" s="116" t="s">
        <v>1375</v>
      </c>
      <c r="B387" s="116" t="s">
        <v>1433</v>
      </c>
      <c r="C387" s="98">
        <v>229928.95999999999</v>
      </c>
      <c r="D387" s="1">
        <v>3</v>
      </c>
      <c r="E387" s="116">
        <v>15.5</v>
      </c>
      <c r="F387" s="115">
        <f t="shared" si="68"/>
        <v>18.754999999999999</v>
      </c>
      <c r="G387" s="114" t="s">
        <v>903</v>
      </c>
      <c r="H387" s="113">
        <f t="shared" si="69"/>
        <v>0</v>
      </c>
      <c r="I387" s="93">
        <f t="shared" si="64"/>
        <v>237040.1649484536</v>
      </c>
      <c r="J387" s="88">
        <f t="shared" si="65"/>
        <v>258347.14606741571</v>
      </c>
      <c r="K387" s="112">
        <f t="shared" si="66"/>
        <v>30.954999999999998</v>
      </c>
      <c r="L387" s="84">
        <v>11455</v>
      </c>
      <c r="M387" s="115"/>
      <c r="N387" s="111">
        <f t="shared" si="67"/>
        <v>344468.19429357664</v>
      </c>
      <c r="O387" s="112" t="s">
        <v>1498</v>
      </c>
      <c r="P387" s="116"/>
    </row>
    <row r="388" spans="1:16" x14ac:dyDescent="0.2">
      <c r="A388" s="116" t="s">
        <v>1407</v>
      </c>
      <c r="B388" s="116" t="s">
        <v>1408</v>
      </c>
      <c r="C388" s="98">
        <v>11771.87</v>
      </c>
      <c r="D388" s="1">
        <v>3</v>
      </c>
      <c r="E388" s="116">
        <v>15.5</v>
      </c>
      <c r="F388" s="115">
        <f t="shared" si="68"/>
        <v>18.754999999999999</v>
      </c>
      <c r="G388" s="114" t="s">
        <v>1237</v>
      </c>
      <c r="H388" s="113">
        <f t="shared" si="69"/>
        <v>4.84</v>
      </c>
      <c r="I388" s="93">
        <f t="shared" si="64"/>
        <v>12135.948453608249</v>
      </c>
      <c r="J388" s="88">
        <f t="shared" si="65"/>
        <v>13226.820224719102</v>
      </c>
      <c r="K388" s="112">
        <f t="shared" si="66"/>
        <v>35.795000000000002</v>
      </c>
      <c r="L388" s="84">
        <v>2400</v>
      </c>
      <c r="M388" s="115"/>
      <c r="N388" s="111">
        <f t="shared" si="67"/>
        <v>20734.818160579394</v>
      </c>
      <c r="O388" s="112" t="s">
        <v>1498</v>
      </c>
      <c r="P388" s="116"/>
    </row>
    <row r="389" spans="1:16" x14ac:dyDescent="0.2">
      <c r="A389" s="116" t="s">
        <v>1411</v>
      </c>
      <c r="B389" s="116" t="s">
        <v>1434</v>
      </c>
      <c r="C389" s="98">
        <v>14092.05</v>
      </c>
      <c r="D389" s="1">
        <v>3</v>
      </c>
      <c r="E389" s="116">
        <v>15.5</v>
      </c>
      <c r="F389" s="115">
        <f t="shared" si="68"/>
        <v>18.754999999999999</v>
      </c>
      <c r="G389" s="114" t="s">
        <v>1300</v>
      </c>
      <c r="H389" s="113">
        <f t="shared" si="69"/>
        <v>0</v>
      </c>
      <c r="I389" s="93">
        <f t="shared" si="64"/>
        <v>14527.886597938144</v>
      </c>
      <c r="J389" s="88">
        <f t="shared" si="65"/>
        <v>15833.764044943819</v>
      </c>
      <c r="K389" s="112">
        <f t="shared" si="66"/>
        <v>30.954999999999998</v>
      </c>
      <c r="L389" s="84">
        <v>4843.99</v>
      </c>
      <c r="M389" s="115"/>
      <c r="N389" s="111">
        <f t="shared" si="67"/>
        <v>25253.940032587445</v>
      </c>
      <c r="O389" s="112" t="s">
        <v>1498</v>
      </c>
      <c r="P389" s="116"/>
    </row>
    <row r="390" spans="1:16" x14ac:dyDescent="0.2">
      <c r="A390" s="116" t="s">
        <v>437</v>
      </c>
      <c r="B390" s="116" t="s">
        <v>1435</v>
      </c>
      <c r="C390" s="98">
        <v>11771.87</v>
      </c>
      <c r="D390" s="1">
        <v>3</v>
      </c>
      <c r="E390" s="116">
        <v>15.5</v>
      </c>
      <c r="F390" s="115">
        <f t="shared" si="68"/>
        <v>18.754999999999999</v>
      </c>
      <c r="G390" s="114" t="s">
        <v>1619</v>
      </c>
      <c r="H390" s="113">
        <f t="shared" si="69"/>
        <v>16.213999999999999</v>
      </c>
      <c r="I390" s="93">
        <f t="shared" si="64"/>
        <v>12135.948453608249</v>
      </c>
      <c r="J390" s="88">
        <f t="shared" si="65"/>
        <v>13226.820224719102</v>
      </c>
      <c r="K390" s="112">
        <f t="shared" si="66"/>
        <v>47.168999999999997</v>
      </c>
      <c r="L390" s="84">
        <v>4844</v>
      </c>
      <c r="M390" s="115"/>
      <c r="N390" s="111">
        <f t="shared" si="67"/>
        <v>27126.126024493195</v>
      </c>
      <c r="O390" s="112" t="s">
        <v>1498</v>
      </c>
      <c r="P390" s="116"/>
    </row>
    <row r="391" spans="1:16" x14ac:dyDescent="0.2">
      <c r="A391" s="116" t="s">
        <v>1420</v>
      </c>
      <c r="B391" s="116" t="s">
        <v>1421</v>
      </c>
      <c r="C391" s="98">
        <v>11364.47</v>
      </c>
      <c r="D391" s="1">
        <v>3</v>
      </c>
      <c r="E391" s="116">
        <v>15.5</v>
      </c>
      <c r="F391" s="115">
        <f t="shared" si="68"/>
        <v>18.754999999999999</v>
      </c>
      <c r="G391" s="114" t="s">
        <v>1302</v>
      </c>
      <c r="H391" s="113">
        <f t="shared" si="69"/>
        <v>0</v>
      </c>
      <c r="I391" s="93">
        <f t="shared" si="64"/>
        <v>11715.948453608247</v>
      </c>
      <c r="J391" s="88">
        <f t="shared" si="65"/>
        <v>12769.067415730337</v>
      </c>
      <c r="K391" s="112">
        <f t="shared" si="66"/>
        <v>30.954999999999998</v>
      </c>
      <c r="L391" s="84">
        <v>4844</v>
      </c>
      <c r="M391" s="115"/>
      <c r="N391" s="111">
        <f t="shared" si="67"/>
        <v>21303.511912520818</v>
      </c>
      <c r="O391" s="112" t="s">
        <v>1498</v>
      </c>
      <c r="P391" s="116"/>
    </row>
    <row r="392" spans="1:16" x14ac:dyDescent="0.2">
      <c r="A392" s="116" t="s">
        <v>1492</v>
      </c>
      <c r="B392" s="116" t="s">
        <v>1493</v>
      </c>
      <c r="C392" s="98">
        <v>11756.42</v>
      </c>
      <c r="D392" s="1">
        <v>3</v>
      </c>
      <c r="E392" s="116">
        <v>15.5</v>
      </c>
      <c r="F392" s="115">
        <f>E392*1.21</f>
        <v>18.754999999999999</v>
      </c>
      <c r="G392" s="114" t="s">
        <v>902</v>
      </c>
      <c r="H392" s="113">
        <f>(IF(G392=$G$3,$H$3)+IF(G392=$G$4,$H$4)+IF(G392=$G$5,$H$5)+IF(G392=$G$6,$H$6)+IF(G392=$G$7,$H$7)+IF(G392=$G$8,$H$8)+IF(G392=$G$9,$H$9)+IF(G392=$G$10,$H$10)+IF(G392=$G$11,$H$11))</f>
        <v>0</v>
      </c>
      <c r="I392" s="93">
        <f t="shared" si="64"/>
        <v>12120.020618556702</v>
      </c>
      <c r="J392" s="88">
        <f t="shared" si="65"/>
        <v>13209.460674157302</v>
      </c>
      <c r="K392" s="112">
        <f t="shared" si="66"/>
        <v>30.954999999999998</v>
      </c>
      <c r="L392" s="84">
        <v>2400</v>
      </c>
      <c r="M392" s="115"/>
      <c r="N392" s="111">
        <f t="shared" si="67"/>
        <v>19427.18516909262</v>
      </c>
      <c r="O392" s="112" t="s">
        <v>1498</v>
      </c>
      <c r="P392" s="116"/>
    </row>
    <row r="393" spans="1:16" x14ac:dyDescent="0.2">
      <c r="A393" s="116" t="s">
        <v>1390</v>
      </c>
      <c r="B393" s="116" t="s">
        <v>1514</v>
      </c>
      <c r="C393" s="98">
        <v>25458.35</v>
      </c>
      <c r="D393" s="1">
        <v>10</v>
      </c>
      <c r="E393" s="116">
        <v>15.5</v>
      </c>
      <c r="F393" s="115">
        <f t="shared" si="68"/>
        <v>18.754999999999999</v>
      </c>
      <c r="G393" s="114" t="s">
        <v>903</v>
      </c>
      <c r="H393" s="113">
        <f t="shared" si="69"/>
        <v>0</v>
      </c>
      <c r="I393" s="93">
        <f t="shared" si="64"/>
        <v>28287.055555555555</v>
      </c>
      <c r="J393" s="88">
        <f t="shared" si="65"/>
        <v>31046.768292682922</v>
      </c>
      <c r="K393" s="112">
        <f t="shared" si="66"/>
        <v>37.954999999999998</v>
      </c>
      <c r="L393" s="84">
        <v>0</v>
      </c>
      <c r="M393" s="115"/>
      <c r="N393" s="111">
        <f t="shared" si="67"/>
        <v>41032.073495043915</v>
      </c>
      <c r="O393" s="112" t="s">
        <v>1498</v>
      </c>
      <c r="P393" s="116"/>
    </row>
    <row r="394" spans="1:16" x14ac:dyDescent="0.2">
      <c r="A394" s="116" t="s">
        <v>1391</v>
      </c>
      <c r="B394" s="116" t="s">
        <v>1436</v>
      </c>
      <c r="C394" s="98">
        <v>24737.51</v>
      </c>
      <c r="D394" s="1">
        <v>3</v>
      </c>
      <c r="E394" s="116">
        <v>15.5</v>
      </c>
      <c r="F394" s="115">
        <f t="shared" si="68"/>
        <v>18.754999999999999</v>
      </c>
      <c r="G394" s="114" t="s">
        <v>1300</v>
      </c>
      <c r="H394" s="113">
        <f t="shared" si="69"/>
        <v>0</v>
      </c>
      <c r="I394" s="93">
        <f t="shared" si="64"/>
        <v>25502.587628865978</v>
      </c>
      <c r="J394" s="88">
        <f t="shared" si="65"/>
        <v>27794.955056179773</v>
      </c>
      <c r="K394" s="112">
        <f t="shared" si="66"/>
        <v>30.954999999999998</v>
      </c>
      <c r="L394" s="84">
        <v>5238</v>
      </c>
      <c r="M394" s="115"/>
      <c r="N394" s="111">
        <f t="shared" si="67"/>
        <v>41066.097617495834</v>
      </c>
      <c r="O394" s="112" t="s">
        <v>1498</v>
      </c>
      <c r="P394" s="116"/>
    </row>
    <row r="395" spans="1:16" x14ac:dyDescent="0.2">
      <c r="A395" s="116" t="s">
        <v>1405</v>
      </c>
      <c r="B395" s="116" t="s">
        <v>1406</v>
      </c>
      <c r="C395" s="98">
        <v>18633.830000000002</v>
      </c>
      <c r="D395" s="1">
        <v>3</v>
      </c>
      <c r="E395" s="116">
        <v>15.5</v>
      </c>
      <c r="F395" s="115">
        <f t="shared" si="68"/>
        <v>18.754999999999999</v>
      </c>
      <c r="G395" s="114" t="s">
        <v>1237</v>
      </c>
      <c r="H395" s="113">
        <f t="shared" si="69"/>
        <v>4.84</v>
      </c>
      <c r="I395" s="93">
        <f t="shared" si="64"/>
        <v>19210.13402061856</v>
      </c>
      <c r="J395" s="88">
        <f t="shared" si="65"/>
        <v>20936.88764044944</v>
      </c>
      <c r="K395" s="112">
        <f t="shared" si="66"/>
        <v>35.795000000000002</v>
      </c>
      <c r="L395" s="84">
        <v>5238.49</v>
      </c>
      <c r="M395" s="115"/>
      <c r="N395" s="111">
        <f t="shared" si="67"/>
        <v>34260.887009578699</v>
      </c>
      <c r="O395" s="112" t="s">
        <v>1498</v>
      </c>
      <c r="P395" s="116"/>
    </row>
    <row r="396" spans="1:16" x14ac:dyDescent="0.2">
      <c r="A396" s="116" t="s">
        <v>1494</v>
      </c>
      <c r="B396" s="116" t="s">
        <v>1517</v>
      </c>
      <c r="C396" s="98">
        <v>31509.759999999998</v>
      </c>
      <c r="D396" s="1">
        <v>3</v>
      </c>
      <c r="E396" s="116">
        <v>15.5</v>
      </c>
      <c r="F396" s="115">
        <f>E396*1.21</f>
        <v>18.754999999999999</v>
      </c>
      <c r="G396" s="114" t="s">
        <v>1621</v>
      </c>
      <c r="H396" s="113">
        <f>(IF(G396=$G$3,$H$3)+IF(G396=$G$4,$H$4)+IF(G396=$G$5,$H$5)+IF(G396=$G$6,$H$6)+IF(G396=$G$7,$H$7)+IF(G396=$G$8,$H$8)+IF(G396=$G$9,$H$9)+IF(G396=$G$10,$H$10)+IF(G396=$G$11,$H$11))</f>
        <v>26.861999999999998</v>
      </c>
      <c r="I396" s="93">
        <f t="shared" si="64"/>
        <v>32484.288659793812</v>
      </c>
      <c r="J396" s="88">
        <f t="shared" si="65"/>
        <v>35404.224719101119</v>
      </c>
      <c r="K396" s="112">
        <f t="shared" si="66"/>
        <v>57.816999999999993</v>
      </c>
      <c r="L396" s="84">
        <v>5238</v>
      </c>
      <c r="M396" s="115"/>
      <c r="N396" s="111">
        <f t="shared" si="67"/>
        <v>79935.769243534101</v>
      </c>
      <c r="O396" s="112" t="s">
        <v>1498</v>
      </c>
      <c r="P396" s="116"/>
    </row>
    <row r="397" spans="1:16" x14ac:dyDescent="0.2">
      <c r="A397" s="116" t="s">
        <v>1495</v>
      </c>
      <c r="B397" s="116" t="s">
        <v>1516</v>
      </c>
      <c r="C397" s="98">
        <v>31509.759999999998</v>
      </c>
      <c r="D397" s="1">
        <v>3</v>
      </c>
      <c r="E397" s="116">
        <v>15.5</v>
      </c>
      <c r="F397" s="115">
        <f>E397*1.21</f>
        <v>18.754999999999999</v>
      </c>
      <c r="G397" s="114" t="s">
        <v>903</v>
      </c>
      <c r="H397" s="113">
        <f>(IF(G397=$G$3,$H$3)+IF(G397=$G$4,$H$4)+IF(G397=$G$5,$H$5)+IF(G397=$G$6,$H$6)+IF(G397=$G$7,$H$7)+IF(G397=$G$8,$H$8)+IF(G397=$G$9,$H$9)+IF(G397=$G$10,$H$10)+IF(G397=$G$11,$H$11))</f>
        <v>0</v>
      </c>
      <c r="I397" s="93">
        <f t="shared" si="64"/>
        <v>32484.288659793812</v>
      </c>
      <c r="J397" s="88">
        <f t="shared" si="65"/>
        <v>35404.224719101119</v>
      </c>
      <c r="K397" s="112">
        <f t="shared" si="66"/>
        <v>30.954999999999998</v>
      </c>
      <c r="L397" s="84">
        <v>5238.49</v>
      </c>
      <c r="M397" s="115"/>
      <c r="N397" s="111">
        <f t="shared" si="67"/>
        <v>50875.045869360554</v>
      </c>
      <c r="O397" s="112" t="s">
        <v>1498</v>
      </c>
      <c r="P397" s="116"/>
    </row>
    <row r="398" spans="1:16" x14ac:dyDescent="0.2">
      <c r="A398" s="116" t="s">
        <v>1496</v>
      </c>
      <c r="B398" s="116" t="s">
        <v>1515</v>
      </c>
      <c r="C398" s="98">
        <v>47029.8</v>
      </c>
      <c r="D398" s="1">
        <v>3</v>
      </c>
      <c r="E398" s="116">
        <v>15.5</v>
      </c>
      <c r="F398" s="115">
        <f>E398*1.21</f>
        <v>18.754999999999999</v>
      </c>
      <c r="G398" s="114" t="s">
        <v>903</v>
      </c>
      <c r="H398" s="113">
        <f>(IF(G398=$G$3,$H$3)+IF(G398=$G$4,$H$4)+IF(G398=$G$5,$H$5)+IF(G398=$G$6,$H$6)+IF(G398=$G$7,$H$7)+IF(G398=$G$8,$H$8)+IF(G398=$G$9,$H$9)+IF(G398=$G$10,$H$10)+IF(G398=$G$11,$H$11))</f>
        <v>0</v>
      </c>
      <c r="I398" s="93">
        <f t="shared" si="64"/>
        <v>48484.32989690722</v>
      </c>
      <c r="J398" s="88">
        <f t="shared" si="65"/>
        <v>52842.471910112363</v>
      </c>
      <c r="K398" s="112">
        <f t="shared" si="66"/>
        <v>30.954999999999998</v>
      </c>
      <c r="L398" s="84">
        <v>5238.49</v>
      </c>
      <c r="M398" s="115"/>
      <c r="N398" s="111">
        <f t="shared" si="67"/>
        <v>73353.197799261354</v>
      </c>
      <c r="O398" s="112" t="s">
        <v>1498</v>
      </c>
      <c r="P398" s="116"/>
    </row>
    <row r="399" spans="1:16" x14ac:dyDescent="0.2">
      <c r="A399" s="116" t="s">
        <v>1414</v>
      </c>
      <c r="B399" s="116" t="s">
        <v>1523</v>
      </c>
      <c r="C399" s="98">
        <v>94650.07</v>
      </c>
      <c r="D399" s="1">
        <v>3</v>
      </c>
      <c r="E399" s="116">
        <v>14.15</v>
      </c>
      <c r="F399" s="115">
        <f t="shared" si="68"/>
        <v>17.121500000000001</v>
      </c>
      <c r="G399" s="114" t="s">
        <v>903</v>
      </c>
      <c r="H399" s="113">
        <f t="shared" si="69"/>
        <v>0</v>
      </c>
      <c r="I399" s="93">
        <f t="shared" si="64"/>
        <v>97577.391752577329</v>
      </c>
      <c r="J399" s="88">
        <f t="shared" si="65"/>
        <v>106348.39325842698</v>
      </c>
      <c r="K399" s="112">
        <f t="shared" si="66"/>
        <v>29.3215</v>
      </c>
      <c r="L399" s="84">
        <v>9899.49</v>
      </c>
      <c r="M399" s="115"/>
      <c r="N399" s="111">
        <f t="shared" si="67"/>
        <v>143815.84362946299</v>
      </c>
      <c r="O399" s="112" t="s">
        <v>1498</v>
      </c>
      <c r="P399" s="116"/>
    </row>
    <row r="400" spans="1:16" x14ac:dyDescent="0.2">
      <c r="A400" s="116" t="s">
        <v>1415</v>
      </c>
      <c r="B400" s="116" t="s">
        <v>1522</v>
      </c>
      <c r="C400" s="98">
        <v>94650.07</v>
      </c>
      <c r="D400" s="1">
        <v>3</v>
      </c>
      <c r="E400" s="116">
        <v>14.15</v>
      </c>
      <c r="F400" s="115">
        <f t="shared" si="68"/>
        <v>17.121500000000001</v>
      </c>
      <c r="G400" s="114" t="s">
        <v>1300</v>
      </c>
      <c r="H400" s="113">
        <f t="shared" si="69"/>
        <v>0</v>
      </c>
      <c r="I400" s="93">
        <f t="shared" si="64"/>
        <v>97577.391752577329</v>
      </c>
      <c r="J400" s="88">
        <f t="shared" si="65"/>
        <v>106348.39325842698</v>
      </c>
      <c r="K400" s="112">
        <f t="shared" si="66"/>
        <v>29.3215</v>
      </c>
      <c r="L400" s="84">
        <v>9899.49</v>
      </c>
      <c r="M400" s="115"/>
      <c r="N400" s="111">
        <f t="shared" si="67"/>
        <v>143815.84362946299</v>
      </c>
      <c r="O400" s="112" t="s">
        <v>1498</v>
      </c>
      <c r="P400" s="116"/>
    </row>
    <row r="401" spans="1:16" x14ac:dyDescent="0.2">
      <c r="A401" s="116" t="s">
        <v>1416</v>
      </c>
      <c r="B401" s="116" t="s">
        <v>1524</v>
      </c>
      <c r="C401" s="98">
        <v>94650.07</v>
      </c>
      <c r="D401" s="1">
        <v>3</v>
      </c>
      <c r="E401" s="116">
        <v>14.15</v>
      </c>
      <c r="F401" s="115">
        <f t="shared" si="68"/>
        <v>17.121500000000001</v>
      </c>
      <c r="G401" s="114" t="s">
        <v>903</v>
      </c>
      <c r="H401" s="113">
        <f t="shared" si="69"/>
        <v>0</v>
      </c>
      <c r="I401" s="93">
        <f t="shared" si="64"/>
        <v>97577.391752577329</v>
      </c>
      <c r="J401" s="88">
        <f t="shared" si="65"/>
        <v>106348.39325842698</v>
      </c>
      <c r="K401" s="112">
        <f t="shared" si="66"/>
        <v>29.3215</v>
      </c>
      <c r="L401" s="84">
        <v>9899.49</v>
      </c>
      <c r="M401" s="115"/>
      <c r="N401" s="111">
        <f t="shared" si="67"/>
        <v>143815.84362946299</v>
      </c>
      <c r="O401" s="112" t="s">
        <v>1498</v>
      </c>
      <c r="P401" s="116"/>
    </row>
    <row r="402" spans="1:16" x14ac:dyDescent="0.2">
      <c r="A402" s="116" t="s">
        <v>1417</v>
      </c>
      <c r="B402" s="116" t="s">
        <v>1525</v>
      </c>
      <c r="C402" s="98">
        <v>94650.07</v>
      </c>
      <c r="D402" s="1">
        <v>3</v>
      </c>
      <c r="E402" s="116">
        <v>14.15</v>
      </c>
      <c r="F402" s="115">
        <f t="shared" si="68"/>
        <v>17.121500000000001</v>
      </c>
      <c r="G402" s="114" t="s">
        <v>1302</v>
      </c>
      <c r="H402" s="113">
        <f t="shared" si="69"/>
        <v>0</v>
      </c>
      <c r="I402" s="93">
        <f t="shared" si="64"/>
        <v>97577.391752577329</v>
      </c>
      <c r="J402" s="88">
        <f t="shared" si="65"/>
        <v>106348.39325842698</v>
      </c>
      <c r="K402" s="112">
        <f t="shared" si="66"/>
        <v>29.3215</v>
      </c>
      <c r="L402" s="84">
        <v>9899.49</v>
      </c>
      <c r="M402" s="115"/>
      <c r="N402" s="111">
        <f t="shared" si="67"/>
        <v>143815.84362946299</v>
      </c>
      <c r="O402" s="112" t="s">
        <v>1498</v>
      </c>
      <c r="P402" s="116"/>
    </row>
    <row r="403" spans="1:16" x14ac:dyDescent="0.2">
      <c r="A403" s="116" t="s">
        <v>1372</v>
      </c>
      <c r="B403" s="116" t="s">
        <v>1373</v>
      </c>
      <c r="C403" s="98">
        <v>43890.36</v>
      </c>
      <c r="D403" s="1">
        <v>3</v>
      </c>
      <c r="E403" s="116">
        <v>14.15</v>
      </c>
      <c r="F403" s="115">
        <f t="shared" si="68"/>
        <v>17.121500000000001</v>
      </c>
      <c r="G403" s="114" t="s">
        <v>1621</v>
      </c>
      <c r="H403" s="113">
        <f t="shared" si="69"/>
        <v>26.861999999999998</v>
      </c>
      <c r="I403" s="93">
        <f t="shared" si="64"/>
        <v>45247.793814432989</v>
      </c>
      <c r="J403" s="88">
        <f t="shared" si="65"/>
        <v>49315.011235955055</v>
      </c>
      <c r="K403" s="112">
        <f t="shared" si="66"/>
        <v>56.183499999999995</v>
      </c>
      <c r="L403" s="84">
        <v>6266.49</v>
      </c>
      <c r="M403" s="115"/>
      <c r="N403" s="111">
        <f t="shared" si="67"/>
        <v>106435.05663585635</v>
      </c>
      <c r="O403" s="112" t="s">
        <v>1498</v>
      </c>
      <c r="P403" s="116"/>
    </row>
    <row r="404" spans="1:16" x14ac:dyDescent="0.2">
      <c r="A404" s="116" t="s">
        <v>1381</v>
      </c>
      <c r="B404" s="116" t="s">
        <v>1382</v>
      </c>
      <c r="C404" s="98">
        <v>25918.92</v>
      </c>
      <c r="D404" s="1">
        <v>3</v>
      </c>
      <c r="E404" s="116">
        <v>14.15</v>
      </c>
      <c r="F404" s="115">
        <f t="shared" si="68"/>
        <v>17.121500000000001</v>
      </c>
      <c r="G404" s="114" t="s">
        <v>1300</v>
      </c>
      <c r="H404" s="113">
        <f t="shared" si="69"/>
        <v>0</v>
      </c>
      <c r="I404" s="93">
        <f t="shared" si="64"/>
        <v>26720.536082474227</v>
      </c>
      <c r="J404" s="88">
        <f t="shared" si="65"/>
        <v>29122.382022471909</v>
      </c>
      <c r="K404" s="112">
        <f t="shared" si="66"/>
        <v>29.3215</v>
      </c>
      <c r="L404" s="84">
        <v>6266.49</v>
      </c>
      <c r="M404" s="115"/>
      <c r="N404" s="111">
        <f t="shared" si="67"/>
        <v>42938.066221906236</v>
      </c>
      <c r="O404" s="112" t="s">
        <v>1498</v>
      </c>
      <c r="P404" s="116"/>
    </row>
    <row r="405" spans="1:16" x14ac:dyDescent="0.2">
      <c r="A405" s="116" t="s">
        <v>1437</v>
      </c>
      <c r="B405" s="116" t="s">
        <v>1438</v>
      </c>
      <c r="C405" s="98">
        <v>21738.15</v>
      </c>
      <c r="D405" s="1">
        <v>3</v>
      </c>
      <c r="E405" s="116">
        <v>14.15</v>
      </c>
      <c r="F405" s="115">
        <f t="shared" si="68"/>
        <v>17.121500000000001</v>
      </c>
      <c r="G405" s="114" t="s">
        <v>903</v>
      </c>
      <c r="H405" s="113">
        <f t="shared" si="69"/>
        <v>0</v>
      </c>
      <c r="I405" s="93">
        <f t="shared" ref="I405:I435" si="70">(C405/(($J$3-D405)/100))</f>
        <v>22410.463917525776</v>
      </c>
      <c r="J405" s="88">
        <f t="shared" ref="J405:J435" si="71">(C405/(($J$3-D405)/100-(0.08)))</f>
        <v>24424.88764044944</v>
      </c>
      <c r="K405" s="112">
        <f t="shared" ref="K405:K435" si="72">(D405+8+1.2)+(F405+H405)</f>
        <v>29.3215</v>
      </c>
      <c r="L405" s="84">
        <v>6266.49</v>
      </c>
      <c r="M405" s="115"/>
      <c r="N405" s="111">
        <f t="shared" ref="N405:N435" si="73">C405/((100-K405)/100)+L405</f>
        <v>37022.872775525801</v>
      </c>
      <c r="O405" s="112" t="s">
        <v>1498</v>
      </c>
      <c r="P405" s="116"/>
    </row>
    <row r="406" spans="1:16" x14ac:dyDescent="0.2">
      <c r="A406" s="116" t="s">
        <v>1366</v>
      </c>
      <c r="B406" s="116" t="s">
        <v>1367</v>
      </c>
      <c r="C406" s="98">
        <v>98067.28</v>
      </c>
      <c r="D406" s="1">
        <v>5</v>
      </c>
      <c r="E406" s="116">
        <v>14.15</v>
      </c>
      <c r="F406" s="115">
        <f t="shared" si="68"/>
        <v>17.121500000000001</v>
      </c>
      <c r="G406" s="114" t="s">
        <v>903</v>
      </c>
      <c r="H406" s="113">
        <f t="shared" si="69"/>
        <v>0</v>
      </c>
      <c r="I406" s="93">
        <f t="shared" si="70"/>
        <v>103228.71578947369</v>
      </c>
      <c r="J406" s="88">
        <f t="shared" si="71"/>
        <v>112721.01149425287</v>
      </c>
      <c r="K406" s="112">
        <f t="shared" si="72"/>
        <v>31.3215</v>
      </c>
      <c r="L406" s="84">
        <v>6266.49</v>
      </c>
      <c r="M406" s="115"/>
      <c r="N406" s="111">
        <f t="shared" si="73"/>
        <v>149058.30985628688</v>
      </c>
      <c r="O406" s="112" t="s">
        <v>1498</v>
      </c>
      <c r="P406" s="116"/>
    </row>
    <row r="407" spans="1:16" x14ac:dyDescent="0.2">
      <c r="A407" s="116" t="s">
        <v>1363</v>
      </c>
      <c r="B407" s="116" t="s">
        <v>1364</v>
      </c>
      <c r="C407" s="98">
        <v>112888</v>
      </c>
      <c r="D407" s="1">
        <v>3</v>
      </c>
      <c r="E407" s="116">
        <v>14.15</v>
      </c>
      <c r="F407" s="115">
        <f t="shared" si="68"/>
        <v>17.121500000000001</v>
      </c>
      <c r="G407" s="114" t="s">
        <v>1300</v>
      </c>
      <c r="H407" s="113">
        <f t="shared" si="69"/>
        <v>0</v>
      </c>
      <c r="I407" s="93">
        <f t="shared" si="70"/>
        <v>116379.38144329897</v>
      </c>
      <c r="J407" s="88">
        <f t="shared" si="71"/>
        <v>126840.44943820224</v>
      </c>
      <c r="K407" s="112">
        <f t="shared" si="72"/>
        <v>29.3215</v>
      </c>
      <c r="L407" s="84">
        <v>9899.49</v>
      </c>
      <c r="M407" s="115"/>
      <c r="N407" s="111">
        <f t="shared" si="73"/>
        <v>169619.91417425382</v>
      </c>
      <c r="O407" s="112" t="s">
        <v>1498</v>
      </c>
      <c r="P407" s="116"/>
    </row>
    <row r="408" spans="1:16" x14ac:dyDescent="0.2">
      <c r="A408" s="116" t="s">
        <v>1365</v>
      </c>
      <c r="B408" s="116" t="s">
        <v>1439</v>
      </c>
      <c r="C408" s="98">
        <v>117680.82</v>
      </c>
      <c r="D408" s="1">
        <v>3</v>
      </c>
      <c r="E408" s="116">
        <v>14.15</v>
      </c>
      <c r="F408" s="115">
        <f t="shared" si="68"/>
        <v>17.121500000000001</v>
      </c>
      <c r="G408" s="114" t="s">
        <v>903</v>
      </c>
      <c r="H408" s="113">
        <f t="shared" si="69"/>
        <v>0</v>
      </c>
      <c r="I408" s="93">
        <f t="shared" si="70"/>
        <v>121320.43298969073</v>
      </c>
      <c r="J408" s="88">
        <f t="shared" si="71"/>
        <v>132225.64044943822</v>
      </c>
      <c r="K408" s="112">
        <f t="shared" si="72"/>
        <v>29.3215</v>
      </c>
      <c r="L408" s="84">
        <v>0</v>
      </c>
      <c r="M408" s="115"/>
      <c r="N408" s="111">
        <f t="shared" si="73"/>
        <v>166501.58110316435</v>
      </c>
      <c r="O408" s="112" t="s">
        <v>1498</v>
      </c>
      <c r="P408" s="116"/>
    </row>
    <row r="409" spans="1:16" x14ac:dyDescent="0.2">
      <c r="A409" s="116" t="s">
        <v>1368</v>
      </c>
      <c r="B409" s="116" t="s">
        <v>1369</v>
      </c>
      <c r="C409" s="98">
        <v>45954.48</v>
      </c>
      <c r="D409" s="1">
        <v>3</v>
      </c>
      <c r="E409" s="116">
        <v>14.15</v>
      </c>
      <c r="F409" s="115">
        <f t="shared" si="68"/>
        <v>17.121500000000001</v>
      </c>
      <c r="G409" s="114" t="s">
        <v>902</v>
      </c>
      <c r="H409" s="113">
        <f t="shared" si="69"/>
        <v>0</v>
      </c>
      <c r="I409" s="93">
        <f t="shared" si="70"/>
        <v>47375.752577319596</v>
      </c>
      <c r="J409" s="88">
        <f t="shared" si="71"/>
        <v>51634.247191011236</v>
      </c>
      <c r="K409" s="112">
        <f t="shared" si="72"/>
        <v>29.3215</v>
      </c>
      <c r="L409" s="84">
        <v>9900</v>
      </c>
      <c r="M409" s="115"/>
      <c r="N409" s="111">
        <f t="shared" si="73"/>
        <v>74919.036906555746</v>
      </c>
      <c r="O409" s="112" t="s">
        <v>1498</v>
      </c>
      <c r="P409" s="116"/>
    </row>
    <row r="410" spans="1:16" x14ac:dyDescent="0.2">
      <c r="A410" s="116" t="s">
        <v>1370</v>
      </c>
      <c r="B410" s="116" t="s">
        <v>1371</v>
      </c>
      <c r="C410" s="98">
        <v>47943.78</v>
      </c>
      <c r="D410" s="1">
        <v>3</v>
      </c>
      <c r="E410" s="116">
        <v>14.15</v>
      </c>
      <c r="F410" s="115">
        <f t="shared" ref="F410:F435" si="74">E410*1.21</f>
        <v>17.121500000000001</v>
      </c>
      <c r="G410" s="114" t="s">
        <v>903</v>
      </c>
      <c r="H410" s="113">
        <f t="shared" ref="H410:H435" si="75">(IF(G410=$G$3,$H$3)+IF(G410=$G$4,$H$4)+IF(G410=$G$5,$H$5)+IF(G410=$G$6,$H$6)+IF(G410=$G$7,$H$7)+IF(G410=$G$8,$H$8)+IF(G410=$G$9,$H$9)+IF(G410=$G$10,$H$10)+IF(G410=$G$11,$H$11))</f>
        <v>0</v>
      </c>
      <c r="I410" s="93">
        <f t="shared" si="70"/>
        <v>49426.577319587632</v>
      </c>
      <c r="J410" s="88">
        <f t="shared" si="71"/>
        <v>53869.415730337074</v>
      </c>
      <c r="K410" s="112">
        <f t="shared" si="72"/>
        <v>29.3215</v>
      </c>
      <c r="L410" s="84">
        <v>9900</v>
      </c>
      <c r="M410" s="115"/>
      <c r="N410" s="111">
        <f t="shared" si="73"/>
        <v>77733.61276767333</v>
      </c>
      <c r="O410" s="112" t="s">
        <v>1498</v>
      </c>
      <c r="P410" s="116"/>
    </row>
    <row r="411" spans="1:16" x14ac:dyDescent="0.2">
      <c r="A411" s="116" t="s">
        <v>1377</v>
      </c>
      <c r="B411" s="116" t="s">
        <v>1378</v>
      </c>
      <c r="C411" s="98">
        <v>113322.25</v>
      </c>
      <c r="D411" s="1">
        <v>3</v>
      </c>
      <c r="E411" s="116"/>
      <c r="F411" s="115">
        <f t="shared" si="74"/>
        <v>0</v>
      </c>
      <c r="G411" s="114" t="s">
        <v>1300</v>
      </c>
      <c r="H411" s="113">
        <f t="shared" si="75"/>
        <v>0</v>
      </c>
      <c r="I411" s="93">
        <f t="shared" si="70"/>
        <v>116827.06185567011</v>
      </c>
      <c r="J411" s="88">
        <f t="shared" si="71"/>
        <v>127328.37078651685</v>
      </c>
      <c r="K411" s="112">
        <f t="shared" si="72"/>
        <v>12.2</v>
      </c>
      <c r="L411" s="84">
        <v>0</v>
      </c>
      <c r="M411" s="115"/>
      <c r="N411" s="111">
        <f t="shared" si="73"/>
        <v>129068.62186788155</v>
      </c>
      <c r="O411" s="112" t="s">
        <v>1498</v>
      </c>
      <c r="P411" s="116"/>
    </row>
    <row r="412" spans="1:16" x14ac:dyDescent="0.2">
      <c r="A412" s="116" t="s">
        <v>1509</v>
      </c>
      <c r="B412" s="116" t="s">
        <v>1510</v>
      </c>
      <c r="C412" s="98">
        <v>28016</v>
      </c>
      <c r="D412" s="1">
        <v>3</v>
      </c>
      <c r="E412" s="116">
        <v>14.15</v>
      </c>
      <c r="F412" s="115">
        <f>E412*1.21</f>
        <v>17.121500000000001</v>
      </c>
      <c r="G412" s="114" t="s">
        <v>902</v>
      </c>
      <c r="H412" s="113">
        <f>(IF(G412=$G$3,$H$3)+IF(G412=$G$4,$H$4)+IF(G412=$G$5,$H$5)+IF(G412=$G$6,$H$6)+IF(G412=$G$7,$H$7)+IF(G412=$G$8,$H$8)+IF(G412=$G$9,$H$9)+IF(G412=$G$10,$H$10)+IF(G412=$G$11,$H$11))</f>
        <v>0</v>
      </c>
      <c r="I412" s="93">
        <f t="shared" si="70"/>
        <v>28882.474226804123</v>
      </c>
      <c r="J412" s="88">
        <f t="shared" si="71"/>
        <v>31478.651685393259</v>
      </c>
      <c r="K412" s="112">
        <f t="shared" si="72"/>
        <v>29.3215</v>
      </c>
      <c r="L412" s="84">
        <v>9899.49</v>
      </c>
      <c r="M412" s="115"/>
      <c r="N412" s="111">
        <f t="shared" si="73"/>
        <v>49538.135415508252</v>
      </c>
      <c r="O412" s="112" t="s">
        <v>1498</v>
      </c>
      <c r="P412" s="116"/>
    </row>
    <row r="413" spans="1:16" x14ac:dyDescent="0.2">
      <c r="A413" s="116" t="s">
        <v>1374</v>
      </c>
      <c r="B413" s="116" t="s">
        <v>1440</v>
      </c>
      <c r="C413" s="98">
        <v>77582.02</v>
      </c>
      <c r="D413" s="1">
        <v>3</v>
      </c>
      <c r="E413" s="116"/>
      <c r="F413" s="115">
        <f t="shared" si="74"/>
        <v>0</v>
      </c>
      <c r="G413" s="114" t="s">
        <v>903</v>
      </c>
      <c r="H413" s="113">
        <f t="shared" si="75"/>
        <v>0</v>
      </c>
      <c r="I413" s="93">
        <f t="shared" si="70"/>
        <v>79981.463917525776</v>
      </c>
      <c r="J413" s="88">
        <f t="shared" si="71"/>
        <v>87170.808988764053</v>
      </c>
      <c r="K413" s="112">
        <f t="shared" si="72"/>
        <v>12.2</v>
      </c>
      <c r="L413" s="84">
        <v>0</v>
      </c>
      <c r="M413" s="115"/>
      <c r="N413" s="111">
        <f t="shared" si="73"/>
        <v>88362.209567198181</v>
      </c>
      <c r="O413" s="112" t="s">
        <v>1498</v>
      </c>
      <c r="P413" s="116"/>
    </row>
    <row r="414" spans="1:16" x14ac:dyDescent="0.2">
      <c r="A414" s="116" t="s">
        <v>1422</v>
      </c>
      <c r="B414" s="116" t="s">
        <v>1442</v>
      </c>
      <c r="C414" s="98">
        <v>11331.83</v>
      </c>
      <c r="D414" s="1">
        <v>3</v>
      </c>
      <c r="E414" s="116"/>
      <c r="F414" s="115">
        <f t="shared" si="74"/>
        <v>0</v>
      </c>
      <c r="G414" s="114" t="s">
        <v>903</v>
      </c>
      <c r="H414" s="113">
        <f t="shared" si="75"/>
        <v>0</v>
      </c>
      <c r="I414" s="93">
        <f t="shared" si="70"/>
        <v>11682.298969072166</v>
      </c>
      <c r="J414" s="88">
        <f t="shared" si="71"/>
        <v>12732.393258426966</v>
      </c>
      <c r="K414" s="112">
        <f t="shared" si="72"/>
        <v>12.2</v>
      </c>
      <c r="L414" s="84">
        <v>0</v>
      </c>
      <c r="M414" s="115"/>
      <c r="N414" s="111">
        <f t="shared" si="73"/>
        <v>12906.412300683371</v>
      </c>
      <c r="O414" s="112" t="s">
        <v>1498</v>
      </c>
      <c r="P414" s="116"/>
    </row>
    <row r="415" spans="1:16" x14ac:dyDescent="0.2">
      <c r="A415" s="116" t="s">
        <v>1357</v>
      </c>
      <c r="B415" s="116" t="s">
        <v>1441</v>
      </c>
      <c r="C415" s="98">
        <v>16813.72</v>
      </c>
      <c r="D415" s="1">
        <v>3</v>
      </c>
      <c r="E415" s="116">
        <v>14.15</v>
      </c>
      <c r="F415" s="115">
        <f t="shared" si="74"/>
        <v>17.121500000000001</v>
      </c>
      <c r="G415" s="114" t="s">
        <v>902</v>
      </c>
      <c r="H415" s="113">
        <f t="shared" si="75"/>
        <v>0</v>
      </c>
      <c r="I415" s="93">
        <f t="shared" si="70"/>
        <v>17333.731958762888</v>
      </c>
      <c r="J415" s="88">
        <f t="shared" si="71"/>
        <v>18891.820224719104</v>
      </c>
      <c r="K415" s="112">
        <f t="shared" si="72"/>
        <v>29.3215</v>
      </c>
      <c r="L415" s="84">
        <v>6266.49</v>
      </c>
      <c r="M415" s="115"/>
      <c r="N415" s="111">
        <f t="shared" si="73"/>
        <v>30055.506461866054</v>
      </c>
      <c r="O415" s="112" t="s">
        <v>1498</v>
      </c>
      <c r="P415" s="116"/>
    </row>
    <row r="416" spans="1:16" x14ac:dyDescent="0.2">
      <c r="A416" s="116" t="s">
        <v>1361</v>
      </c>
      <c r="B416" s="116" t="s">
        <v>1443</v>
      </c>
      <c r="C416" s="98">
        <v>33443.07</v>
      </c>
      <c r="D416" s="1">
        <v>3</v>
      </c>
      <c r="E416" s="116">
        <v>14.15</v>
      </c>
      <c r="F416" s="115">
        <f t="shared" si="74"/>
        <v>17.121500000000001</v>
      </c>
      <c r="G416" s="114" t="s">
        <v>1460</v>
      </c>
      <c r="H416" s="113">
        <f t="shared" si="75"/>
        <v>10.285</v>
      </c>
      <c r="I416" s="93">
        <f t="shared" si="70"/>
        <v>34477.391752577321</v>
      </c>
      <c r="J416" s="88">
        <f t="shared" si="71"/>
        <v>37576.483146067418</v>
      </c>
      <c r="K416" s="112">
        <f t="shared" si="72"/>
        <v>39.606499999999997</v>
      </c>
      <c r="L416" s="84">
        <v>8334.99</v>
      </c>
      <c r="M416" s="115"/>
      <c r="N416" s="111">
        <f t="shared" si="73"/>
        <v>63710.27045236656</v>
      </c>
      <c r="O416" s="112" t="s">
        <v>1498</v>
      </c>
      <c r="P416" s="116"/>
    </row>
    <row r="417" spans="1:16" x14ac:dyDescent="0.2">
      <c r="A417" s="116" t="s">
        <v>1396</v>
      </c>
      <c r="B417" s="116" t="s">
        <v>1444</v>
      </c>
      <c r="C417" s="98">
        <v>19647.25</v>
      </c>
      <c r="D417" s="1">
        <v>3</v>
      </c>
      <c r="E417" s="116">
        <v>16</v>
      </c>
      <c r="F417" s="115">
        <f t="shared" si="74"/>
        <v>19.36</v>
      </c>
      <c r="G417" s="114" t="s">
        <v>1300</v>
      </c>
      <c r="H417" s="113">
        <f t="shared" si="75"/>
        <v>0</v>
      </c>
      <c r="I417" s="93">
        <f t="shared" si="70"/>
        <v>20254.896907216495</v>
      </c>
      <c r="J417" s="88">
        <f t="shared" si="71"/>
        <v>22075.561797752809</v>
      </c>
      <c r="K417" s="112">
        <f t="shared" si="72"/>
        <v>31.56</v>
      </c>
      <c r="L417" s="84">
        <v>5873</v>
      </c>
      <c r="M417" s="115"/>
      <c r="N417" s="111">
        <f t="shared" si="73"/>
        <v>34580.261835184101</v>
      </c>
      <c r="O417" s="112" t="s">
        <v>1498</v>
      </c>
      <c r="P417" s="116"/>
    </row>
    <row r="418" spans="1:16" x14ac:dyDescent="0.2">
      <c r="A418" s="116" t="s">
        <v>1389</v>
      </c>
      <c r="B418" s="116" t="s">
        <v>1445</v>
      </c>
      <c r="C418" s="98">
        <v>22156.33</v>
      </c>
      <c r="D418" s="1">
        <v>3</v>
      </c>
      <c r="E418" s="116">
        <v>16</v>
      </c>
      <c r="F418" s="115">
        <f t="shared" si="74"/>
        <v>19.36</v>
      </c>
      <c r="G418" s="114" t="s">
        <v>903</v>
      </c>
      <c r="H418" s="113">
        <f t="shared" si="75"/>
        <v>0</v>
      </c>
      <c r="I418" s="93">
        <f t="shared" si="70"/>
        <v>22841.577319587632</v>
      </c>
      <c r="J418" s="88">
        <f t="shared" si="71"/>
        <v>24894.752808988767</v>
      </c>
      <c r="K418" s="112">
        <f t="shared" si="72"/>
        <v>31.56</v>
      </c>
      <c r="L418" s="84">
        <v>5873</v>
      </c>
      <c r="M418" s="115"/>
      <c r="N418" s="111">
        <f t="shared" si="73"/>
        <v>38246.363530099363</v>
      </c>
      <c r="O418" s="112" t="s">
        <v>1498</v>
      </c>
      <c r="P418" s="116"/>
    </row>
    <row r="419" spans="1:16" x14ac:dyDescent="0.2">
      <c r="A419" s="116" t="s">
        <v>1402</v>
      </c>
      <c r="B419" s="116" t="s">
        <v>1446</v>
      </c>
      <c r="C419" s="98">
        <v>16772.05</v>
      </c>
      <c r="D419" s="1">
        <v>3</v>
      </c>
      <c r="E419" s="116">
        <v>14.15</v>
      </c>
      <c r="F419" s="115">
        <f t="shared" si="74"/>
        <v>17.121500000000001</v>
      </c>
      <c r="G419" s="114" t="s">
        <v>1299</v>
      </c>
      <c r="H419" s="113">
        <f t="shared" si="75"/>
        <v>0</v>
      </c>
      <c r="I419" s="93">
        <f t="shared" si="70"/>
        <v>17290.773195876289</v>
      </c>
      <c r="J419" s="88">
        <f t="shared" si="71"/>
        <v>18845</v>
      </c>
      <c r="K419" s="112">
        <f t="shared" si="72"/>
        <v>29.3215</v>
      </c>
      <c r="L419" s="84">
        <v>6266.49</v>
      </c>
      <c r="M419" s="115"/>
      <c r="N419" s="111">
        <f t="shared" si="73"/>
        <v>29996.549353268674</v>
      </c>
      <c r="O419" s="112" t="s">
        <v>1498</v>
      </c>
      <c r="P419" s="116"/>
    </row>
    <row r="420" spans="1:16" x14ac:dyDescent="0.2">
      <c r="A420" s="116" t="s">
        <v>1404</v>
      </c>
      <c r="B420" s="116" t="s">
        <v>1447</v>
      </c>
      <c r="C420" s="98">
        <v>16722.05</v>
      </c>
      <c r="D420" s="1">
        <v>3</v>
      </c>
      <c r="E420" s="116">
        <v>14.15</v>
      </c>
      <c r="F420" s="115">
        <f t="shared" si="74"/>
        <v>17.121500000000001</v>
      </c>
      <c r="G420" s="114" t="s">
        <v>1300</v>
      </c>
      <c r="H420" s="113">
        <f t="shared" si="75"/>
        <v>0</v>
      </c>
      <c r="I420" s="93">
        <f t="shared" si="70"/>
        <v>17239.226804123711</v>
      </c>
      <c r="J420" s="88">
        <f t="shared" si="71"/>
        <v>18788.8202247191</v>
      </c>
      <c r="K420" s="112">
        <f t="shared" si="72"/>
        <v>29.3215</v>
      </c>
      <c r="L420" s="84">
        <v>6266.49</v>
      </c>
      <c r="M420" s="115"/>
      <c r="N420" s="111">
        <f t="shared" si="73"/>
        <v>29925.806482381486</v>
      </c>
      <c r="O420" s="112" t="s">
        <v>1498</v>
      </c>
      <c r="P420" s="116"/>
    </row>
    <row r="421" spans="1:16" x14ac:dyDescent="0.2">
      <c r="A421" s="116" t="s">
        <v>1383</v>
      </c>
      <c r="B421" s="116" t="s">
        <v>1458</v>
      </c>
      <c r="C421" s="98">
        <v>25081.53</v>
      </c>
      <c r="D421" s="1">
        <v>3</v>
      </c>
      <c r="E421" s="116">
        <v>14.15</v>
      </c>
      <c r="F421" s="115">
        <f t="shared" si="74"/>
        <v>17.121500000000001</v>
      </c>
      <c r="G421" s="114" t="s">
        <v>1460</v>
      </c>
      <c r="H421" s="113">
        <f t="shared" si="75"/>
        <v>10.285</v>
      </c>
      <c r="I421" s="93">
        <f t="shared" si="70"/>
        <v>25857.247422680412</v>
      </c>
      <c r="J421" s="88">
        <f t="shared" si="71"/>
        <v>28181.494382022469</v>
      </c>
      <c r="K421" s="112">
        <f t="shared" si="72"/>
        <v>39.606499999999997</v>
      </c>
      <c r="L421" s="84">
        <v>6266.49</v>
      </c>
      <c r="M421" s="115"/>
      <c r="N421" s="111">
        <f t="shared" si="73"/>
        <v>47796.671228112296</v>
      </c>
      <c r="O421" s="112" t="s">
        <v>1498</v>
      </c>
      <c r="P421" s="116"/>
    </row>
    <row r="422" spans="1:16" x14ac:dyDescent="0.2">
      <c r="A422" s="116" t="s">
        <v>1385</v>
      </c>
      <c r="B422" s="116" t="s">
        <v>1448</v>
      </c>
      <c r="C422" s="98">
        <v>25082.560000000001</v>
      </c>
      <c r="D422" s="1">
        <v>3</v>
      </c>
      <c r="E422" s="116">
        <v>14.15</v>
      </c>
      <c r="F422" s="115">
        <f t="shared" si="74"/>
        <v>17.121500000000001</v>
      </c>
      <c r="G422" s="114" t="s">
        <v>902</v>
      </c>
      <c r="H422" s="113">
        <f t="shared" si="75"/>
        <v>0</v>
      </c>
      <c r="I422" s="93">
        <f t="shared" si="70"/>
        <v>25858.309278350516</v>
      </c>
      <c r="J422" s="88">
        <f t="shared" si="71"/>
        <v>28182.651685393259</v>
      </c>
      <c r="K422" s="112">
        <f t="shared" si="72"/>
        <v>29.3215</v>
      </c>
      <c r="L422" s="84">
        <v>6226.49</v>
      </c>
      <c r="M422" s="115"/>
      <c r="N422" s="111">
        <f t="shared" si="73"/>
        <v>41714.736072002095</v>
      </c>
      <c r="O422" s="112" t="s">
        <v>1498</v>
      </c>
      <c r="P422" s="116"/>
    </row>
    <row r="423" spans="1:16" x14ac:dyDescent="0.2">
      <c r="A423" s="116" t="s">
        <v>1418</v>
      </c>
      <c r="B423" s="116" t="s">
        <v>1419</v>
      </c>
      <c r="C423" s="98">
        <v>22992.69</v>
      </c>
      <c r="D423" s="1">
        <v>3</v>
      </c>
      <c r="E423" s="116">
        <v>14.15</v>
      </c>
      <c r="F423" s="115">
        <f t="shared" si="74"/>
        <v>17.121500000000001</v>
      </c>
      <c r="G423" s="114" t="s">
        <v>1299</v>
      </c>
      <c r="H423" s="113">
        <f t="shared" si="75"/>
        <v>0</v>
      </c>
      <c r="I423" s="93">
        <f t="shared" si="70"/>
        <v>23703.804123711339</v>
      </c>
      <c r="J423" s="88">
        <f t="shared" si="71"/>
        <v>25834.483146067414</v>
      </c>
      <c r="K423" s="112">
        <f t="shared" si="72"/>
        <v>29.3215</v>
      </c>
      <c r="L423" s="84">
        <v>6266.49</v>
      </c>
      <c r="M423" s="115"/>
      <c r="N423" s="111">
        <f t="shared" si="73"/>
        <v>38797.868000382012</v>
      </c>
      <c r="O423" s="112" t="s">
        <v>1498</v>
      </c>
      <c r="P423" s="116"/>
    </row>
    <row r="424" spans="1:16" x14ac:dyDescent="0.2">
      <c r="A424" s="116" t="s">
        <v>1400</v>
      </c>
      <c r="B424" s="116" t="s">
        <v>1401</v>
      </c>
      <c r="C424" s="98">
        <v>33444.1</v>
      </c>
      <c r="D424" s="1">
        <v>3</v>
      </c>
      <c r="E424" s="116">
        <v>14.15</v>
      </c>
      <c r="F424" s="115">
        <f t="shared" si="74"/>
        <v>17.121500000000001</v>
      </c>
      <c r="G424" s="114" t="s">
        <v>1619</v>
      </c>
      <c r="H424" s="113">
        <f t="shared" si="75"/>
        <v>16.213999999999999</v>
      </c>
      <c r="I424" s="93">
        <f t="shared" si="70"/>
        <v>34478.453608247422</v>
      </c>
      <c r="J424" s="88">
        <f t="shared" si="71"/>
        <v>37577.6404494382</v>
      </c>
      <c r="K424" s="112">
        <f t="shared" si="72"/>
        <v>45.535499999999999</v>
      </c>
      <c r="L424" s="84">
        <v>8335</v>
      </c>
      <c r="M424" s="115"/>
      <c r="N424" s="111">
        <f t="shared" si="73"/>
        <v>69740.319061039743</v>
      </c>
      <c r="O424" s="112" t="s">
        <v>1498</v>
      </c>
      <c r="P424" s="116"/>
    </row>
    <row r="425" spans="1:16" x14ac:dyDescent="0.2">
      <c r="A425" s="116" t="s">
        <v>1450</v>
      </c>
      <c r="B425" s="116" t="s">
        <v>1457</v>
      </c>
      <c r="C425" s="98">
        <v>39714.74</v>
      </c>
      <c r="D425" s="1">
        <v>3</v>
      </c>
      <c r="E425" s="116">
        <v>14.15</v>
      </c>
      <c r="F425" s="115">
        <f t="shared" si="74"/>
        <v>17.121500000000001</v>
      </c>
      <c r="G425" s="114" t="s">
        <v>1300</v>
      </c>
      <c r="H425" s="113">
        <f t="shared" si="75"/>
        <v>0</v>
      </c>
      <c r="I425" s="93">
        <f t="shared" si="70"/>
        <v>40943.030927835054</v>
      </c>
      <c r="J425" s="88">
        <f t="shared" si="71"/>
        <v>44623.303370786511</v>
      </c>
      <c r="K425" s="112">
        <f t="shared" si="72"/>
        <v>29.3215</v>
      </c>
      <c r="L425" s="84">
        <v>5873</v>
      </c>
      <c r="M425" s="115"/>
      <c r="N425" s="111">
        <f t="shared" si="73"/>
        <v>62063.694482763494</v>
      </c>
      <c r="O425" s="112" t="s">
        <v>1498</v>
      </c>
      <c r="P425" s="116"/>
    </row>
    <row r="426" spans="1:16" x14ac:dyDescent="0.2">
      <c r="A426" s="116" t="s">
        <v>1499</v>
      </c>
      <c r="B426" s="116" t="s">
        <v>1512</v>
      </c>
      <c r="C426" s="98">
        <v>87550</v>
      </c>
      <c r="D426" s="1">
        <v>3</v>
      </c>
      <c r="E426" s="116">
        <v>14.5</v>
      </c>
      <c r="F426" s="115">
        <f t="shared" ref="F426:F432" si="76">E426*1.21</f>
        <v>17.544999999999998</v>
      </c>
      <c r="G426" s="114" t="s">
        <v>903</v>
      </c>
      <c r="H426" s="113">
        <f t="shared" ref="H426:H432" si="77">(IF(G426=$G$3,$H$3)+IF(G426=$G$4,$H$4)+IF(G426=$G$5,$H$5)+IF(G426=$G$6,$H$6)+IF(G426=$G$7,$H$7)+IF(G426=$G$8,$H$8)+IF(G426=$G$9,$H$9)+IF(G426=$G$10,$H$10)+IF(G426=$G$11,$H$11))</f>
        <v>0</v>
      </c>
      <c r="I426" s="93">
        <f t="shared" si="70"/>
        <v>90257.731958762888</v>
      </c>
      <c r="J426" s="88">
        <f t="shared" si="71"/>
        <v>98370.786516853928</v>
      </c>
      <c r="K426" s="112">
        <f t="shared" si="72"/>
        <v>29.744999999999997</v>
      </c>
      <c r="L426" s="84">
        <v>5238.49</v>
      </c>
      <c r="M426" s="115"/>
      <c r="N426" s="111">
        <f t="shared" si="73"/>
        <v>129855.95494911395</v>
      </c>
      <c r="O426" s="112" t="s">
        <v>1498</v>
      </c>
      <c r="P426" s="116"/>
    </row>
    <row r="427" spans="1:16" x14ac:dyDescent="0.2">
      <c r="A427" s="116" t="s">
        <v>1501</v>
      </c>
      <c r="B427" s="116" t="s">
        <v>1513</v>
      </c>
      <c r="C427" s="98">
        <v>166248.18</v>
      </c>
      <c r="D427" s="1">
        <v>3</v>
      </c>
      <c r="E427" s="116">
        <v>14.5</v>
      </c>
      <c r="F427" s="115">
        <f t="shared" si="76"/>
        <v>17.544999999999998</v>
      </c>
      <c r="G427" s="114" t="s">
        <v>1300</v>
      </c>
      <c r="H427" s="113">
        <f t="shared" si="77"/>
        <v>0</v>
      </c>
      <c r="I427" s="93">
        <f t="shared" si="70"/>
        <v>171389.87628865978</v>
      </c>
      <c r="J427" s="88">
        <f t="shared" si="71"/>
        <v>186795.70786516852</v>
      </c>
      <c r="K427" s="112">
        <f t="shared" si="72"/>
        <v>29.744999999999997</v>
      </c>
      <c r="L427" s="84">
        <v>5872.99</v>
      </c>
      <c r="M427" s="115"/>
      <c r="N427" s="111">
        <f t="shared" si="73"/>
        <v>242508.36114796097</v>
      </c>
      <c r="O427" s="112" t="s">
        <v>1498</v>
      </c>
      <c r="P427" s="116"/>
    </row>
    <row r="428" spans="1:16" x14ac:dyDescent="0.2">
      <c r="A428" s="116" t="s">
        <v>1503</v>
      </c>
      <c r="B428" s="116" t="s">
        <v>1511</v>
      </c>
      <c r="C428" s="98">
        <v>166248.18</v>
      </c>
      <c r="D428" s="1">
        <v>3</v>
      </c>
      <c r="E428" s="116">
        <v>14.5</v>
      </c>
      <c r="F428" s="115">
        <f t="shared" si="76"/>
        <v>17.544999999999998</v>
      </c>
      <c r="G428" s="114" t="s">
        <v>1300</v>
      </c>
      <c r="H428" s="113">
        <f t="shared" si="77"/>
        <v>0</v>
      </c>
      <c r="I428" s="93">
        <f t="shared" si="70"/>
        <v>171389.87628865978</v>
      </c>
      <c r="J428" s="88">
        <f t="shared" si="71"/>
        <v>186795.70786516852</v>
      </c>
      <c r="K428" s="112">
        <f t="shared" si="72"/>
        <v>29.744999999999997</v>
      </c>
      <c r="L428" s="84">
        <v>13685.49</v>
      </c>
      <c r="M428" s="115"/>
      <c r="N428" s="111">
        <f t="shared" si="73"/>
        <v>250320.86114796097</v>
      </c>
      <c r="O428" s="112" t="s">
        <v>1498</v>
      </c>
      <c r="P428" s="116"/>
    </row>
    <row r="429" spans="1:16" x14ac:dyDescent="0.2">
      <c r="A429" s="116" t="s">
        <v>1505</v>
      </c>
      <c r="B429" s="116" t="s">
        <v>1518</v>
      </c>
      <c r="C429" s="98">
        <v>70989.45</v>
      </c>
      <c r="D429" s="1">
        <v>3</v>
      </c>
      <c r="E429" s="116">
        <v>14.5</v>
      </c>
      <c r="F429" s="115">
        <f t="shared" si="76"/>
        <v>17.544999999999998</v>
      </c>
      <c r="G429" s="114" t="s">
        <v>902</v>
      </c>
      <c r="H429" s="113">
        <f t="shared" si="77"/>
        <v>0</v>
      </c>
      <c r="I429" s="93">
        <f t="shared" si="70"/>
        <v>73185</v>
      </c>
      <c r="J429" s="88">
        <f t="shared" si="71"/>
        <v>79763.426966292129</v>
      </c>
      <c r="K429" s="112">
        <f t="shared" si="72"/>
        <v>29.744999999999997</v>
      </c>
      <c r="L429" s="84">
        <v>9899.49</v>
      </c>
      <c r="M429" s="115"/>
      <c r="N429" s="111">
        <f t="shared" si="73"/>
        <v>110944.89602092378</v>
      </c>
      <c r="O429" s="112" t="s">
        <v>1498</v>
      </c>
      <c r="P429" s="116"/>
    </row>
    <row r="430" spans="1:16" x14ac:dyDescent="0.2">
      <c r="A430" s="116" t="s">
        <v>1506</v>
      </c>
      <c r="B430" s="116" t="s">
        <v>1520</v>
      </c>
      <c r="C430" s="98">
        <v>35533.97</v>
      </c>
      <c r="D430" s="1">
        <v>3</v>
      </c>
      <c r="E430" s="116">
        <v>14.15</v>
      </c>
      <c r="F430" s="115">
        <f t="shared" si="76"/>
        <v>17.121500000000001</v>
      </c>
      <c r="G430" s="114" t="s">
        <v>903</v>
      </c>
      <c r="H430" s="113">
        <f t="shared" si="77"/>
        <v>0</v>
      </c>
      <c r="I430" s="93">
        <f t="shared" si="70"/>
        <v>36632.958762886599</v>
      </c>
      <c r="J430" s="88">
        <f t="shared" si="71"/>
        <v>39925.808988764045</v>
      </c>
      <c r="K430" s="112">
        <f t="shared" si="72"/>
        <v>29.3215</v>
      </c>
      <c r="L430" s="84">
        <v>5872.99</v>
      </c>
      <c r="M430" s="115"/>
      <c r="N430" s="111">
        <f t="shared" si="73"/>
        <v>56148.491036383057</v>
      </c>
      <c r="O430" s="112" t="s">
        <v>1498</v>
      </c>
      <c r="P430" s="116"/>
    </row>
    <row r="431" spans="1:16" x14ac:dyDescent="0.2">
      <c r="A431" s="116" t="s">
        <v>1507</v>
      </c>
      <c r="B431" s="116" t="s">
        <v>1519</v>
      </c>
      <c r="C431" s="98">
        <v>98952.37</v>
      </c>
      <c r="D431" s="1">
        <v>3</v>
      </c>
      <c r="E431" s="116">
        <v>14.15</v>
      </c>
      <c r="F431" s="115">
        <f t="shared" si="76"/>
        <v>17.121500000000001</v>
      </c>
      <c r="G431" s="114" t="s">
        <v>903</v>
      </c>
      <c r="H431" s="113">
        <f t="shared" si="77"/>
        <v>0</v>
      </c>
      <c r="I431" s="93">
        <f t="shared" si="70"/>
        <v>102012.75257731958</v>
      </c>
      <c r="J431" s="88">
        <f t="shared" si="71"/>
        <v>111182.43820224718</v>
      </c>
      <c r="K431" s="112">
        <f t="shared" si="72"/>
        <v>29.3215</v>
      </c>
      <c r="L431" s="84">
        <v>9899.49</v>
      </c>
      <c r="M431" s="115"/>
      <c r="N431" s="111">
        <f t="shared" si="73"/>
        <v>149902.98469782181</v>
      </c>
      <c r="O431" s="112" t="s">
        <v>1498</v>
      </c>
      <c r="P431" s="116"/>
    </row>
    <row r="432" spans="1:16" x14ac:dyDescent="0.2">
      <c r="A432" s="116" t="s">
        <v>1508</v>
      </c>
      <c r="B432" s="116" t="s">
        <v>1521</v>
      </c>
      <c r="C432" s="98">
        <v>98952.37</v>
      </c>
      <c r="D432" s="1">
        <v>3</v>
      </c>
      <c r="E432" s="116">
        <v>14.15</v>
      </c>
      <c r="F432" s="115">
        <f t="shared" si="76"/>
        <v>17.121500000000001</v>
      </c>
      <c r="G432" s="114" t="s">
        <v>1460</v>
      </c>
      <c r="H432" s="113">
        <f t="shared" si="77"/>
        <v>10.285</v>
      </c>
      <c r="I432" s="93">
        <f t="shared" si="70"/>
        <v>102012.75257731958</v>
      </c>
      <c r="J432" s="88">
        <f t="shared" si="71"/>
        <v>111182.43820224718</v>
      </c>
      <c r="K432" s="112">
        <f t="shared" si="72"/>
        <v>39.606499999999997</v>
      </c>
      <c r="L432" s="84">
        <v>9899.49</v>
      </c>
      <c r="M432" s="115"/>
      <c r="N432" s="111">
        <f t="shared" si="73"/>
        <v>173745.54959250579</v>
      </c>
      <c r="O432" s="112" t="s">
        <v>1498</v>
      </c>
      <c r="P432" s="116"/>
    </row>
    <row r="433" spans="1:16" x14ac:dyDescent="0.2">
      <c r="A433" s="116"/>
      <c r="B433" s="116"/>
      <c r="C433" s="98"/>
      <c r="D433" s="1">
        <v>3</v>
      </c>
      <c r="E433" s="116"/>
      <c r="F433" s="115">
        <f t="shared" si="74"/>
        <v>0</v>
      </c>
      <c r="G433" s="114" t="s">
        <v>903</v>
      </c>
      <c r="H433" s="113">
        <f t="shared" si="75"/>
        <v>0</v>
      </c>
      <c r="I433" s="93">
        <f t="shared" si="70"/>
        <v>0</v>
      </c>
      <c r="J433" s="88">
        <f t="shared" si="71"/>
        <v>0</v>
      </c>
      <c r="K433" s="112">
        <f t="shared" si="72"/>
        <v>12.2</v>
      </c>
      <c r="L433" s="84">
        <v>0</v>
      </c>
      <c r="M433" s="115"/>
      <c r="N433" s="111">
        <f t="shared" si="73"/>
        <v>0</v>
      </c>
      <c r="O433" s="112"/>
      <c r="P433" s="116"/>
    </row>
    <row r="434" spans="1:16" x14ac:dyDescent="0.2">
      <c r="A434" s="116"/>
      <c r="B434" s="116"/>
      <c r="C434" s="98">
        <v>230000</v>
      </c>
      <c r="D434" s="1">
        <v>3</v>
      </c>
      <c r="E434" s="116"/>
      <c r="F434" s="115">
        <f t="shared" si="74"/>
        <v>0</v>
      </c>
      <c r="G434" s="114" t="s">
        <v>903</v>
      </c>
      <c r="H434" s="113">
        <f t="shared" si="75"/>
        <v>0</v>
      </c>
      <c r="I434" s="93">
        <f t="shared" si="70"/>
        <v>237113.40206185568</v>
      </c>
      <c r="J434" s="88">
        <f t="shared" si="71"/>
        <v>258426.96629213484</v>
      </c>
      <c r="K434" s="112">
        <f t="shared" si="72"/>
        <v>12.2</v>
      </c>
      <c r="L434" s="84">
        <v>0</v>
      </c>
      <c r="M434" s="115"/>
      <c r="N434" s="111">
        <f t="shared" si="73"/>
        <v>261958.99772209566</v>
      </c>
      <c r="O434" s="112"/>
      <c r="P434" s="116"/>
    </row>
    <row r="435" spans="1:16" x14ac:dyDescent="0.2">
      <c r="A435" s="116"/>
      <c r="B435" s="116"/>
      <c r="C435" s="98">
        <v>55000</v>
      </c>
      <c r="D435" s="1">
        <v>3</v>
      </c>
      <c r="E435" s="116">
        <v>14.15</v>
      </c>
      <c r="F435" s="115">
        <f t="shared" si="74"/>
        <v>17.121500000000001</v>
      </c>
      <c r="G435" s="114" t="s">
        <v>903</v>
      </c>
      <c r="H435" s="113">
        <f t="shared" si="75"/>
        <v>0</v>
      </c>
      <c r="I435" s="93">
        <f t="shared" si="70"/>
        <v>56701.030927835054</v>
      </c>
      <c r="J435" s="88">
        <f t="shared" si="71"/>
        <v>61797.752808988764</v>
      </c>
      <c r="K435" s="112">
        <f t="shared" si="72"/>
        <v>29.3215</v>
      </c>
      <c r="L435" s="84">
        <v>0</v>
      </c>
      <c r="M435" s="115"/>
      <c r="N435" s="111">
        <f t="shared" si="73"/>
        <v>77817.157975904978</v>
      </c>
      <c r="O435" s="112"/>
      <c r="P435" s="116"/>
    </row>
    <row r="436" spans="1:16" x14ac:dyDescent="0.2">
      <c r="A436" s="116"/>
      <c r="B436" s="116"/>
      <c r="C436" s="98"/>
      <c r="D436" s="1"/>
      <c r="E436" s="116"/>
      <c r="F436" s="115"/>
      <c r="G436" s="114"/>
      <c r="H436" s="113"/>
      <c r="I436" s="93"/>
      <c r="J436" s="88"/>
      <c r="K436" s="112"/>
      <c r="L436" s="84"/>
      <c r="M436" s="115"/>
      <c r="N436" s="111"/>
      <c r="O436" s="112"/>
      <c r="P436" s="116"/>
    </row>
    <row r="437" spans="1:16" x14ac:dyDescent="0.2">
      <c r="A437" s="116"/>
      <c r="B437" s="116"/>
      <c r="C437" s="98"/>
      <c r="D437" s="1"/>
      <c r="E437" s="116"/>
      <c r="F437" s="115"/>
      <c r="G437" s="114"/>
      <c r="H437" s="113"/>
      <c r="I437" s="93"/>
      <c r="J437" s="88"/>
      <c r="K437" s="112"/>
      <c r="L437" s="84"/>
      <c r="M437" s="115"/>
      <c r="N437" s="111"/>
      <c r="O437" s="112"/>
      <c r="P437" s="116"/>
    </row>
    <row r="438" spans="1:16" x14ac:dyDescent="0.2">
      <c r="A438" s="116"/>
      <c r="B438" s="116"/>
      <c r="C438" s="98"/>
      <c r="D438" s="1"/>
      <c r="E438" s="116"/>
      <c r="F438" s="115"/>
      <c r="G438" s="114"/>
      <c r="H438" s="113"/>
      <c r="I438" s="93"/>
      <c r="J438" s="88"/>
      <c r="K438" s="112"/>
      <c r="L438" s="84"/>
      <c r="M438" s="115"/>
      <c r="N438" s="111"/>
      <c r="O438" s="112"/>
      <c r="P438" s="116"/>
    </row>
    <row r="439" spans="1:16" x14ac:dyDescent="0.2">
      <c r="A439" s="116"/>
      <c r="B439" s="116"/>
      <c r="C439" s="98"/>
      <c r="D439" s="1"/>
      <c r="E439" s="116"/>
      <c r="F439" s="115"/>
      <c r="G439" s="114"/>
      <c r="H439" s="113"/>
      <c r="I439" s="93"/>
      <c r="J439" s="88"/>
      <c r="K439" s="112"/>
      <c r="L439" s="84"/>
      <c r="M439" s="115"/>
      <c r="N439" s="111"/>
      <c r="O439" s="112"/>
      <c r="P439" s="116"/>
    </row>
    <row r="440" spans="1:16" x14ac:dyDescent="0.2">
      <c r="A440" s="116" t="s">
        <v>1385</v>
      </c>
      <c r="B440" s="116" t="s">
        <v>1448</v>
      </c>
      <c r="C440" s="98">
        <v>26150.95</v>
      </c>
      <c r="D440" s="1">
        <v>3</v>
      </c>
      <c r="E440" s="116">
        <v>16</v>
      </c>
      <c r="F440" s="115">
        <f>E440*1.21</f>
        <v>19.36</v>
      </c>
      <c r="G440" s="114" t="s">
        <v>1299</v>
      </c>
      <c r="H440" s="113">
        <f>(IF(G440=$G$3,$H$3)+IF(G440=$G$4,$H$4)+IF(G440=$G$5,$H$5)+IF(G440=$G$6,$H$6)+IF(G440=$G$7,$H$7)+IF(G440=$G$8,$H$8)+IF(G440=$G$9,$H$9)+IF(G440=$G$10,$H$10)+IF(G440=$G$11,$H$11))</f>
        <v>0</v>
      </c>
      <c r="I440" s="93">
        <f>(C440/(($J$3-D440)/100))</f>
        <v>26959.742268041238</v>
      </c>
      <c r="J440" s="88">
        <f>(C440/(($J$3-D440)/100-(0.08)))</f>
        <v>29383.08988764045</v>
      </c>
      <c r="K440" s="112">
        <f>(D440+8+1.2)+(F440+H440)</f>
        <v>31.56</v>
      </c>
      <c r="L440" s="84"/>
      <c r="M440" s="115"/>
      <c r="N440" s="111">
        <f>C440/((100-K440)/100)+L440</f>
        <v>38210.037989479839</v>
      </c>
      <c r="O440" s="112"/>
      <c r="P440" s="116"/>
    </row>
    <row r="441" spans="1:16" x14ac:dyDescent="0.2">
      <c r="A441" s="116" t="s">
        <v>1381</v>
      </c>
      <c r="B441" s="116" t="s">
        <v>1382</v>
      </c>
      <c r="C441" s="98">
        <v>27022.67</v>
      </c>
      <c r="D441" s="1">
        <v>3</v>
      </c>
      <c r="E441" s="116">
        <v>16</v>
      </c>
      <c r="F441" s="115">
        <f>E441*1.21</f>
        <v>19.36</v>
      </c>
      <c r="G441" s="114" t="s">
        <v>1299</v>
      </c>
      <c r="H441" s="113">
        <f>(IF(G441=$G$3,$H$3)+IF(G441=$G$4,$H$4)+IF(G441=$G$5,$H$5)+IF(G441=$G$6,$H$6)+IF(G441=$G$7,$H$7)+IF(G441=$G$8,$H$8)+IF(G441=$G$9,$H$9)+IF(G441=$G$10,$H$10)+IF(G441=$G$11,$H$11))</f>
        <v>0</v>
      </c>
      <c r="I441" s="93">
        <f>(C441/(($J$3-D441)/100))</f>
        <v>27858.422680412372</v>
      </c>
      <c r="J441" s="88">
        <f>(C441/(($J$3-D441)/100-(0.08)))</f>
        <v>30362.550561797751</v>
      </c>
      <c r="K441" s="112">
        <f>(D441+8+1.2)+(F441+H441)</f>
        <v>31.56</v>
      </c>
      <c r="L441" s="84"/>
      <c r="M441" s="115"/>
      <c r="N441" s="111">
        <f>C441/((100-K441)/100)+L441</f>
        <v>39483.737580362358</v>
      </c>
      <c r="O441" s="112"/>
      <c r="P441" s="116"/>
    </row>
    <row r="442" spans="1:16" x14ac:dyDescent="0.2">
      <c r="A442" s="116" t="s">
        <v>1357</v>
      </c>
      <c r="B442" s="116" t="s">
        <v>1441</v>
      </c>
      <c r="C442" s="98">
        <v>17433.82</v>
      </c>
      <c r="D442" s="1">
        <v>3</v>
      </c>
      <c r="E442" s="116">
        <v>16</v>
      </c>
      <c r="F442" s="115">
        <f>E442*1.21</f>
        <v>19.36</v>
      </c>
      <c r="G442" s="114" t="s">
        <v>1299</v>
      </c>
      <c r="H442" s="113">
        <f>(IF(G442=$G$3,$H$3)+IF(G442=$G$4,$H$4)+IF(G442=$G$5,$H$5)+IF(G442=$G$6,$H$6)+IF(G442=$G$7,$H$7)+IF(G442=$G$8,$H$8)+IF(G442=$G$9,$H$9)+IF(G442=$G$10,$H$10)+IF(G442=$G$11,$H$11))</f>
        <v>0</v>
      </c>
      <c r="I442" s="93">
        <f>(C442/(($J$3-D442)/100))</f>
        <v>17973.01030927835</v>
      </c>
      <c r="J442" s="88">
        <f>(C442/(($J$3-D442)/100-(0.08)))</f>
        <v>19588.561797752809</v>
      </c>
      <c r="K442" s="112">
        <f>(D442+8+1.2)+(F442+H442)</f>
        <v>31.56</v>
      </c>
      <c r="L442" s="84"/>
      <c r="M442" s="115"/>
      <c r="N442" s="111">
        <f>C442/((100-K442)/100)+L442</f>
        <v>25473.144360023376</v>
      </c>
      <c r="O442" s="112"/>
      <c r="P442" s="116"/>
    </row>
    <row r="443" spans="1:16" x14ac:dyDescent="0.2">
      <c r="A443" s="116"/>
      <c r="B443" s="116"/>
      <c r="C443" s="98"/>
      <c r="D443" s="1"/>
      <c r="E443" s="116"/>
      <c r="F443" s="115"/>
      <c r="G443" s="114"/>
      <c r="H443" s="113"/>
      <c r="I443" s="93"/>
      <c r="J443" s="88"/>
      <c r="K443" s="112"/>
      <c r="L443" s="84"/>
      <c r="M443" s="115"/>
      <c r="N443" s="111">
        <f>SUM(N440:N442)</f>
        <v>103166.91992986557</v>
      </c>
      <c r="O443" s="112"/>
      <c r="P443" s="116"/>
    </row>
    <row r="444" spans="1:16" x14ac:dyDescent="0.2">
      <c r="A444" s="116"/>
      <c r="B444" s="116"/>
      <c r="C444" s="98"/>
      <c r="D444" s="1"/>
      <c r="E444" s="116"/>
      <c r="F444" s="115"/>
      <c r="G444" s="114"/>
      <c r="H444" s="113"/>
      <c r="I444" s="93"/>
      <c r="J444" s="88"/>
      <c r="K444" s="112"/>
      <c r="L444" s="84"/>
      <c r="M444" s="115"/>
      <c r="N444" s="111"/>
      <c r="O444" s="112"/>
      <c r="P444" s="116"/>
    </row>
    <row r="445" spans="1:16" x14ac:dyDescent="0.2">
      <c r="A445" s="116"/>
      <c r="B445" s="116"/>
      <c r="C445" s="98"/>
      <c r="D445" s="1"/>
      <c r="E445" s="116"/>
      <c r="F445" s="115"/>
      <c r="G445" s="114"/>
      <c r="H445" s="113"/>
      <c r="I445" s="93"/>
      <c r="J445" s="88"/>
      <c r="K445" s="112"/>
      <c r="L445" s="84"/>
      <c r="M445" s="115"/>
      <c r="N445" s="111"/>
      <c r="O445" s="112"/>
      <c r="P445" s="116"/>
    </row>
    <row r="446" spans="1:16" x14ac:dyDescent="0.2">
      <c r="A446" s="116" t="s">
        <v>1471</v>
      </c>
      <c r="B446" s="116" t="s">
        <v>1472</v>
      </c>
      <c r="C446" s="98">
        <v>370800</v>
      </c>
      <c r="D446" s="1">
        <v>3</v>
      </c>
      <c r="E446" s="116">
        <v>14.15</v>
      </c>
      <c r="F446" s="115">
        <f t="shared" ref="F446:F451" si="78">E446*1.21</f>
        <v>17.121500000000001</v>
      </c>
      <c r="G446" s="114" t="s">
        <v>903</v>
      </c>
      <c r="H446" s="113">
        <f t="shared" ref="H446:H451" si="79">(IF(G446=$G$3,$H$3)+IF(G446=$G$4,$H$4)+IF(G446=$G$5,$H$5)+IF(G446=$G$6,$H$6)+IF(G446=$G$7,$H$7)+IF(G446=$G$8,$H$8)+IF(G446=$G$9,$H$9)+IF(G446=$G$10,$H$10)+IF(G446=$G$11,$H$11))</f>
        <v>0</v>
      </c>
      <c r="I446" s="93">
        <f t="shared" ref="I446:I451" si="80">(C446/(($J$3-D446)/100))</f>
        <v>382268.04123711342</v>
      </c>
      <c r="J446" s="88">
        <f t="shared" ref="J446:J451" si="81">(C446/(($J$3-D446)/100-(0.08)))</f>
        <v>416629.21348314604</v>
      </c>
      <c r="K446" s="112">
        <f t="shared" ref="K446:K451" si="82">(D446+8+1.2)+(F446+H446)</f>
        <v>29.3215</v>
      </c>
      <c r="L446" s="84"/>
      <c r="M446" s="115"/>
      <c r="N446" s="111">
        <f t="shared" ref="N446:N484" si="83">C446/((100-K446)/100)+L446</f>
        <v>524629.13049937389</v>
      </c>
      <c r="O446" s="112" t="s">
        <v>1094</v>
      </c>
      <c r="P446" s="116" t="s">
        <v>38</v>
      </c>
    </row>
    <row r="447" spans="1:16" x14ac:dyDescent="0.2">
      <c r="A447" s="116" t="s">
        <v>1471</v>
      </c>
      <c r="B447" s="116" t="s">
        <v>1472</v>
      </c>
      <c r="C447" s="98">
        <v>370800</v>
      </c>
      <c r="D447" s="1">
        <v>3</v>
      </c>
      <c r="E447" s="116">
        <v>14.15</v>
      </c>
      <c r="F447" s="115">
        <f t="shared" si="78"/>
        <v>17.121500000000001</v>
      </c>
      <c r="G447" s="114" t="s">
        <v>1237</v>
      </c>
      <c r="H447" s="113">
        <f t="shared" si="79"/>
        <v>4.84</v>
      </c>
      <c r="I447" s="93">
        <f t="shared" si="80"/>
        <v>382268.04123711342</v>
      </c>
      <c r="J447" s="88">
        <f t="shared" si="81"/>
        <v>416629.21348314604</v>
      </c>
      <c r="K447" s="112">
        <f t="shared" si="82"/>
        <v>34.161500000000004</v>
      </c>
      <c r="L447" s="84"/>
      <c r="M447" s="115"/>
      <c r="N447" s="111">
        <f t="shared" si="83"/>
        <v>563196.30611268478</v>
      </c>
      <c r="O447" s="112" t="s">
        <v>1094</v>
      </c>
      <c r="P447" s="116" t="s">
        <v>38</v>
      </c>
    </row>
    <row r="448" spans="1:16" x14ac:dyDescent="0.2">
      <c r="A448" s="116" t="s">
        <v>1471</v>
      </c>
      <c r="B448" s="116" t="s">
        <v>1472</v>
      </c>
      <c r="C448" s="98">
        <v>370800</v>
      </c>
      <c r="D448" s="1">
        <v>3</v>
      </c>
      <c r="E448" s="116">
        <v>14.15</v>
      </c>
      <c r="F448" s="115">
        <f t="shared" si="78"/>
        <v>17.121500000000001</v>
      </c>
      <c r="G448" s="114" t="s">
        <v>1299</v>
      </c>
      <c r="H448" s="113">
        <f t="shared" si="79"/>
        <v>0</v>
      </c>
      <c r="I448" s="93">
        <f t="shared" si="80"/>
        <v>382268.04123711342</v>
      </c>
      <c r="J448" s="88">
        <f t="shared" si="81"/>
        <v>416629.21348314604</v>
      </c>
      <c r="K448" s="112">
        <f t="shared" si="82"/>
        <v>29.3215</v>
      </c>
      <c r="L448" s="84"/>
      <c r="M448" s="115"/>
      <c r="N448" s="111">
        <f t="shared" si="83"/>
        <v>524629.13049937389</v>
      </c>
      <c r="O448" s="112" t="s">
        <v>1094</v>
      </c>
      <c r="P448" s="116" t="s">
        <v>38</v>
      </c>
    </row>
    <row r="449" spans="1:16" x14ac:dyDescent="0.2">
      <c r="A449" s="116" t="s">
        <v>1471</v>
      </c>
      <c r="B449" s="116" t="s">
        <v>1472</v>
      </c>
      <c r="C449" s="98">
        <v>370800</v>
      </c>
      <c r="D449" s="1">
        <v>3</v>
      </c>
      <c r="E449" s="116">
        <v>14.15</v>
      </c>
      <c r="F449" s="115">
        <f t="shared" si="78"/>
        <v>17.121500000000001</v>
      </c>
      <c r="G449" s="114" t="s">
        <v>1300</v>
      </c>
      <c r="H449" s="113">
        <f t="shared" si="79"/>
        <v>0</v>
      </c>
      <c r="I449" s="93">
        <f t="shared" si="80"/>
        <v>382268.04123711342</v>
      </c>
      <c r="J449" s="88">
        <f t="shared" si="81"/>
        <v>416629.21348314604</v>
      </c>
      <c r="K449" s="112">
        <f t="shared" si="82"/>
        <v>29.3215</v>
      </c>
      <c r="L449" s="84"/>
      <c r="M449" s="115"/>
      <c r="N449" s="111">
        <f t="shared" si="83"/>
        <v>524629.13049937389</v>
      </c>
      <c r="O449" s="112" t="s">
        <v>1094</v>
      </c>
      <c r="P449" s="116" t="s">
        <v>38</v>
      </c>
    </row>
    <row r="450" spans="1:16" x14ac:dyDescent="0.2">
      <c r="A450" s="116" t="s">
        <v>1471</v>
      </c>
      <c r="B450" s="116" t="s">
        <v>1472</v>
      </c>
      <c r="C450" s="98">
        <v>370800</v>
      </c>
      <c r="D450" s="1">
        <v>3</v>
      </c>
      <c r="E450" s="116">
        <v>14.15</v>
      </c>
      <c r="F450" s="115">
        <f t="shared" si="78"/>
        <v>17.121500000000001</v>
      </c>
      <c r="G450" s="114" t="s">
        <v>1301</v>
      </c>
      <c r="H450" s="113">
        <f t="shared" si="79"/>
        <v>0</v>
      </c>
      <c r="I450" s="93">
        <f t="shared" si="80"/>
        <v>382268.04123711342</v>
      </c>
      <c r="J450" s="88">
        <f t="shared" si="81"/>
        <v>416629.21348314604</v>
      </c>
      <c r="K450" s="112">
        <f t="shared" si="82"/>
        <v>29.3215</v>
      </c>
      <c r="L450" s="84"/>
      <c r="M450" s="115"/>
      <c r="N450" s="111">
        <f t="shared" si="83"/>
        <v>524629.13049937389</v>
      </c>
      <c r="O450" s="112" t="s">
        <v>1094</v>
      </c>
      <c r="P450" s="116" t="s">
        <v>38</v>
      </c>
    </row>
    <row r="451" spans="1:16" x14ac:dyDescent="0.2">
      <c r="A451" s="116" t="s">
        <v>1471</v>
      </c>
      <c r="B451" s="116" t="s">
        <v>1472</v>
      </c>
      <c r="C451" s="98">
        <v>370800</v>
      </c>
      <c r="D451" s="1">
        <v>3</v>
      </c>
      <c r="E451" s="116">
        <v>14.15</v>
      </c>
      <c r="F451" s="115">
        <f t="shared" si="78"/>
        <v>17.121500000000001</v>
      </c>
      <c r="G451" s="114" t="s">
        <v>1302</v>
      </c>
      <c r="H451" s="113">
        <f t="shared" si="79"/>
        <v>0</v>
      </c>
      <c r="I451" s="93">
        <f t="shared" si="80"/>
        <v>382268.04123711342</v>
      </c>
      <c r="J451" s="88">
        <f t="shared" si="81"/>
        <v>416629.21348314604</v>
      </c>
      <c r="K451" s="112">
        <f t="shared" si="82"/>
        <v>29.3215</v>
      </c>
      <c r="L451" s="84"/>
      <c r="M451" s="115"/>
      <c r="N451" s="111">
        <f t="shared" si="83"/>
        <v>524629.13049937389</v>
      </c>
      <c r="O451" s="112" t="s">
        <v>1094</v>
      </c>
      <c r="P451" s="116" t="s">
        <v>38</v>
      </c>
    </row>
    <row r="452" spans="1:16" x14ac:dyDescent="0.2">
      <c r="A452" s="116"/>
      <c r="B452" s="116"/>
      <c r="C452" s="98"/>
      <c r="D452" s="1"/>
      <c r="E452" s="116"/>
      <c r="F452" s="115"/>
      <c r="G452" s="114"/>
      <c r="H452" s="113">
        <f>(IF(G452=$G$3,$H$3)+IF(G452=$G$4,$H$4)+IF(G452=$G$5,$H$5)+IF(G452=$G$6,$H$6)+IF(G452=$G$7,$H$7)+IF(G452=$G$8,$H$8)+IF(G452=$G$9,$H$9)+IF(G452=$G$10,$H$10)+IF(G452=$G$11,$H$11))</f>
        <v>0</v>
      </c>
      <c r="I452" s="93"/>
      <c r="J452" s="88"/>
      <c r="K452" s="112"/>
      <c r="L452" s="84"/>
      <c r="M452" s="115"/>
      <c r="N452" s="111">
        <f t="shared" si="83"/>
        <v>0</v>
      </c>
      <c r="O452" s="112"/>
      <c r="P452" s="116"/>
    </row>
    <row r="453" spans="1:16" x14ac:dyDescent="0.2">
      <c r="A453" s="116"/>
      <c r="B453" s="116"/>
      <c r="C453" s="98">
        <v>73100</v>
      </c>
      <c r="D453" s="1">
        <v>3</v>
      </c>
      <c r="E453" s="116">
        <v>12.15</v>
      </c>
      <c r="F453" s="115">
        <f>E453*1.21</f>
        <v>14.701499999999999</v>
      </c>
      <c r="G453" s="114" t="s">
        <v>903</v>
      </c>
      <c r="H453" s="113">
        <f>(IF(G453=$G$3,$H$3)+IF(G453=$G$4,$H$4)+IF(G453=$G$5,$H$5)+IF(G453=$G$6,$H$6)+IF(G453=$G$7,$H$7)+IF(G453=$G$8,$H$8)+IF(G453=$G$9,$H$9)+IF(G453=$G$10,$H$10)+IF(G453=$G$11,$H$11))</f>
        <v>0</v>
      </c>
      <c r="I453" s="93">
        <f t="shared" ref="I453:I484" si="84">(C453/(($J$3-D453)/100))</f>
        <v>75360.824742268043</v>
      </c>
      <c r="J453" s="88">
        <f t="shared" ref="J453:J469" si="85">(C453/(($J$3-D453)/100-(0.08)))</f>
        <v>82134.831460674162</v>
      </c>
      <c r="K453" s="112">
        <f t="shared" ref="K453:K484" si="86">(D453+8+1.2)+(F453+H453)</f>
        <v>26.901499999999999</v>
      </c>
      <c r="L453" s="84">
        <v>9900</v>
      </c>
      <c r="M453" s="115"/>
      <c r="N453" s="111">
        <f t="shared" si="83"/>
        <v>109902.05202569136</v>
      </c>
      <c r="O453" s="112"/>
      <c r="P453" s="116"/>
    </row>
    <row r="454" spans="1:16" x14ac:dyDescent="0.2">
      <c r="A454" s="116"/>
      <c r="B454" s="116"/>
      <c r="C454" s="98"/>
      <c r="D454" s="1"/>
      <c r="E454" s="116"/>
      <c r="F454" s="115">
        <f t="shared" ref="F454:F467" si="87">E454*1.21</f>
        <v>0</v>
      </c>
      <c r="G454" s="114" t="s">
        <v>903</v>
      </c>
      <c r="H454" s="113">
        <f t="shared" ref="H454:H467" si="88">(IF(G454=$G$3,$H$3)+IF(G454=$G$4,$H$4)+IF(G454=$G$5,$H$5)+IF(G454=$G$6,$H$6)+IF(G454=$G$7,$H$7)+IF(G454=$G$8,$H$8)+IF(G454=$G$9,$H$9)+IF(G454=$G$10,$H$10)+IF(G454=$G$11,$H$11))</f>
        <v>0</v>
      </c>
      <c r="I454" s="93">
        <f t="shared" si="84"/>
        <v>0</v>
      </c>
      <c r="J454" s="88">
        <f t="shared" si="85"/>
        <v>0</v>
      </c>
      <c r="K454" s="112">
        <f t="shared" si="86"/>
        <v>9.1999999999999993</v>
      </c>
      <c r="L454" s="84">
        <v>9901</v>
      </c>
      <c r="M454" s="115"/>
      <c r="N454" s="111">
        <f t="shared" si="83"/>
        <v>9901</v>
      </c>
      <c r="O454" s="112"/>
      <c r="P454" s="116"/>
    </row>
    <row r="455" spans="1:16" x14ac:dyDescent="0.2">
      <c r="A455" s="116"/>
      <c r="B455" s="116"/>
      <c r="C455" s="98"/>
      <c r="D455" s="1"/>
      <c r="E455" s="116"/>
      <c r="F455" s="115">
        <f t="shared" si="87"/>
        <v>0</v>
      </c>
      <c r="G455" s="114" t="s">
        <v>903</v>
      </c>
      <c r="H455" s="113">
        <f t="shared" si="88"/>
        <v>0</v>
      </c>
      <c r="I455" s="93">
        <f t="shared" si="84"/>
        <v>0</v>
      </c>
      <c r="J455" s="88">
        <f t="shared" si="85"/>
        <v>0</v>
      </c>
      <c r="K455" s="112">
        <f t="shared" si="86"/>
        <v>9.1999999999999993</v>
      </c>
      <c r="L455" s="84">
        <v>9902</v>
      </c>
      <c r="M455" s="115"/>
      <c r="N455" s="111">
        <f t="shared" si="83"/>
        <v>9902</v>
      </c>
      <c r="O455" s="112"/>
      <c r="P455" s="116"/>
    </row>
    <row r="456" spans="1:16" x14ac:dyDescent="0.2">
      <c r="A456" s="116"/>
      <c r="B456" s="116"/>
      <c r="C456" s="98"/>
      <c r="D456" s="1"/>
      <c r="E456" s="116"/>
      <c r="F456" s="115">
        <f t="shared" si="87"/>
        <v>0</v>
      </c>
      <c r="G456" s="114" t="s">
        <v>903</v>
      </c>
      <c r="H456" s="113">
        <f t="shared" si="88"/>
        <v>0</v>
      </c>
      <c r="I456" s="93">
        <f t="shared" si="84"/>
        <v>0</v>
      </c>
      <c r="J456" s="88">
        <f t="shared" si="85"/>
        <v>0</v>
      </c>
      <c r="K456" s="112">
        <f t="shared" si="86"/>
        <v>9.1999999999999993</v>
      </c>
      <c r="L456" s="84">
        <v>9903</v>
      </c>
      <c r="M456" s="115"/>
      <c r="N456" s="111">
        <f t="shared" si="83"/>
        <v>9903</v>
      </c>
      <c r="O456" s="112"/>
      <c r="P456" s="116"/>
    </row>
    <row r="457" spans="1:16" x14ac:dyDescent="0.2">
      <c r="A457" s="116"/>
      <c r="B457" s="116"/>
      <c r="C457" s="98"/>
      <c r="D457" s="1"/>
      <c r="E457" s="116"/>
      <c r="F457" s="115">
        <f t="shared" si="87"/>
        <v>0</v>
      </c>
      <c r="G457" s="114" t="s">
        <v>903</v>
      </c>
      <c r="H457" s="113">
        <f t="shared" si="88"/>
        <v>0</v>
      </c>
      <c r="I457" s="93">
        <f t="shared" si="84"/>
        <v>0</v>
      </c>
      <c r="J457" s="88">
        <f t="shared" si="85"/>
        <v>0</v>
      </c>
      <c r="K457" s="112">
        <f t="shared" si="86"/>
        <v>9.1999999999999993</v>
      </c>
      <c r="L457" s="84">
        <v>9904</v>
      </c>
      <c r="M457" s="115"/>
      <c r="N457" s="111">
        <f t="shared" si="83"/>
        <v>9904</v>
      </c>
      <c r="O457" s="112"/>
      <c r="P457" s="116"/>
    </row>
    <row r="458" spans="1:16" x14ac:dyDescent="0.2">
      <c r="A458" s="116"/>
      <c r="B458" s="116"/>
      <c r="C458" s="98"/>
      <c r="D458" s="1"/>
      <c r="E458" s="116"/>
      <c r="F458" s="115">
        <f t="shared" si="87"/>
        <v>0</v>
      </c>
      <c r="G458" s="114" t="s">
        <v>903</v>
      </c>
      <c r="H458" s="113">
        <f t="shared" si="88"/>
        <v>0</v>
      </c>
      <c r="I458" s="93">
        <f t="shared" si="84"/>
        <v>0</v>
      </c>
      <c r="J458" s="88">
        <f t="shared" si="85"/>
        <v>0</v>
      </c>
      <c r="K458" s="112">
        <f t="shared" si="86"/>
        <v>9.1999999999999993</v>
      </c>
      <c r="L458" s="84">
        <v>9905</v>
      </c>
      <c r="M458" s="115"/>
      <c r="N458" s="111">
        <f t="shared" si="83"/>
        <v>9905</v>
      </c>
      <c r="O458" s="112"/>
      <c r="P458" s="116"/>
    </row>
    <row r="459" spans="1:16" x14ac:dyDescent="0.2">
      <c r="A459" s="116" t="s">
        <v>1312</v>
      </c>
      <c r="B459" s="116" t="s">
        <v>1311</v>
      </c>
      <c r="C459" s="98">
        <v>583494</v>
      </c>
      <c r="D459" s="1">
        <v>3</v>
      </c>
      <c r="E459" s="116">
        <v>14.15</v>
      </c>
      <c r="F459" s="115">
        <f t="shared" si="87"/>
        <v>17.121500000000001</v>
      </c>
      <c r="G459" s="114" t="s">
        <v>903</v>
      </c>
      <c r="H459" s="113">
        <f t="shared" si="88"/>
        <v>0</v>
      </c>
      <c r="I459" s="93">
        <f t="shared" si="84"/>
        <v>601540.20618556708</v>
      </c>
      <c r="J459" s="88">
        <f t="shared" si="85"/>
        <v>655611.23595505615</v>
      </c>
      <c r="K459" s="112">
        <f t="shared" si="86"/>
        <v>29.3215</v>
      </c>
      <c r="L459" s="84"/>
      <c r="M459" s="115"/>
      <c r="N459" s="111">
        <f t="shared" si="83"/>
        <v>825560.81410895812</v>
      </c>
      <c r="O459" s="112"/>
      <c r="P459" s="116"/>
    </row>
    <row r="460" spans="1:16" x14ac:dyDescent="0.2">
      <c r="A460" s="116" t="s">
        <v>1310</v>
      </c>
      <c r="B460" s="116" t="s">
        <v>1309</v>
      </c>
      <c r="C460" s="98">
        <v>604712</v>
      </c>
      <c r="D460" s="1">
        <v>3</v>
      </c>
      <c r="E460" s="116">
        <v>14.15</v>
      </c>
      <c r="F460" s="115">
        <f t="shared" si="87"/>
        <v>17.121500000000001</v>
      </c>
      <c r="G460" s="114" t="s">
        <v>903</v>
      </c>
      <c r="H460" s="113">
        <f t="shared" si="88"/>
        <v>0</v>
      </c>
      <c r="I460" s="93">
        <f t="shared" si="84"/>
        <v>623414.43298969069</v>
      </c>
      <c r="J460" s="88">
        <f t="shared" si="85"/>
        <v>679451.68539325846</v>
      </c>
      <c r="K460" s="112">
        <f t="shared" si="86"/>
        <v>29.3215</v>
      </c>
      <c r="L460" s="84"/>
      <c r="M460" s="115"/>
      <c r="N460" s="111">
        <f t="shared" si="83"/>
        <v>855581.25879864453</v>
      </c>
      <c r="O460" s="112"/>
      <c r="P460" s="116"/>
    </row>
    <row r="461" spans="1:16" x14ac:dyDescent="0.2">
      <c r="A461" s="116"/>
      <c r="B461" s="116"/>
      <c r="C461" s="98"/>
      <c r="D461" s="1"/>
      <c r="E461" s="116">
        <v>14.15</v>
      </c>
      <c r="F461" s="115">
        <f t="shared" si="87"/>
        <v>17.121500000000001</v>
      </c>
      <c r="G461" s="114" t="s">
        <v>903</v>
      </c>
      <c r="H461" s="113">
        <f t="shared" si="88"/>
        <v>0</v>
      </c>
      <c r="I461" s="93">
        <f t="shared" si="84"/>
        <v>0</v>
      </c>
      <c r="J461" s="88">
        <f t="shared" si="85"/>
        <v>0</v>
      </c>
      <c r="K461" s="112">
        <f t="shared" si="86"/>
        <v>26.3215</v>
      </c>
      <c r="L461" s="84">
        <v>9908</v>
      </c>
      <c r="M461" s="115"/>
      <c r="N461" s="111">
        <f t="shared" si="83"/>
        <v>9908</v>
      </c>
      <c r="O461" s="112"/>
      <c r="P461" s="116"/>
    </row>
    <row r="462" spans="1:16" x14ac:dyDescent="0.2">
      <c r="A462" s="116"/>
      <c r="B462" s="116"/>
      <c r="C462" s="98"/>
      <c r="D462" s="1"/>
      <c r="E462" s="116">
        <v>14.15</v>
      </c>
      <c r="F462" s="115">
        <f t="shared" si="87"/>
        <v>17.121500000000001</v>
      </c>
      <c r="G462" s="114" t="s">
        <v>903</v>
      </c>
      <c r="H462" s="113">
        <f t="shared" si="88"/>
        <v>0</v>
      </c>
      <c r="I462" s="93">
        <f t="shared" si="84"/>
        <v>0</v>
      </c>
      <c r="J462" s="88">
        <f t="shared" si="85"/>
        <v>0</v>
      </c>
      <c r="K462" s="112">
        <f t="shared" si="86"/>
        <v>26.3215</v>
      </c>
      <c r="L462" s="84">
        <v>9909</v>
      </c>
      <c r="M462" s="115"/>
      <c r="N462" s="111">
        <f t="shared" si="83"/>
        <v>9909</v>
      </c>
      <c r="O462" s="112"/>
      <c r="P462" s="116"/>
    </row>
    <row r="463" spans="1:16" x14ac:dyDescent="0.2">
      <c r="A463" s="116"/>
      <c r="B463" s="116"/>
      <c r="C463" s="98"/>
      <c r="D463" s="1"/>
      <c r="E463" s="116">
        <v>14.15</v>
      </c>
      <c r="F463" s="115">
        <f t="shared" si="87"/>
        <v>17.121500000000001</v>
      </c>
      <c r="G463" s="114" t="s">
        <v>903</v>
      </c>
      <c r="H463" s="113">
        <f t="shared" si="88"/>
        <v>0</v>
      </c>
      <c r="I463" s="93">
        <f t="shared" si="84"/>
        <v>0</v>
      </c>
      <c r="J463" s="88">
        <f t="shared" si="85"/>
        <v>0</v>
      </c>
      <c r="K463" s="112">
        <f t="shared" si="86"/>
        <v>26.3215</v>
      </c>
      <c r="L463" s="84">
        <v>9910</v>
      </c>
      <c r="M463" s="115"/>
      <c r="N463" s="111">
        <f t="shared" si="83"/>
        <v>9910</v>
      </c>
      <c r="O463" s="112"/>
      <c r="P463" s="116"/>
    </row>
    <row r="464" spans="1:16" x14ac:dyDescent="0.2">
      <c r="A464" s="116"/>
      <c r="B464" s="116"/>
      <c r="C464" s="98">
        <f>C459*3%</f>
        <v>17504.82</v>
      </c>
      <c r="D464" s="1"/>
      <c r="E464" s="116">
        <v>14.15</v>
      </c>
      <c r="F464" s="115">
        <f t="shared" si="87"/>
        <v>17.121500000000001</v>
      </c>
      <c r="G464" s="114" t="s">
        <v>903</v>
      </c>
      <c r="H464" s="113">
        <f t="shared" si="88"/>
        <v>0</v>
      </c>
      <c r="I464" s="93">
        <f t="shared" si="84"/>
        <v>17504.82</v>
      </c>
      <c r="J464" s="88">
        <f t="shared" si="85"/>
        <v>19026.978260869564</v>
      </c>
      <c r="K464" s="112">
        <f t="shared" si="86"/>
        <v>26.3215</v>
      </c>
      <c r="L464" s="84">
        <v>9911</v>
      </c>
      <c r="M464" s="115"/>
      <c r="N464" s="111">
        <f t="shared" si="83"/>
        <v>33669.382703230927</v>
      </c>
      <c r="O464" s="112"/>
      <c r="P464" s="116"/>
    </row>
    <row r="465" spans="1:16" x14ac:dyDescent="0.2">
      <c r="A465" s="116"/>
      <c r="B465" s="116"/>
      <c r="C465" s="98">
        <f>C460*3%</f>
        <v>18141.36</v>
      </c>
      <c r="D465" s="1"/>
      <c r="E465" s="116">
        <v>14.15</v>
      </c>
      <c r="F465" s="115">
        <f t="shared" si="87"/>
        <v>17.121500000000001</v>
      </c>
      <c r="G465" s="114" t="s">
        <v>903</v>
      </c>
      <c r="H465" s="113">
        <f t="shared" si="88"/>
        <v>0</v>
      </c>
      <c r="I465" s="93">
        <f t="shared" si="84"/>
        <v>18141.36</v>
      </c>
      <c r="J465" s="88">
        <f t="shared" si="85"/>
        <v>19718.869565217392</v>
      </c>
      <c r="K465" s="112">
        <f t="shared" si="86"/>
        <v>26.3215</v>
      </c>
      <c r="L465" s="84">
        <v>9912</v>
      </c>
      <c r="M465" s="115"/>
      <c r="N465" s="111">
        <f t="shared" si="83"/>
        <v>34534.32537307356</v>
      </c>
      <c r="O465" s="112"/>
      <c r="P465" s="116"/>
    </row>
    <row r="466" spans="1:16" x14ac:dyDescent="0.2">
      <c r="A466" s="116" t="s">
        <v>1312</v>
      </c>
      <c r="B466" s="116" t="s">
        <v>1311</v>
      </c>
      <c r="C466" s="98">
        <f>C459-C464</f>
        <v>565989.18000000005</v>
      </c>
      <c r="D466" s="1">
        <v>3</v>
      </c>
      <c r="E466" s="116">
        <v>14.15</v>
      </c>
      <c r="F466" s="115">
        <f t="shared" si="87"/>
        <v>17.121500000000001</v>
      </c>
      <c r="G466" s="114" t="s">
        <v>903</v>
      </c>
      <c r="H466" s="113">
        <f t="shared" si="88"/>
        <v>0</v>
      </c>
      <c r="I466" s="93">
        <f t="shared" si="84"/>
        <v>583494.00000000012</v>
      </c>
      <c r="J466" s="88">
        <f t="shared" si="85"/>
        <v>635942.89887640451</v>
      </c>
      <c r="K466" s="112">
        <f t="shared" si="86"/>
        <v>29.3215</v>
      </c>
      <c r="L466" s="84"/>
      <c r="M466" s="115"/>
      <c r="N466" s="111">
        <f t="shared" si="83"/>
        <v>800793.98968568945</v>
      </c>
      <c r="O466" s="112"/>
      <c r="P466" s="116"/>
    </row>
    <row r="467" spans="1:16" x14ac:dyDescent="0.2">
      <c r="A467" s="116" t="s">
        <v>1310</v>
      </c>
      <c r="B467" s="116" t="s">
        <v>1309</v>
      </c>
      <c r="C467" s="98">
        <f>C460-C465</f>
        <v>586570.64</v>
      </c>
      <c r="D467" s="1">
        <v>3</v>
      </c>
      <c r="E467" s="116">
        <v>14.15</v>
      </c>
      <c r="F467" s="115">
        <f t="shared" si="87"/>
        <v>17.121500000000001</v>
      </c>
      <c r="G467" s="114" t="s">
        <v>903</v>
      </c>
      <c r="H467" s="113">
        <f t="shared" si="88"/>
        <v>0</v>
      </c>
      <c r="I467" s="93">
        <f t="shared" si="84"/>
        <v>604712</v>
      </c>
      <c r="J467" s="88">
        <f t="shared" si="85"/>
        <v>659068.13483146066</v>
      </c>
      <c r="K467" s="112">
        <f t="shared" si="86"/>
        <v>29.3215</v>
      </c>
      <c r="L467" s="84"/>
      <c r="M467" s="115"/>
      <c r="N467" s="111">
        <f t="shared" si="83"/>
        <v>829913.82103468524</v>
      </c>
      <c r="O467" s="112"/>
      <c r="P467" s="116"/>
    </row>
    <row r="468" spans="1:16" x14ac:dyDescent="0.2">
      <c r="A468" s="116"/>
      <c r="B468" s="116"/>
      <c r="C468" s="98"/>
      <c r="D468" s="1"/>
      <c r="E468" s="116">
        <v>15.15</v>
      </c>
      <c r="F468" s="115">
        <f t="shared" ref="F468:F476" si="89">E468*1.21</f>
        <v>18.331499999999998</v>
      </c>
      <c r="G468" s="114" t="s">
        <v>903</v>
      </c>
      <c r="H468" s="113">
        <f t="shared" ref="H468:H476" si="90">(IF(G468=$G$3,$H$3)+IF(G468=$G$4,$H$4)+IF(G468=$G$5,$H$5)+IF(G468=$G$6,$H$6)+IF(G468=$G$7,$H$7)+IF(G468=$G$8,$H$8)+IF(G468=$G$9,$H$9)+IF(G468=$G$10,$H$10)+IF(G468=$G$11,$H$11))</f>
        <v>0</v>
      </c>
      <c r="I468" s="93">
        <f t="shared" si="84"/>
        <v>0</v>
      </c>
      <c r="J468" s="88">
        <f t="shared" si="85"/>
        <v>0</v>
      </c>
      <c r="K468" s="112">
        <f t="shared" si="86"/>
        <v>27.531499999999998</v>
      </c>
      <c r="L468" s="84"/>
      <c r="M468" s="115"/>
      <c r="N468" s="111">
        <f t="shared" si="83"/>
        <v>0</v>
      </c>
      <c r="O468" s="112"/>
      <c r="P468" s="116"/>
    </row>
    <row r="469" spans="1:16" x14ac:dyDescent="0.2">
      <c r="A469" s="116"/>
      <c r="B469" s="116"/>
      <c r="C469" s="98"/>
      <c r="D469" s="1"/>
      <c r="E469" s="116">
        <v>16.149999999999999</v>
      </c>
      <c r="F469" s="115">
        <f t="shared" si="89"/>
        <v>19.541499999999999</v>
      </c>
      <c r="G469" s="114" t="s">
        <v>903</v>
      </c>
      <c r="H469" s="113">
        <f t="shared" si="90"/>
        <v>0</v>
      </c>
      <c r="I469" s="93">
        <f t="shared" si="84"/>
        <v>0</v>
      </c>
      <c r="J469" s="88">
        <f t="shared" si="85"/>
        <v>0</v>
      </c>
      <c r="K469" s="112">
        <f t="shared" si="86"/>
        <v>28.741499999999998</v>
      </c>
      <c r="L469" s="84"/>
      <c r="M469" s="115"/>
      <c r="N469" s="111">
        <f t="shared" si="83"/>
        <v>0</v>
      </c>
      <c r="O469" s="112"/>
      <c r="P469" s="116"/>
    </row>
    <row r="470" spans="1:16" x14ac:dyDescent="0.2">
      <c r="A470" s="116" t="s">
        <v>1629</v>
      </c>
      <c r="B470" s="116" t="s">
        <v>1628</v>
      </c>
      <c r="C470" s="98">
        <v>457296</v>
      </c>
      <c r="D470" s="1">
        <v>10</v>
      </c>
      <c r="E470" s="116">
        <v>14.15</v>
      </c>
      <c r="F470" s="115">
        <f t="shared" si="89"/>
        <v>17.121500000000001</v>
      </c>
      <c r="G470" s="114" t="s">
        <v>903</v>
      </c>
      <c r="H470" s="113">
        <f t="shared" si="90"/>
        <v>0</v>
      </c>
      <c r="I470" s="93">
        <f t="shared" si="84"/>
        <v>508106.66666666663</v>
      </c>
      <c r="J470" s="88" t="s">
        <v>1665</v>
      </c>
      <c r="K470" s="112">
        <f t="shared" si="86"/>
        <v>36.3215</v>
      </c>
      <c r="L470" s="84"/>
      <c r="M470" s="115"/>
      <c r="N470" s="111">
        <f t="shared" si="83"/>
        <v>718132.49369881512</v>
      </c>
      <c r="O470" s="112">
        <v>544400</v>
      </c>
      <c r="P470" s="116"/>
    </row>
    <row r="471" spans="1:16" x14ac:dyDescent="0.2">
      <c r="A471" s="116" t="s">
        <v>1469</v>
      </c>
      <c r="B471" s="116" t="s">
        <v>1530</v>
      </c>
      <c r="C471" s="98">
        <v>290000.02</v>
      </c>
      <c r="D471" s="1">
        <v>10</v>
      </c>
      <c r="E471" s="116">
        <v>14.15</v>
      </c>
      <c r="F471" s="115">
        <f t="shared" si="89"/>
        <v>17.121500000000001</v>
      </c>
      <c r="G471" s="114" t="s">
        <v>903</v>
      </c>
      <c r="H471" s="113">
        <f t="shared" si="90"/>
        <v>0</v>
      </c>
      <c r="I471" s="93">
        <f t="shared" si="84"/>
        <v>322222.24444444448</v>
      </c>
      <c r="J471" s="88">
        <f t="shared" ref="J471:J484" si="91">(C471/(($J$3-D471)/100-(0.08)))</f>
        <v>353658.56097560975</v>
      </c>
      <c r="K471" s="112">
        <f t="shared" si="86"/>
        <v>36.3215</v>
      </c>
      <c r="L471" s="84"/>
      <c r="M471" s="115"/>
      <c r="N471" s="111">
        <f t="shared" si="83"/>
        <v>455412.76883092412</v>
      </c>
      <c r="O471" s="112">
        <v>345238.11904761905</v>
      </c>
      <c r="P471" s="116"/>
    </row>
    <row r="472" spans="1:16" x14ac:dyDescent="0.2">
      <c r="A472" s="116" t="s">
        <v>1307</v>
      </c>
      <c r="B472" s="116" t="s">
        <v>1308</v>
      </c>
      <c r="C472" s="98">
        <v>660436</v>
      </c>
      <c r="D472" s="1">
        <v>10</v>
      </c>
      <c r="E472" s="116">
        <v>14.15</v>
      </c>
      <c r="F472" s="115">
        <f t="shared" si="89"/>
        <v>17.121500000000001</v>
      </c>
      <c r="G472" s="114" t="s">
        <v>903</v>
      </c>
      <c r="H472" s="113">
        <f t="shared" si="90"/>
        <v>0</v>
      </c>
      <c r="I472" s="93">
        <f t="shared" si="84"/>
        <v>733817.77777777775</v>
      </c>
      <c r="J472" s="88">
        <f t="shared" si="91"/>
        <v>805409.75609756086</v>
      </c>
      <c r="K472" s="112">
        <f t="shared" si="86"/>
        <v>36.3215</v>
      </c>
      <c r="L472" s="84"/>
      <c r="M472" s="115"/>
      <c r="N472" s="111">
        <f t="shared" si="83"/>
        <v>1037141.2643199824</v>
      </c>
      <c r="O472" s="112">
        <v>786233.33333333326</v>
      </c>
      <c r="P472" s="116"/>
    </row>
    <row r="473" spans="1:16" x14ac:dyDescent="0.2">
      <c r="A473" s="116" t="s">
        <v>1576</v>
      </c>
      <c r="B473" s="116" t="s">
        <v>1627</v>
      </c>
      <c r="C473" s="98">
        <v>262032</v>
      </c>
      <c r="D473" s="1">
        <v>10</v>
      </c>
      <c r="E473" s="116">
        <v>14.15</v>
      </c>
      <c r="F473" s="115">
        <f t="shared" si="89"/>
        <v>17.121500000000001</v>
      </c>
      <c r="G473" s="114" t="s">
        <v>903</v>
      </c>
      <c r="H473" s="113">
        <f t="shared" si="90"/>
        <v>0</v>
      </c>
      <c r="I473" s="93">
        <f t="shared" si="84"/>
        <v>291146.66666666669</v>
      </c>
      <c r="J473" s="88">
        <f t="shared" si="91"/>
        <v>319551.21951219509</v>
      </c>
      <c r="K473" s="112">
        <f t="shared" si="86"/>
        <v>36.3215</v>
      </c>
      <c r="L473" s="84"/>
      <c r="M473" s="115"/>
      <c r="N473" s="111">
        <f t="shared" si="83"/>
        <v>411492.1048705607</v>
      </c>
      <c r="O473" s="112">
        <v>311942.8571428571</v>
      </c>
      <c r="P473" s="116"/>
    </row>
    <row r="474" spans="1:16" x14ac:dyDescent="0.2">
      <c r="A474" s="116" t="s">
        <v>1312</v>
      </c>
      <c r="B474" s="116" t="s">
        <v>1311</v>
      </c>
      <c r="C474" s="98">
        <v>583494</v>
      </c>
      <c r="D474" s="1">
        <v>10</v>
      </c>
      <c r="E474" s="116">
        <v>14.15</v>
      </c>
      <c r="F474" s="115">
        <f t="shared" si="89"/>
        <v>17.121500000000001</v>
      </c>
      <c r="G474" s="114" t="s">
        <v>903</v>
      </c>
      <c r="H474" s="113">
        <f t="shared" si="90"/>
        <v>0</v>
      </c>
      <c r="I474" s="93">
        <f t="shared" si="84"/>
        <v>648326.66666666663</v>
      </c>
      <c r="J474" s="88">
        <f t="shared" si="91"/>
        <v>711578.04878048773</v>
      </c>
      <c r="K474" s="112">
        <f t="shared" si="86"/>
        <v>36.3215</v>
      </c>
      <c r="L474" s="84"/>
      <c r="M474" s="115"/>
      <c r="N474" s="111">
        <f t="shared" si="83"/>
        <v>916312.41313787224</v>
      </c>
      <c r="O474" s="112">
        <v>694635.7142857142</v>
      </c>
      <c r="P474" s="116"/>
    </row>
    <row r="475" spans="1:16" x14ac:dyDescent="0.2">
      <c r="A475" s="116" t="s">
        <v>1624</v>
      </c>
      <c r="B475" s="116" t="s">
        <v>1623</v>
      </c>
      <c r="C475" s="98">
        <v>144842</v>
      </c>
      <c r="D475" s="1">
        <v>10</v>
      </c>
      <c r="E475" s="116">
        <v>14.15</v>
      </c>
      <c r="F475" s="115">
        <f t="shared" si="89"/>
        <v>17.121500000000001</v>
      </c>
      <c r="G475" s="114" t="s">
        <v>903</v>
      </c>
      <c r="H475" s="113">
        <f t="shared" si="90"/>
        <v>0</v>
      </c>
      <c r="I475" s="93">
        <f t="shared" si="84"/>
        <v>160935.55555555556</v>
      </c>
      <c r="J475" s="88">
        <f t="shared" si="91"/>
        <v>176636.58536585365</v>
      </c>
      <c r="K475" s="112">
        <f t="shared" si="86"/>
        <v>36.3215</v>
      </c>
      <c r="L475" s="84"/>
      <c r="M475" s="115"/>
      <c r="N475" s="111">
        <f t="shared" si="83"/>
        <v>227458.24728911641</v>
      </c>
      <c r="O475" s="112">
        <v>172430.95238095237</v>
      </c>
      <c r="P475" s="116"/>
    </row>
    <row r="476" spans="1:16" x14ac:dyDescent="0.2">
      <c r="A476" s="116" t="s">
        <v>1630</v>
      </c>
      <c r="B476" s="116" t="s">
        <v>1631</v>
      </c>
      <c r="C476" s="98">
        <v>339990</v>
      </c>
      <c r="D476" s="1">
        <v>10</v>
      </c>
      <c r="E476" s="116">
        <v>14.15</v>
      </c>
      <c r="F476" s="115">
        <f t="shared" si="89"/>
        <v>17.121500000000001</v>
      </c>
      <c r="G476" s="114" t="s">
        <v>903</v>
      </c>
      <c r="H476" s="113">
        <f t="shared" si="90"/>
        <v>0</v>
      </c>
      <c r="I476" s="93">
        <f t="shared" si="84"/>
        <v>377766.66666666669</v>
      </c>
      <c r="J476" s="88">
        <f t="shared" si="91"/>
        <v>414621.95121951215</v>
      </c>
      <c r="K476" s="112">
        <f t="shared" si="86"/>
        <v>36.3215</v>
      </c>
      <c r="L476" s="84"/>
      <c r="M476" s="115"/>
      <c r="N476" s="111">
        <f t="shared" si="83"/>
        <v>533916.47102240159</v>
      </c>
      <c r="O476" s="112">
        <v>404749.99999999994</v>
      </c>
      <c r="P476" s="116"/>
    </row>
    <row r="477" spans="1:16" x14ac:dyDescent="0.2">
      <c r="A477" s="116" t="s">
        <v>1647</v>
      </c>
      <c r="B477" s="116" t="s">
        <v>1648</v>
      </c>
      <c r="C477" s="98">
        <v>108922</v>
      </c>
      <c r="D477" s="1">
        <v>10</v>
      </c>
      <c r="E477" s="116">
        <v>14.15</v>
      </c>
      <c r="F477" s="115">
        <f t="shared" ref="F477:F484" si="92">E477*1.21</f>
        <v>17.121500000000001</v>
      </c>
      <c r="G477" s="114" t="s">
        <v>903</v>
      </c>
      <c r="H477" s="113">
        <f t="shared" ref="H477:H484" si="93">(IF(G477=$G$3,$H$3)+IF(G477=$G$4,$H$4)+IF(G477=$G$5,$H$5)+IF(G477=$G$6,$H$6)+IF(G477=$G$7,$H$7)+IF(G477=$G$8,$H$8)+IF(G477=$G$9,$H$9)+IF(G477=$G$10,$H$10)+IF(G477=$G$11,$H$11))</f>
        <v>0</v>
      </c>
      <c r="I477" s="93">
        <f t="shared" si="84"/>
        <v>121024.44444444444</v>
      </c>
      <c r="J477" s="88">
        <f t="shared" si="91"/>
        <v>132831.70731707316</v>
      </c>
      <c r="K477" s="112">
        <f t="shared" si="86"/>
        <v>36.3215</v>
      </c>
      <c r="L477" s="84"/>
      <c r="M477" s="115"/>
      <c r="N477" s="111">
        <f t="shared" si="83"/>
        <v>171049.88339863531</v>
      </c>
      <c r="O477" s="112">
        <v>129669.0476190476</v>
      </c>
      <c r="P477" s="116"/>
    </row>
    <row r="478" spans="1:16" x14ac:dyDescent="0.2">
      <c r="A478" s="116" t="s">
        <v>1471</v>
      </c>
      <c r="B478" s="116" t="s">
        <v>1531</v>
      </c>
      <c r="C478" s="98">
        <v>309449.01</v>
      </c>
      <c r="D478" s="1">
        <v>10</v>
      </c>
      <c r="E478" s="116">
        <v>14.15</v>
      </c>
      <c r="F478" s="115">
        <f t="shared" si="92"/>
        <v>17.121500000000001</v>
      </c>
      <c r="G478" s="114" t="s">
        <v>903</v>
      </c>
      <c r="H478" s="113">
        <f t="shared" si="93"/>
        <v>0</v>
      </c>
      <c r="I478" s="93">
        <f t="shared" si="84"/>
        <v>343832.23333333334</v>
      </c>
      <c r="J478" s="88">
        <f t="shared" si="91"/>
        <v>377376.8414634146</v>
      </c>
      <c r="K478" s="112">
        <f t="shared" si="86"/>
        <v>36.3215</v>
      </c>
      <c r="L478" s="84"/>
      <c r="M478" s="115"/>
      <c r="N478" s="111">
        <f t="shared" si="83"/>
        <v>485955.24392063252</v>
      </c>
      <c r="O478" s="112">
        <v>368391.67857142852</v>
      </c>
      <c r="P478" s="116"/>
    </row>
    <row r="479" spans="1:16" x14ac:dyDescent="0.2">
      <c r="A479" s="116" t="s">
        <v>1310</v>
      </c>
      <c r="B479" s="116" t="s">
        <v>1309</v>
      </c>
      <c r="C479" s="98">
        <v>604712</v>
      </c>
      <c r="D479" s="1">
        <v>10</v>
      </c>
      <c r="E479" s="116">
        <v>14.15</v>
      </c>
      <c r="F479" s="115">
        <f t="shared" si="92"/>
        <v>17.121500000000001</v>
      </c>
      <c r="G479" s="114" t="s">
        <v>903</v>
      </c>
      <c r="H479" s="113">
        <f t="shared" si="93"/>
        <v>0</v>
      </c>
      <c r="I479" s="93">
        <f t="shared" si="84"/>
        <v>671902.22222222225</v>
      </c>
      <c r="J479" s="88">
        <f t="shared" si="91"/>
        <v>737453.65853658528</v>
      </c>
      <c r="K479" s="112">
        <f t="shared" si="86"/>
        <v>36.3215</v>
      </c>
      <c r="L479" s="84"/>
      <c r="M479" s="115"/>
      <c r="N479" s="111">
        <f t="shared" si="83"/>
        <v>949632.92162974935</v>
      </c>
      <c r="O479" s="112">
        <v>719895.23809523799</v>
      </c>
      <c r="P479" s="116"/>
    </row>
    <row r="480" spans="1:16" x14ac:dyDescent="0.2">
      <c r="A480" s="116" t="s">
        <v>1578</v>
      </c>
      <c r="B480" s="116" t="s">
        <v>1579</v>
      </c>
      <c r="C480" s="98">
        <v>319506.01</v>
      </c>
      <c r="D480" s="1">
        <v>10</v>
      </c>
      <c r="E480" s="116">
        <v>14.15</v>
      </c>
      <c r="F480" s="115">
        <f t="shared" si="92"/>
        <v>17.121500000000001</v>
      </c>
      <c r="G480" s="114" t="s">
        <v>903</v>
      </c>
      <c r="H480" s="113">
        <f t="shared" si="93"/>
        <v>0</v>
      </c>
      <c r="I480" s="93">
        <f t="shared" si="84"/>
        <v>355006.67777777778</v>
      </c>
      <c r="J480" s="88">
        <f t="shared" si="91"/>
        <v>389641.47560975607</v>
      </c>
      <c r="K480" s="112">
        <f t="shared" si="86"/>
        <v>36.3215</v>
      </c>
      <c r="L480" s="84"/>
      <c r="M480" s="115"/>
      <c r="N480" s="111">
        <f t="shared" si="83"/>
        <v>501748.64357671741</v>
      </c>
      <c r="O480" s="112">
        <v>380364.29761904757</v>
      </c>
      <c r="P480" s="116"/>
    </row>
    <row r="481" spans="1:16" x14ac:dyDescent="0.2">
      <c r="A481" s="116" t="s">
        <v>1314</v>
      </c>
      <c r="B481" s="116" t="s">
        <v>1313</v>
      </c>
      <c r="C481" s="98">
        <v>397580</v>
      </c>
      <c r="D481" s="1">
        <v>10</v>
      </c>
      <c r="E481" s="116">
        <v>14.15</v>
      </c>
      <c r="F481" s="115">
        <f t="shared" si="92"/>
        <v>17.121500000000001</v>
      </c>
      <c r="G481" s="114" t="s">
        <v>903</v>
      </c>
      <c r="H481" s="113">
        <f t="shared" si="93"/>
        <v>0</v>
      </c>
      <c r="I481" s="93">
        <f t="shared" si="84"/>
        <v>441755.55555555556</v>
      </c>
      <c r="J481" s="88">
        <f t="shared" si="91"/>
        <v>484853.65853658534</v>
      </c>
      <c r="K481" s="112">
        <f t="shared" si="86"/>
        <v>36.3215</v>
      </c>
      <c r="L481" s="84"/>
      <c r="M481" s="115"/>
      <c r="N481" s="111">
        <f t="shared" si="83"/>
        <v>624355.15911964001</v>
      </c>
      <c r="O481" s="112">
        <v>473309.52380952379</v>
      </c>
      <c r="P481" s="116"/>
    </row>
    <row r="482" spans="1:16" x14ac:dyDescent="0.2">
      <c r="A482" s="116" t="s">
        <v>1539</v>
      </c>
      <c r="B482" s="116" t="s">
        <v>1546</v>
      </c>
      <c r="C482" s="98">
        <v>726600</v>
      </c>
      <c r="D482" s="1">
        <v>10</v>
      </c>
      <c r="E482" s="116">
        <v>14.15</v>
      </c>
      <c r="F482" s="115">
        <f t="shared" si="92"/>
        <v>17.121500000000001</v>
      </c>
      <c r="G482" s="114" t="s">
        <v>903</v>
      </c>
      <c r="H482" s="113">
        <f t="shared" si="93"/>
        <v>0</v>
      </c>
      <c r="I482" s="93">
        <f t="shared" si="84"/>
        <v>807333.33333333326</v>
      </c>
      <c r="J482" s="88">
        <f t="shared" si="91"/>
        <v>886097.5609756097</v>
      </c>
      <c r="K482" s="112">
        <f t="shared" si="86"/>
        <v>36.3215</v>
      </c>
      <c r="L482" s="84"/>
      <c r="M482" s="115"/>
      <c r="N482" s="111">
        <f t="shared" si="83"/>
        <v>1141044.4655574486</v>
      </c>
      <c r="O482" s="112">
        <v>864999.99999999988</v>
      </c>
      <c r="P482" s="116"/>
    </row>
    <row r="483" spans="1:16" x14ac:dyDescent="0.2">
      <c r="A483" s="116" t="s">
        <v>1662</v>
      </c>
      <c r="B483" s="116" t="s">
        <v>1661</v>
      </c>
      <c r="C483" s="98">
        <v>1658159</v>
      </c>
      <c r="D483" s="1">
        <v>10</v>
      </c>
      <c r="E483" s="116">
        <v>14.15</v>
      </c>
      <c r="F483" s="115">
        <f t="shared" si="92"/>
        <v>17.121500000000001</v>
      </c>
      <c r="G483" s="114" t="s">
        <v>903</v>
      </c>
      <c r="H483" s="113">
        <f t="shared" si="93"/>
        <v>0</v>
      </c>
      <c r="I483" s="93">
        <f t="shared" si="84"/>
        <v>1842398.8888888888</v>
      </c>
      <c r="J483" s="88">
        <f t="shared" si="91"/>
        <v>2022145.1219512194</v>
      </c>
      <c r="K483" s="112">
        <f t="shared" si="86"/>
        <v>36.3215</v>
      </c>
      <c r="L483" s="84"/>
      <c r="M483" s="115"/>
      <c r="N483" s="111">
        <f t="shared" si="83"/>
        <v>2603954.2388718324</v>
      </c>
      <c r="O483" s="112">
        <v>1973998.8095238092</v>
      </c>
      <c r="P483" s="116"/>
    </row>
    <row r="484" spans="1:16" x14ac:dyDescent="0.2">
      <c r="A484" s="116" t="s">
        <v>1626</v>
      </c>
      <c r="B484" s="116" t="s">
        <v>1625</v>
      </c>
      <c r="C484" s="98">
        <v>99240</v>
      </c>
      <c r="D484" s="1">
        <v>10</v>
      </c>
      <c r="E484" s="116">
        <v>14.15</v>
      </c>
      <c r="F484" s="115">
        <f t="shared" si="92"/>
        <v>17.121500000000001</v>
      </c>
      <c r="G484" s="114" t="s">
        <v>903</v>
      </c>
      <c r="H484" s="113">
        <f t="shared" si="93"/>
        <v>0</v>
      </c>
      <c r="I484" s="93">
        <f t="shared" si="84"/>
        <v>110266.66666666666</v>
      </c>
      <c r="J484" s="88">
        <f t="shared" si="91"/>
        <v>121024.39024390242</v>
      </c>
      <c r="K484" s="112">
        <f t="shared" si="86"/>
        <v>36.3215</v>
      </c>
      <c r="L484" s="84"/>
      <c r="M484" s="115"/>
      <c r="N484" s="111">
        <f t="shared" si="83"/>
        <v>155845.37952370109</v>
      </c>
      <c r="O484" s="112">
        <v>118142.85714285713</v>
      </c>
      <c r="P484" s="116"/>
    </row>
    <row r="488" spans="1:16" x14ac:dyDescent="0.2">
      <c r="C488" s="101">
        <v>457296</v>
      </c>
      <c r="D488" s="4">
        <v>2.5</v>
      </c>
      <c r="G488" s="119">
        <f>C488*D488%</f>
        <v>11432.400000000001</v>
      </c>
      <c r="I488" s="96">
        <f>C488-G488</f>
        <v>445863.6</v>
      </c>
    </row>
  </sheetData>
  <autoFilter ref="A13:P370"/>
  <dataConsolidate/>
  <dataValidations count="2">
    <dataValidation type="list" allowBlank="1" showInputMessage="1" showErrorMessage="1" sqref="G440:G442 G373:G435 G446:G484 G14:G370">
      <formula1>$G$3:$G$11</formula1>
    </dataValidation>
    <dataValidation type="list" allowBlank="1" showInputMessage="1" showErrorMessage="1" sqref="B5:B11">
      <formula1>#REF!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36"/>
  <sheetViews>
    <sheetView topLeftCell="A11" workbookViewId="0">
      <selection activeCell="C24" sqref="C24"/>
    </sheetView>
  </sheetViews>
  <sheetFormatPr baseColWidth="10" defaultRowHeight="15" x14ac:dyDescent="0.25"/>
  <cols>
    <col min="1" max="1" width="32.7109375" bestFit="1" customWidth="1"/>
    <col min="2" max="2" width="9.140625" bestFit="1" customWidth="1"/>
    <col min="3" max="3" width="14.28515625" bestFit="1" customWidth="1"/>
    <col min="4" max="4" width="9.42578125" bestFit="1" customWidth="1"/>
    <col min="5" max="5" width="25.28515625" customWidth="1"/>
    <col min="6" max="6" width="7.85546875" customWidth="1"/>
    <col min="7" max="7" width="15.7109375" customWidth="1"/>
    <col min="8" max="8" width="19.140625" customWidth="1"/>
    <col min="9" max="9" width="11" bestFit="1" customWidth="1"/>
    <col min="10" max="10" width="14.5703125" bestFit="1" customWidth="1"/>
    <col min="11" max="11" width="15" bestFit="1" customWidth="1"/>
  </cols>
  <sheetData>
    <row r="1" spans="1:11" hidden="1" x14ac:dyDescent="0.25">
      <c r="A1" t="s">
        <v>902</v>
      </c>
      <c r="C1">
        <v>0</v>
      </c>
      <c r="D1">
        <v>100</v>
      </c>
    </row>
    <row r="2" spans="1:11" hidden="1" x14ac:dyDescent="0.25">
      <c r="A2" t="s">
        <v>903</v>
      </c>
      <c r="C2">
        <v>0</v>
      </c>
    </row>
    <row r="3" spans="1:11" hidden="1" x14ac:dyDescent="0.25">
      <c r="A3" t="s">
        <v>1237</v>
      </c>
      <c r="B3">
        <v>4</v>
      </c>
      <c r="C3">
        <f>B3*1.21</f>
        <v>4.84</v>
      </c>
    </row>
    <row r="4" spans="1:11" hidden="1" x14ac:dyDescent="0.25">
      <c r="A4" t="s">
        <v>1464</v>
      </c>
      <c r="B4">
        <v>8.5</v>
      </c>
      <c r="C4">
        <f>B4*1.21</f>
        <v>10.285</v>
      </c>
    </row>
    <row r="5" spans="1:11" hidden="1" x14ac:dyDescent="0.25">
      <c r="A5" t="s">
        <v>1619</v>
      </c>
      <c r="B5">
        <v>13.4</v>
      </c>
      <c r="C5">
        <f>B5*1.21</f>
        <v>16.213999999999999</v>
      </c>
    </row>
    <row r="6" spans="1:11" hidden="1" x14ac:dyDescent="0.25">
      <c r="A6" t="s">
        <v>1620</v>
      </c>
      <c r="B6">
        <v>17.8</v>
      </c>
      <c r="C6">
        <f>B6*1.21</f>
        <v>21.538</v>
      </c>
    </row>
    <row r="7" spans="1:11" hidden="1" x14ac:dyDescent="0.25">
      <c r="A7" t="s">
        <v>1622</v>
      </c>
      <c r="B7">
        <v>22.2</v>
      </c>
      <c r="C7">
        <f>B7*1.21</f>
        <v>26.861999999999998</v>
      </c>
    </row>
    <row r="8" spans="1:11" hidden="1" x14ac:dyDescent="0.25">
      <c r="A8" t="s">
        <v>1286</v>
      </c>
      <c r="C8">
        <v>7.9255000000000004</v>
      </c>
    </row>
    <row r="9" spans="1:11" hidden="1" x14ac:dyDescent="0.25">
      <c r="A9" t="s">
        <v>1287</v>
      </c>
      <c r="C9">
        <v>15.1008</v>
      </c>
    </row>
    <row r="10" spans="1:11" hidden="1" x14ac:dyDescent="0.25"/>
    <row r="11" spans="1:11" ht="15.75" thickBot="1" x14ac:dyDescent="0.3"/>
    <row r="12" spans="1:11" ht="45" customHeight="1" thickBot="1" x14ac:dyDescent="0.3">
      <c r="A12" s="75" t="s">
        <v>918</v>
      </c>
      <c r="B12" s="74" t="s">
        <v>962</v>
      </c>
      <c r="C12" s="74" t="s">
        <v>913</v>
      </c>
      <c r="D12" s="74" t="s">
        <v>914</v>
      </c>
      <c r="E12" s="74" t="s">
        <v>1586</v>
      </c>
      <c r="F12" s="74" t="s">
        <v>964</v>
      </c>
      <c r="G12" s="73" t="s">
        <v>965</v>
      </c>
      <c r="H12" s="72" t="s">
        <v>966</v>
      </c>
      <c r="I12" s="74" t="s">
        <v>1673</v>
      </c>
      <c r="J12" s="74" t="s">
        <v>967</v>
      </c>
      <c r="K12" s="71" t="s">
        <v>968</v>
      </c>
    </row>
    <row r="13" spans="1:11" ht="15.75" thickBot="1" x14ac:dyDescent="0.3">
      <c r="A13" s="148">
        <v>1845000</v>
      </c>
      <c r="B13">
        <v>3</v>
      </c>
      <c r="C13" s="67">
        <v>14.15</v>
      </c>
      <c r="D13">
        <f>C13*1.21</f>
        <v>17.121500000000001</v>
      </c>
      <c r="E13" t="s">
        <v>1587</v>
      </c>
      <c r="F13">
        <f>(IF(E13=$A$1,$C$1)+IF(E13=$A$2,$C$2)+IF(E13=$A$3,$C$3)+IF(E13=$A$4,$C$4)+IF(E13=$A$5,$C$5)+IF(E13=$A$6,$C$6)+IF(E13=$A$7,$C$7)+IF(E13=$A$8,$C$8)+IF(E13=$A$9,$C$9))</f>
        <v>0</v>
      </c>
      <c r="G13" s="83">
        <f>($A$13/(($D$1-$B$13)/100))</f>
        <v>1902061.8556701031</v>
      </c>
      <c r="H13" s="82">
        <f>($A$13/(($D$1-$B$13)/100-(0.08)))</f>
        <v>2073033.7078651686</v>
      </c>
      <c r="I13" s="147">
        <f>($B$13+8+1.2)+($D$13+F13)</f>
        <v>29.3215</v>
      </c>
      <c r="J13" s="146">
        <v>0</v>
      </c>
      <c r="K13" s="78">
        <f>$A$13/((100-I13)/100)+$J$13</f>
        <v>2610411.9357371759</v>
      </c>
    </row>
    <row r="14" spans="1:11" ht="15.75" thickBot="1" x14ac:dyDescent="0.3">
      <c r="B14">
        <v>0</v>
      </c>
      <c r="E14" t="s">
        <v>1237</v>
      </c>
      <c r="F14">
        <f t="shared" ref="F14:F20" si="0">(IF(E14=$A$1,$C$1)+IF(E14=$A$2,$C$2)+IF(E14=$A$3,$C$3)+IF(E14=$A$4,$C$4)+IF(E14=$A$5,$C$5)+IF(E14=$A$6,$C$6)+IF(E14=$A$7,$C$7)+IF(E14=$A$8,$C$8)+IF(E14=$A$9,$C$9))</f>
        <v>4.84</v>
      </c>
      <c r="I14" s="147">
        <f t="shared" ref="I14:I20" si="1">($B$13+8+1.2)+($D$13+F14)</f>
        <v>34.161500000000004</v>
      </c>
      <c r="J14" t="s">
        <v>1610</v>
      </c>
      <c r="K14" s="78">
        <f t="shared" ref="K14:K20" si="2">$A$13/((100-I14)/100)+$J$13</f>
        <v>2802311.7173082619</v>
      </c>
    </row>
    <row r="15" spans="1:11" x14ac:dyDescent="0.25">
      <c r="A15" s="132" t="s">
        <v>971</v>
      </c>
      <c r="B15" s="131"/>
      <c r="C15" s="70">
        <v>14.15</v>
      </c>
      <c r="E15" t="s">
        <v>1464</v>
      </c>
      <c r="F15">
        <f t="shared" si="0"/>
        <v>10.285</v>
      </c>
      <c r="I15" s="147">
        <f t="shared" si="1"/>
        <v>39.606499999999997</v>
      </c>
      <c r="J15" t="s">
        <v>1611</v>
      </c>
      <c r="K15" s="78">
        <f t="shared" si="2"/>
        <v>3054964.5243279492</v>
      </c>
    </row>
    <row r="16" spans="1:11" x14ac:dyDescent="0.25">
      <c r="A16" s="130" t="s">
        <v>1318</v>
      </c>
      <c r="B16" s="149"/>
      <c r="C16" s="69">
        <v>14.15</v>
      </c>
      <c r="E16" t="s">
        <v>1619</v>
      </c>
      <c r="F16">
        <f t="shared" si="0"/>
        <v>16.213999999999999</v>
      </c>
      <c r="I16" s="147">
        <f t="shared" si="1"/>
        <v>45.535499999999999</v>
      </c>
      <c r="J16" t="s">
        <v>1612</v>
      </c>
      <c r="K16" s="78">
        <f t="shared" si="2"/>
        <v>3387527.6556288954</v>
      </c>
    </row>
    <row r="17" spans="1:11" x14ac:dyDescent="0.25">
      <c r="A17" s="130" t="s">
        <v>1187</v>
      </c>
      <c r="B17" s="149"/>
      <c r="C17" s="69">
        <v>13.65</v>
      </c>
      <c r="E17" t="s">
        <v>1620</v>
      </c>
      <c r="F17">
        <f t="shared" si="0"/>
        <v>21.538</v>
      </c>
      <c r="I17" s="147">
        <f t="shared" si="1"/>
        <v>50.859499999999997</v>
      </c>
      <c r="J17" t="s">
        <v>1613</v>
      </c>
      <c r="K17" s="78">
        <f t="shared" si="2"/>
        <v>3754540.5520904344</v>
      </c>
    </row>
    <row r="18" spans="1:11" x14ac:dyDescent="0.25">
      <c r="A18" s="130" t="s">
        <v>1188</v>
      </c>
      <c r="B18" s="149"/>
      <c r="C18" s="69">
        <v>13.15</v>
      </c>
      <c r="E18" t="s">
        <v>1622</v>
      </c>
      <c r="F18">
        <f t="shared" si="0"/>
        <v>26.861999999999998</v>
      </c>
      <c r="I18" s="147">
        <f t="shared" si="1"/>
        <v>56.183499999999995</v>
      </c>
      <c r="J18" t="s">
        <v>1614</v>
      </c>
      <c r="K18" s="78">
        <f t="shared" si="2"/>
        <v>4210742.5284995371</v>
      </c>
    </row>
    <row r="19" spans="1:11" x14ac:dyDescent="0.25">
      <c r="A19" s="130" t="s">
        <v>972</v>
      </c>
      <c r="B19" s="149"/>
      <c r="C19" s="69">
        <v>12.65</v>
      </c>
      <c r="E19" t="s">
        <v>1286</v>
      </c>
      <c r="F19">
        <f t="shared" si="0"/>
        <v>7.9255000000000004</v>
      </c>
      <c r="I19" s="147">
        <f t="shared" si="1"/>
        <v>37.247</v>
      </c>
      <c r="J19" t="s">
        <v>1608</v>
      </c>
      <c r="K19" s="78">
        <f t="shared" si="2"/>
        <v>2940098.481347505</v>
      </c>
    </row>
    <row r="20" spans="1:11" ht="15.75" thickBot="1" x14ac:dyDescent="0.3">
      <c r="A20" s="130" t="s">
        <v>1184</v>
      </c>
      <c r="B20" s="149"/>
      <c r="C20" s="69">
        <v>12.15</v>
      </c>
      <c r="E20" t="s">
        <v>1287</v>
      </c>
      <c r="F20">
        <f t="shared" si="0"/>
        <v>15.1008</v>
      </c>
      <c r="I20" s="147">
        <f t="shared" si="1"/>
        <v>44.422300000000007</v>
      </c>
      <c r="J20" t="s">
        <v>1609</v>
      </c>
      <c r="K20" s="77">
        <f t="shared" si="2"/>
        <v>3319676.7768367529</v>
      </c>
    </row>
    <row r="21" spans="1:11" x14ac:dyDescent="0.25">
      <c r="A21" s="130" t="s">
        <v>1185</v>
      </c>
      <c r="B21" s="149"/>
      <c r="C21" s="69">
        <v>12.15</v>
      </c>
    </row>
    <row r="22" spans="1:11" ht="15.75" thickBot="1" x14ac:dyDescent="0.3">
      <c r="A22" s="130" t="s">
        <v>1186</v>
      </c>
      <c r="B22" s="149"/>
      <c r="C22" s="69">
        <v>12.15</v>
      </c>
    </row>
    <row r="23" spans="1:11" ht="15.75" thickBot="1" x14ac:dyDescent="0.3">
      <c r="A23" s="130" t="s">
        <v>982</v>
      </c>
      <c r="B23" s="149"/>
      <c r="C23" s="69">
        <v>15.5</v>
      </c>
      <c r="H23" s="145" t="s">
        <v>1588</v>
      </c>
      <c r="I23" s="144" t="s">
        <v>1589</v>
      </c>
      <c r="J23" s="134"/>
    </row>
    <row r="24" spans="1:11" ht="15.75" thickBot="1" x14ac:dyDescent="0.3">
      <c r="A24" s="130" t="s">
        <v>973</v>
      </c>
      <c r="B24" s="149"/>
      <c r="C24" s="69">
        <v>16</v>
      </c>
      <c r="H24" s="142" t="s">
        <v>1184</v>
      </c>
      <c r="I24" s="141" t="s">
        <v>1590</v>
      </c>
      <c r="J24" s="81">
        <v>22411.49</v>
      </c>
    </row>
    <row r="25" spans="1:11" x14ac:dyDescent="0.25">
      <c r="A25" s="130" t="s">
        <v>974</v>
      </c>
      <c r="B25" s="149"/>
      <c r="C25" s="69">
        <v>12.15</v>
      </c>
      <c r="E25" s="142"/>
      <c r="F25" s="140"/>
      <c r="H25" s="139" t="s">
        <v>1591</v>
      </c>
      <c r="I25" s="149" t="s">
        <v>1592</v>
      </c>
      <c r="J25" s="80">
        <v>11455</v>
      </c>
    </row>
    <row r="26" spans="1:11" x14ac:dyDescent="0.25">
      <c r="A26" s="130" t="s">
        <v>975</v>
      </c>
      <c r="B26" s="133"/>
      <c r="C26" s="69">
        <v>15.5</v>
      </c>
      <c r="E26" s="139" t="s">
        <v>1593</v>
      </c>
      <c r="F26" s="138">
        <v>33000</v>
      </c>
      <c r="H26" s="139" t="s">
        <v>1591</v>
      </c>
      <c r="I26" s="149" t="s">
        <v>1594</v>
      </c>
      <c r="J26" s="80">
        <v>13685.49</v>
      </c>
    </row>
    <row r="27" spans="1:11" x14ac:dyDescent="0.25">
      <c r="A27" s="130" t="s">
        <v>976</v>
      </c>
      <c r="B27" s="149"/>
      <c r="C27" s="69">
        <v>16</v>
      </c>
      <c r="E27" s="139" t="s">
        <v>1595</v>
      </c>
      <c r="F27" s="138"/>
      <c r="H27" s="139" t="s">
        <v>1596</v>
      </c>
      <c r="I27" s="149"/>
      <c r="J27" s="80">
        <v>9900</v>
      </c>
    </row>
    <row r="28" spans="1:11" x14ac:dyDescent="0.25">
      <c r="A28" s="130" t="s">
        <v>607</v>
      </c>
      <c r="B28" s="149"/>
      <c r="C28" s="69">
        <v>13.5</v>
      </c>
      <c r="E28" s="139" t="s">
        <v>1597</v>
      </c>
      <c r="F28" s="138"/>
      <c r="H28" s="139" t="s">
        <v>1598</v>
      </c>
      <c r="I28" s="149" t="s">
        <v>1599</v>
      </c>
      <c r="J28" s="80">
        <v>6300</v>
      </c>
    </row>
    <row r="29" spans="1:11" x14ac:dyDescent="0.25">
      <c r="A29" s="130" t="s">
        <v>977</v>
      </c>
      <c r="B29" s="149"/>
      <c r="C29" s="69">
        <v>14.5</v>
      </c>
      <c r="E29" s="139"/>
      <c r="F29" s="138"/>
      <c r="H29" s="139" t="s">
        <v>1600</v>
      </c>
      <c r="I29" s="149" t="s">
        <v>1601</v>
      </c>
      <c r="J29" s="80">
        <v>11455.49</v>
      </c>
    </row>
    <row r="30" spans="1:11" x14ac:dyDescent="0.25">
      <c r="A30" s="130" t="s">
        <v>978</v>
      </c>
      <c r="B30" s="149"/>
      <c r="C30" s="69">
        <v>14.5</v>
      </c>
      <c r="E30" s="139" t="s">
        <v>1602</v>
      </c>
      <c r="F30" s="138"/>
      <c r="H30" s="139" t="s">
        <v>1603</v>
      </c>
      <c r="I30" s="149"/>
      <c r="J30" s="80">
        <v>5238.49</v>
      </c>
    </row>
    <row r="31" spans="1:11" x14ac:dyDescent="0.25">
      <c r="A31" s="130" t="s">
        <v>1327</v>
      </c>
      <c r="B31" s="149"/>
      <c r="C31" s="69">
        <v>12.65</v>
      </c>
      <c r="E31" s="139" t="s">
        <v>1604</v>
      </c>
      <c r="F31" s="138"/>
      <c r="H31" s="139" t="s">
        <v>1605</v>
      </c>
      <c r="I31" s="149"/>
      <c r="J31" s="80">
        <v>4844</v>
      </c>
    </row>
    <row r="32" spans="1:11" ht="15.75" thickBot="1" x14ac:dyDescent="0.3">
      <c r="A32" s="130" t="s">
        <v>1052</v>
      </c>
      <c r="B32" s="149"/>
      <c r="C32" s="69">
        <v>14</v>
      </c>
      <c r="E32" s="137" t="s">
        <v>1606</v>
      </c>
      <c r="F32" s="135"/>
      <c r="H32" s="139" t="s">
        <v>1187</v>
      </c>
      <c r="I32" s="149"/>
      <c r="J32" s="80">
        <v>5873</v>
      </c>
    </row>
    <row r="33" spans="1:10" ht="15.75" thickBot="1" x14ac:dyDescent="0.3">
      <c r="A33" s="130" t="s">
        <v>1164</v>
      </c>
      <c r="B33" s="149"/>
      <c r="C33" s="69">
        <v>14.15</v>
      </c>
      <c r="H33" s="137" t="s">
        <v>1455</v>
      </c>
      <c r="I33" s="136" t="s">
        <v>1607</v>
      </c>
      <c r="J33" s="79">
        <v>6266</v>
      </c>
    </row>
    <row r="34" spans="1:10" ht="15.75" thickBot="1" x14ac:dyDescent="0.3">
      <c r="A34" s="129" t="s">
        <v>1566</v>
      </c>
      <c r="B34" s="128"/>
      <c r="C34" s="68"/>
      <c r="J34" s="143"/>
    </row>
    <row r="35" spans="1:10" x14ac:dyDescent="0.25">
      <c r="B35" s="149"/>
    </row>
    <row r="36" spans="1:10" x14ac:dyDescent="0.25">
      <c r="B36" s="1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M26"/>
  <sheetViews>
    <sheetView topLeftCell="C1" workbookViewId="0">
      <selection activeCell="H22" sqref="H22"/>
    </sheetView>
  </sheetViews>
  <sheetFormatPr baseColWidth="10" defaultRowHeight="15" x14ac:dyDescent="0.25"/>
  <cols>
    <col min="5" max="5" width="21.28515625" bestFit="1" customWidth="1"/>
    <col min="6" max="6" width="14.7109375" bestFit="1" customWidth="1"/>
    <col min="7" max="7" width="17.28515625" bestFit="1" customWidth="1"/>
    <col min="10" max="10" width="13.5703125" bestFit="1" customWidth="1"/>
    <col min="11" max="11" width="15.42578125" bestFit="1" customWidth="1"/>
    <col min="12" max="12" width="12.7109375" bestFit="1" customWidth="1"/>
  </cols>
  <sheetData>
    <row r="3" spans="2:12" x14ac:dyDescent="0.25">
      <c r="F3" s="66" t="s">
        <v>990</v>
      </c>
      <c r="G3" s="66" t="s">
        <v>991</v>
      </c>
      <c r="J3" s="125" t="s">
        <v>1617</v>
      </c>
      <c r="K3" s="125" t="s">
        <v>1616</v>
      </c>
      <c r="L3" s="125" t="s">
        <v>1618</v>
      </c>
    </row>
    <row r="4" spans="2:12" x14ac:dyDescent="0.25">
      <c r="C4">
        <v>172543</v>
      </c>
      <c r="D4">
        <f>C4*3</f>
        <v>517629</v>
      </c>
      <c r="E4" t="s">
        <v>992</v>
      </c>
      <c r="F4" s="65">
        <v>186991</v>
      </c>
      <c r="G4" s="66">
        <v>0.96</v>
      </c>
      <c r="J4" s="125">
        <v>680000</v>
      </c>
      <c r="K4" s="125">
        <f>J4*3%</f>
        <v>20400</v>
      </c>
      <c r="L4" s="125">
        <f>K4-J4</f>
        <v>-659600</v>
      </c>
    </row>
    <row r="5" spans="2:12" x14ac:dyDescent="0.25">
      <c r="C5">
        <v>186991</v>
      </c>
      <c r="D5">
        <f>C5*3</f>
        <v>560973</v>
      </c>
      <c r="E5" t="s">
        <v>993</v>
      </c>
      <c r="F5" s="65">
        <v>186991</v>
      </c>
      <c r="G5" s="66">
        <v>0.96</v>
      </c>
    </row>
    <row r="6" spans="2:12" x14ac:dyDescent="0.25">
      <c r="F6" s="150"/>
      <c r="G6" s="150"/>
    </row>
    <row r="7" spans="2:12" x14ac:dyDescent="0.25">
      <c r="F7" s="150"/>
      <c r="G7" s="150"/>
    </row>
    <row r="8" spans="2:12" x14ac:dyDescent="0.25">
      <c r="F8" s="172" t="s">
        <v>994</v>
      </c>
      <c r="G8" s="172"/>
    </row>
    <row r="9" spans="2:12" x14ac:dyDescent="0.25">
      <c r="F9" s="66" t="s">
        <v>995</v>
      </c>
      <c r="G9" s="66" t="s">
        <v>993</v>
      </c>
    </row>
    <row r="10" spans="2:12" x14ac:dyDescent="0.25">
      <c r="F10" s="65">
        <f>F4/(G4+(-0.07))</f>
        <v>210102.24719101127</v>
      </c>
      <c r="G10" s="65">
        <f>F5/G5</f>
        <v>194782.29166666669</v>
      </c>
      <c r="J10">
        <v>561820</v>
      </c>
      <c r="K10">
        <f>J10*3</f>
        <v>1685460</v>
      </c>
    </row>
    <row r="11" spans="2:12" x14ac:dyDescent="0.25">
      <c r="F11" s="150"/>
      <c r="G11" s="150"/>
      <c r="J11">
        <f>J10</f>
        <v>561820</v>
      </c>
    </row>
    <row r="12" spans="2:12" x14ac:dyDescent="0.25">
      <c r="F12" s="150"/>
      <c r="G12" s="150"/>
    </row>
    <row r="13" spans="2:12" x14ac:dyDescent="0.25">
      <c r="C13" t="s">
        <v>996</v>
      </c>
      <c r="F13" s="66" t="s">
        <v>997</v>
      </c>
      <c r="G13" s="66" t="s">
        <v>998</v>
      </c>
      <c r="J13">
        <f>F10*3</f>
        <v>630306.74157303385</v>
      </c>
      <c r="K13">
        <f>G10*7</f>
        <v>1363476.0416666667</v>
      </c>
    </row>
    <row r="14" spans="2:12" x14ac:dyDescent="0.25">
      <c r="F14" s="66">
        <v>2</v>
      </c>
      <c r="G14" s="65">
        <f>AVERAGE(G19/F14)</f>
        <v>202442.26942883898</v>
      </c>
    </row>
    <row r="15" spans="2:12" ht="15.75" thickBot="1" x14ac:dyDescent="0.3">
      <c r="F15" s="150"/>
      <c r="G15" s="150"/>
    </row>
    <row r="16" spans="2:12" x14ac:dyDescent="0.25">
      <c r="B16" t="s">
        <v>1100</v>
      </c>
      <c r="C16" s="142">
        <v>0.5</v>
      </c>
      <c r="D16" s="141"/>
      <c r="E16" s="141" t="s">
        <v>999</v>
      </c>
      <c r="F16" s="64">
        <f>((F14)*C16)</f>
        <v>1</v>
      </c>
      <c r="G16" s="63">
        <f>F10*F16</f>
        <v>210102.24719101127</v>
      </c>
    </row>
    <row r="17" spans="2:13" ht="15.75" thickBot="1" x14ac:dyDescent="0.3">
      <c r="B17" t="s">
        <v>1101</v>
      </c>
      <c r="C17" s="137">
        <v>0.5</v>
      </c>
      <c r="D17" s="136"/>
      <c r="E17" s="136" t="s">
        <v>1000</v>
      </c>
      <c r="F17" s="62">
        <f>(F14*C17)</f>
        <v>1</v>
      </c>
      <c r="G17" s="61">
        <f>G10*F17</f>
        <v>194782.29166666669</v>
      </c>
    </row>
    <row r="18" spans="2:13" ht="15.75" thickBot="1" x14ac:dyDescent="0.3">
      <c r="F18" s="150"/>
      <c r="G18" s="150"/>
    </row>
    <row r="19" spans="2:13" ht="15.75" thickBot="1" x14ac:dyDescent="0.3">
      <c r="E19" s="145" t="s">
        <v>1001</v>
      </c>
      <c r="F19" s="76"/>
      <c r="G19" s="60">
        <f>SUM(G16,G17)</f>
        <v>404884.53885767795</v>
      </c>
      <c r="J19">
        <v>561820</v>
      </c>
      <c r="K19">
        <f>J19*1.05</f>
        <v>589911</v>
      </c>
    </row>
    <row r="21" spans="2:13" x14ac:dyDescent="0.25">
      <c r="J21">
        <v>561820</v>
      </c>
      <c r="K21">
        <f>J21*5%</f>
        <v>28091</v>
      </c>
      <c r="L21">
        <f>K21+J21</f>
        <v>589911</v>
      </c>
      <c r="M21">
        <f>L21*3</f>
        <v>1769733</v>
      </c>
    </row>
    <row r="22" spans="2:13" x14ac:dyDescent="0.25">
      <c r="M22">
        <f>L21*7</f>
        <v>4129377</v>
      </c>
    </row>
    <row r="26" spans="2:13" x14ac:dyDescent="0.25">
      <c r="I26">
        <v>100</v>
      </c>
      <c r="J26">
        <v>-89</v>
      </c>
      <c r="K26">
        <v>12</v>
      </c>
      <c r="L26">
        <v>8</v>
      </c>
      <c r="M26">
        <v>4</v>
      </c>
    </row>
  </sheetData>
  <mergeCells count="1">
    <mergeCell ref="F8:G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3:O22"/>
  <sheetViews>
    <sheetView topLeftCell="B1" workbookViewId="0">
      <selection activeCell="D7" sqref="D7"/>
    </sheetView>
  </sheetViews>
  <sheetFormatPr baseColWidth="10" defaultRowHeight="15" x14ac:dyDescent="0.25"/>
  <cols>
    <col min="3" max="3" width="29.28515625" customWidth="1"/>
    <col min="4" max="4" width="27.28515625" bestFit="1" customWidth="1"/>
  </cols>
  <sheetData>
    <row r="3" spans="3:15" ht="15.75" thickBot="1" x14ac:dyDescent="0.3"/>
    <row r="4" spans="3:15" ht="15.75" thickBot="1" x14ac:dyDescent="0.3"/>
    <row r="5" spans="3:15" x14ac:dyDescent="0.25">
      <c r="C5" t="s">
        <v>1005</v>
      </c>
      <c r="D5" t="s">
        <v>1006</v>
      </c>
      <c r="I5">
        <v>596265</v>
      </c>
      <c r="J5">
        <v>5</v>
      </c>
      <c r="K5">
        <f>I5*J5%</f>
        <v>29813.25</v>
      </c>
      <c r="L5">
        <f>I5-K5</f>
        <v>566451.75</v>
      </c>
      <c r="M5">
        <v>3</v>
      </c>
      <c r="N5">
        <f>L5*M5%</f>
        <v>16993.552499999998</v>
      </c>
      <c r="O5">
        <f>L5-N5</f>
        <v>549458.19750000001</v>
      </c>
    </row>
    <row r="6" spans="3:15" ht="15.75" thickBot="1" x14ac:dyDescent="0.3">
      <c r="C6">
        <v>247200</v>
      </c>
      <c r="D6">
        <v>254850</v>
      </c>
    </row>
    <row r="7" spans="3:15" ht="15.75" thickBot="1" x14ac:dyDescent="0.3"/>
    <row r="8" spans="3:15" ht="15.75" thickBot="1" x14ac:dyDescent="0.3">
      <c r="C8" t="s">
        <v>1007</v>
      </c>
    </row>
    <row r="9" spans="3:15" ht="15.75" thickBot="1" x14ac:dyDescent="0.3">
      <c r="C9">
        <f>(D6-C6)/C6*100%</f>
        <v>3.0946601941747573E-2</v>
      </c>
    </row>
    <row r="11" spans="3:15" ht="15.75" thickBot="1" x14ac:dyDescent="0.3"/>
    <row r="13" spans="3:15" x14ac:dyDescent="0.25">
      <c r="C13">
        <v>8.9354542473944878E-2</v>
      </c>
    </row>
    <row r="20" spans="3:3" x14ac:dyDescent="0.25">
      <c r="C20">
        <v>1.5144614614507801</v>
      </c>
    </row>
    <row r="21" spans="3:3" x14ac:dyDescent="0.25">
      <c r="C21">
        <v>1.7937199978423899</v>
      </c>
    </row>
    <row r="22" spans="3:3" x14ac:dyDescent="0.25">
      <c r="C22">
        <v>2.1096433756595601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B1:O194"/>
  <sheetViews>
    <sheetView workbookViewId="0">
      <selection activeCell="G19" sqref="G19"/>
    </sheetView>
  </sheetViews>
  <sheetFormatPr baseColWidth="10" defaultColWidth="12.42578125" defaultRowHeight="12" x14ac:dyDescent="0.2"/>
  <cols>
    <col min="1" max="1" width="7.7109375" style="48" customWidth="1"/>
    <col min="2" max="2" width="12.42578125" style="48"/>
    <col min="3" max="3" width="27.5703125" style="48" customWidth="1"/>
    <col min="4" max="4" width="12.42578125" style="48"/>
    <col min="5" max="6" width="12.5703125" style="37" bestFit="1" customWidth="1"/>
    <col min="7" max="8" width="12.5703125" style="48" bestFit="1" customWidth="1"/>
    <col min="9" max="9" width="14.140625" style="36" bestFit="1" customWidth="1"/>
    <col min="10" max="11" width="22.5703125" style="36" bestFit="1" customWidth="1"/>
    <col min="12" max="12" width="12.42578125" style="48"/>
    <col min="13" max="15" width="12.42578125" style="48" customWidth="1"/>
    <col min="16" max="16384" width="12.42578125" style="48"/>
  </cols>
  <sheetData>
    <row r="1" spans="2:15" s="54" customFormat="1" ht="18" x14ac:dyDescent="0.25">
      <c r="B1" s="59"/>
      <c r="C1" s="58"/>
      <c r="D1" s="58"/>
      <c r="E1" s="57"/>
      <c r="F1" s="57"/>
      <c r="G1" s="58"/>
      <c r="H1" s="58"/>
      <c r="I1" s="56"/>
      <c r="J1" s="56">
        <f>SUBTOTAL(9,J3:J300)</f>
        <v>888955379.12999964</v>
      </c>
      <c r="K1" s="56">
        <f>SUBTOTAL(9,K3:K300)</f>
        <v>959067144.91999984</v>
      </c>
      <c r="L1" s="55"/>
    </row>
    <row r="2" spans="2:15" x14ac:dyDescent="0.2">
      <c r="B2" s="53" t="s">
        <v>0</v>
      </c>
      <c r="C2" s="52" t="s">
        <v>1</v>
      </c>
      <c r="D2" s="52" t="s">
        <v>1293</v>
      </c>
      <c r="E2" s="51" t="s">
        <v>923</v>
      </c>
      <c r="F2" s="51" t="s">
        <v>924</v>
      </c>
      <c r="G2" s="52" t="s">
        <v>925</v>
      </c>
      <c r="H2" s="52" t="s">
        <v>926</v>
      </c>
      <c r="I2" s="50" t="s">
        <v>927</v>
      </c>
      <c r="J2" s="50" t="s">
        <v>928</v>
      </c>
      <c r="K2" s="50" t="s">
        <v>929</v>
      </c>
      <c r="L2" s="49" t="s">
        <v>3</v>
      </c>
      <c r="M2" s="48" t="s">
        <v>1089</v>
      </c>
      <c r="N2" s="48" t="s">
        <v>2</v>
      </c>
      <c r="O2" s="48" t="s">
        <v>1343</v>
      </c>
    </row>
    <row r="3" spans="2:15" x14ac:dyDescent="0.2">
      <c r="B3" s="180" t="s">
        <v>1174</v>
      </c>
      <c r="C3" s="46" t="s">
        <v>1173</v>
      </c>
      <c r="D3" s="46" t="s">
        <v>6</v>
      </c>
      <c r="E3" s="45">
        <v>0.14701499999999998</v>
      </c>
      <c r="F3" s="45">
        <v>0.32669999999999999</v>
      </c>
      <c r="G3" s="46">
        <v>351</v>
      </c>
      <c r="H3" s="46">
        <v>351</v>
      </c>
      <c r="I3" s="44">
        <v>483500</v>
      </c>
      <c r="J3" s="44">
        <f t="shared" ref="J3:J66" si="0">I3*G3</f>
        <v>169708500</v>
      </c>
      <c r="K3" s="44">
        <f t="shared" ref="K3:K66" si="1">I3*H3</f>
        <v>169708500</v>
      </c>
      <c r="L3" s="43" t="s">
        <v>7</v>
      </c>
      <c r="M3" s="48">
        <v>9839</v>
      </c>
      <c r="N3" s="48" t="s">
        <v>1294</v>
      </c>
      <c r="O3" s="48">
        <v>21</v>
      </c>
    </row>
    <row r="4" spans="2:15" x14ac:dyDescent="0.2">
      <c r="B4" s="180" t="s">
        <v>1629</v>
      </c>
      <c r="C4" s="46" t="s">
        <v>1628</v>
      </c>
      <c r="D4" s="46" t="s">
        <v>14</v>
      </c>
      <c r="E4" s="45">
        <v>0.17121499999999998</v>
      </c>
      <c r="F4" s="45">
        <v>0.35089999999999999</v>
      </c>
      <c r="G4" s="46">
        <v>184</v>
      </c>
      <c r="H4" s="46">
        <v>194</v>
      </c>
      <c r="I4" s="44">
        <v>457296</v>
      </c>
      <c r="J4" s="44">
        <f t="shared" si="0"/>
        <v>84142464</v>
      </c>
      <c r="K4" s="44">
        <f t="shared" si="1"/>
        <v>88715424</v>
      </c>
      <c r="L4" s="43" t="s">
        <v>67</v>
      </c>
      <c r="M4" s="48">
        <v>9977</v>
      </c>
      <c r="N4" s="48" t="s">
        <v>1294</v>
      </c>
      <c r="O4" s="48">
        <v>21</v>
      </c>
    </row>
    <row r="5" spans="2:15" x14ac:dyDescent="0.2">
      <c r="B5" s="180" t="s">
        <v>1022</v>
      </c>
      <c r="C5" s="46" t="s">
        <v>1284</v>
      </c>
      <c r="D5" s="46" t="s">
        <v>6</v>
      </c>
      <c r="E5" s="45">
        <v>0.14701499999999998</v>
      </c>
      <c r="F5" s="45">
        <v>0.32669999999999999</v>
      </c>
      <c r="G5" s="46">
        <v>155</v>
      </c>
      <c r="H5" s="46">
        <v>155</v>
      </c>
      <c r="I5" s="44">
        <v>483500</v>
      </c>
      <c r="J5" s="44">
        <f t="shared" si="0"/>
        <v>74942500</v>
      </c>
      <c r="K5" s="44">
        <f t="shared" si="1"/>
        <v>74942500</v>
      </c>
      <c r="L5" s="43" t="s">
        <v>7</v>
      </c>
      <c r="M5" s="48">
        <v>2820</v>
      </c>
      <c r="N5" s="48" t="s">
        <v>1294</v>
      </c>
      <c r="O5" s="48">
        <v>21</v>
      </c>
    </row>
    <row r="6" spans="2:15" x14ac:dyDescent="0.2">
      <c r="B6" s="180" t="s">
        <v>1536</v>
      </c>
      <c r="C6" s="46" t="s">
        <v>1535</v>
      </c>
      <c r="D6" s="46" t="s">
        <v>1534</v>
      </c>
      <c r="E6" s="45">
        <v>0.17121499999999998</v>
      </c>
      <c r="F6" s="45">
        <v>0.35089999999999999</v>
      </c>
      <c r="G6" s="46">
        <v>90</v>
      </c>
      <c r="H6" s="46">
        <v>102</v>
      </c>
      <c r="I6" s="44">
        <v>685000</v>
      </c>
      <c r="J6" s="44">
        <f t="shared" si="0"/>
        <v>61650000</v>
      </c>
      <c r="K6" s="44">
        <f t="shared" si="1"/>
        <v>69870000</v>
      </c>
      <c r="L6" s="43" t="s">
        <v>35</v>
      </c>
      <c r="M6" s="48">
        <v>9962</v>
      </c>
      <c r="N6" s="48" t="s">
        <v>1294</v>
      </c>
      <c r="O6" s="48">
        <v>21</v>
      </c>
    </row>
    <row r="7" spans="2:15" x14ac:dyDescent="0.2">
      <c r="B7" s="180" t="s">
        <v>1334</v>
      </c>
      <c r="C7" s="46" t="s">
        <v>1635</v>
      </c>
      <c r="D7" s="46" t="s">
        <v>14</v>
      </c>
      <c r="E7" s="45">
        <v>0.17121499999999998</v>
      </c>
      <c r="F7" s="45">
        <v>0.35089999999999999</v>
      </c>
      <c r="G7" s="46">
        <v>137</v>
      </c>
      <c r="H7" s="46">
        <v>137</v>
      </c>
      <c r="I7" s="44">
        <v>481990</v>
      </c>
      <c r="J7" s="44">
        <f t="shared" si="0"/>
        <v>66032630</v>
      </c>
      <c r="K7" s="44">
        <f t="shared" si="1"/>
        <v>66032630</v>
      </c>
      <c r="L7" s="43" t="s">
        <v>35</v>
      </c>
      <c r="M7" s="48">
        <v>8674</v>
      </c>
      <c r="N7" s="48" t="s">
        <v>1294</v>
      </c>
      <c r="O7" s="48">
        <v>21</v>
      </c>
    </row>
    <row r="8" spans="2:15" x14ac:dyDescent="0.2">
      <c r="B8" s="180" t="s">
        <v>984</v>
      </c>
      <c r="C8" s="46" t="s">
        <v>1542</v>
      </c>
      <c r="D8" s="46" t="s">
        <v>10</v>
      </c>
      <c r="E8" s="45">
        <v>0.14701499999999998</v>
      </c>
      <c r="F8" s="45">
        <v>0.32669999999999999</v>
      </c>
      <c r="G8" s="46">
        <v>133</v>
      </c>
      <c r="H8" s="46">
        <v>133</v>
      </c>
      <c r="I8" s="44">
        <v>229990</v>
      </c>
      <c r="J8" s="44">
        <f t="shared" si="0"/>
        <v>30588670</v>
      </c>
      <c r="K8" s="44">
        <f t="shared" si="1"/>
        <v>30588670</v>
      </c>
      <c r="L8" s="43" t="s">
        <v>1002</v>
      </c>
      <c r="M8" s="48">
        <v>8749</v>
      </c>
      <c r="N8" s="48" t="s">
        <v>1295</v>
      </c>
      <c r="O8" s="48">
        <v>21</v>
      </c>
    </row>
    <row r="9" spans="2:15" x14ac:dyDescent="0.2">
      <c r="B9" s="180" t="s">
        <v>1126</v>
      </c>
      <c r="C9" s="46" t="s">
        <v>1480</v>
      </c>
      <c r="D9" s="46" t="s">
        <v>18</v>
      </c>
      <c r="E9" s="45">
        <v>0.17121499999999998</v>
      </c>
      <c r="F9" s="45">
        <v>0.32669999999999999</v>
      </c>
      <c r="G9" s="46">
        <v>174</v>
      </c>
      <c r="H9" s="46">
        <v>176</v>
      </c>
      <c r="I9" s="44">
        <v>160600</v>
      </c>
      <c r="J9" s="44">
        <f t="shared" si="0"/>
        <v>27944400</v>
      </c>
      <c r="K9" s="44">
        <f t="shared" si="1"/>
        <v>28265600</v>
      </c>
      <c r="L9" s="43" t="s">
        <v>35</v>
      </c>
      <c r="M9" s="48">
        <v>6016</v>
      </c>
      <c r="N9" s="48" t="s">
        <v>1294</v>
      </c>
      <c r="O9" s="48">
        <v>21</v>
      </c>
    </row>
    <row r="10" spans="2:15" x14ac:dyDescent="0.2">
      <c r="B10" s="180" t="s">
        <v>1307</v>
      </c>
      <c r="C10" s="46" t="s">
        <v>1308</v>
      </c>
      <c r="D10" s="46" t="s">
        <v>38</v>
      </c>
      <c r="E10" s="45">
        <v>0.17121499999999998</v>
      </c>
      <c r="F10" s="45">
        <v>0.35089999999999999</v>
      </c>
      <c r="G10" s="46">
        <v>39</v>
      </c>
      <c r="H10" s="46">
        <v>39</v>
      </c>
      <c r="I10" s="44">
        <v>660436</v>
      </c>
      <c r="J10" s="44">
        <f t="shared" si="0"/>
        <v>25757004</v>
      </c>
      <c r="K10" s="44">
        <f t="shared" si="1"/>
        <v>25757004</v>
      </c>
      <c r="L10" s="43" t="s">
        <v>67</v>
      </c>
      <c r="M10" s="48">
        <v>9884</v>
      </c>
      <c r="N10" s="48" t="s">
        <v>1294</v>
      </c>
      <c r="O10" s="48">
        <v>21</v>
      </c>
    </row>
    <row r="11" spans="2:15" x14ac:dyDescent="0.2">
      <c r="B11" s="180" t="s">
        <v>1647</v>
      </c>
      <c r="C11" s="46" t="s">
        <v>1669</v>
      </c>
      <c r="D11" s="46" t="s">
        <v>18</v>
      </c>
      <c r="E11" s="45">
        <v>0.17121499999999998</v>
      </c>
      <c r="F11" s="45">
        <v>0.32669999999999999</v>
      </c>
      <c r="G11" s="46">
        <v>236</v>
      </c>
      <c r="H11" s="46">
        <v>236</v>
      </c>
      <c r="I11" s="44">
        <v>108922</v>
      </c>
      <c r="J11" s="44">
        <f t="shared" si="0"/>
        <v>25705592</v>
      </c>
      <c r="K11" s="44">
        <f t="shared" si="1"/>
        <v>25705592</v>
      </c>
      <c r="L11" s="43" t="s">
        <v>67</v>
      </c>
      <c r="M11" s="48">
        <v>9985</v>
      </c>
      <c r="N11" s="48" t="s">
        <v>1294</v>
      </c>
      <c r="O11" s="48">
        <v>21</v>
      </c>
    </row>
    <row r="12" spans="2:15" x14ac:dyDescent="0.2">
      <c r="B12" s="180" t="s">
        <v>1552</v>
      </c>
      <c r="C12" s="46" t="s">
        <v>1553</v>
      </c>
      <c r="D12" s="46" t="s">
        <v>28</v>
      </c>
      <c r="E12" s="45">
        <v>0.17121499999999998</v>
      </c>
      <c r="F12" s="45">
        <v>0.35089999999999999</v>
      </c>
      <c r="G12" s="46">
        <v>439</v>
      </c>
      <c r="H12" s="46">
        <v>439</v>
      </c>
      <c r="I12" s="44">
        <v>56639</v>
      </c>
      <c r="J12" s="44">
        <f t="shared" si="0"/>
        <v>24864521</v>
      </c>
      <c r="K12" s="44">
        <f t="shared" si="1"/>
        <v>24864521</v>
      </c>
      <c r="L12" s="43" t="s">
        <v>1554</v>
      </c>
      <c r="M12" s="48">
        <v>9964</v>
      </c>
      <c r="N12" s="48" t="s">
        <v>1294</v>
      </c>
      <c r="O12" s="48">
        <v>21</v>
      </c>
    </row>
    <row r="13" spans="2:15" x14ac:dyDescent="0.2">
      <c r="B13" s="180" t="s">
        <v>1322</v>
      </c>
      <c r="C13" s="46" t="s">
        <v>1324</v>
      </c>
      <c r="D13" s="46" t="s">
        <v>14</v>
      </c>
      <c r="E13" s="45">
        <v>0.17121499999999998</v>
      </c>
      <c r="F13" s="45">
        <v>0.35089999999999999</v>
      </c>
      <c r="G13" s="46">
        <v>54</v>
      </c>
      <c r="H13" s="46">
        <v>76</v>
      </c>
      <c r="I13" s="44">
        <v>295000</v>
      </c>
      <c r="J13" s="44">
        <f t="shared" si="0"/>
        <v>15930000</v>
      </c>
      <c r="K13" s="44">
        <f t="shared" si="1"/>
        <v>22420000</v>
      </c>
      <c r="L13" s="43" t="s">
        <v>59</v>
      </c>
      <c r="M13" s="48">
        <v>8310</v>
      </c>
      <c r="N13" s="48" t="s">
        <v>1294</v>
      </c>
      <c r="O13" s="48">
        <v>21</v>
      </c>
    </row>
    <row r="14" spans="2:15" x14ac:dyDescent="0.2">
      <c r="B14" s="180" t="s">
        <v>1469</v>
      </c>
      <c r="C14" s="46" t="s">
        <v>1530</v>
      </c>
      <c r="D14" s="46" t="s">
        <v>38</v>
      </c>
      <c r="E14" s="45">
        <v>0.17121499999999998</v>
      </c>
      <c r="F14" s="45">
        <v>0.35089999999999999</v>
      </c>
      <c r="G14" s="46">
        <v>76</v>
      </c>
      <c r="H14" s="46">
        <v>76</v>
      </c>
      <c r="I14" s="44">
        <v>290000.02</v>
      </c>
      <c r="J14" s="44">
        <f t="shared" si="0"/>
        <v>22040001.520000003</v>
      </c>
      <c r="K14" s="44">
        <f t="shared" si="1"/>
        <v>22040001.520000003</v>
      </c>
      <c r="L14" s="43" t="s">
        <v>67</v>
      </c>
      <c r="M14" s="48">
        <v>9946</v>
      </c>
      <c r="N14" s="48" t="s">
        <v>1294</v>
      </c>
      <c r="O14" s="48">
        <v>21</v>
      </c>
    </row>
    <row r="15" spans="2:15" x14ac:dyDescent="0.2">
      <c r="B15" s="180" t="s">
        <v>1312</v>
      </c>
      <c r="C15" s="46" t="s">
        <v>1311</v>
      </c>
      <c r="D15" s="46" t="s">
        <v>112</v>
      </c>
      <c r="E15" s="45">
        <v>0.17121499999999998</v>
      </c>
      <c r="F15" s="45">
        <v>0.35089999999999999</v>
      </c>
      <c r="G15" s="46">
        <v>33</v>
      </c>
      <c r="H15" s="46">
        <v>33</v>
      </c>
      <c r="I15" s="44">
        <v>583494</v>
      </c>
      <c r="J15" s="44">
        <f t="shared" si="0"/>
        <v>19255302</v>
      </c>
      <c r="K15" s="44">
        <f t="shared" si="1"/>
        <v>19255302</v>
      </c>
      <c r="L15" s="43" t="s">
        <v>67</v>
      </c>
      <c r="M15" s="48">
        <v>9887</v>
      </c>
      <c r="N15" s="48" t="s">
        <v>1294</v>
      </c>
      <c r="O15" s="48">
        <v>21</v>
      </c>
    </row>
    <row r="16" spans="2:15" x14ac:dyDescent="0.2">
      <c r="B16" s="180" t="s">
        <v>140</v>
      </c>
      <c r="C16" s="46" t="s">
        <v>1632</v>
      </c>
      <c r="D16" s="46" t="s">
        <v>10</v>
      </c>
      <c r="E16" s="45">
        <v>0.14701499999999998</v>
      </c>
      <c r="F16" s="45">
        <v>0.32669999999999999</v>
      </c>
      <c r="G16" s="46">
        <v>2</v>
      </c>
      <c r="H16" s="46">
        <v>51</v>
      </c>
      <c r="I16" s="44">
        <v>376980</v>
      </c>
      <c r="J16" s="44">
        <f t="shared" si="0"/>
        <v>753960</v>
      </c>
      <c r="K16" s="44">
        <f t="shared" si="1"/>
        <v>19225980</v>
      </c>
      <c r="L16" s="43" t="s">
        <v>35</v>
      </c>
      <c r="M16" s="48">
        <v>8685</v>
      </c>
      <c r="N16" s="48" t="s">
        <v>1295</v>
      </c>
      <c r="O16" s="48">
        <v>21</v>
      </c>
    </row>
    <row r="17" spans="2:15" x14ac:dyDescent="0.2">
      <c r="B17" s="180" t="s">
        <v>1626</v>
      </c>
      <c r="C17" s="46" t="s">
        <v>1670</v>
      </c>
      <c r="D17" s="46" t="s">
        <v>18</v>
      </c>
      <c r="E17" s="45">
        <v>0.17121499999999998</v>
      </c>
      <c r="F17" s="45">
        <v>0.32669999999999999</v>
      </c>
      <c r="G17" s="46">
        <v>190</v>
      </c>
      <c r="H17" s="46">
        <v>190</v>
      </c>
      <c r="I17" s="44">
        <v>99240</v>
      </c>
      <c r="J17" s="44">
        <f t="shared" si="0"/>
        <v>18855600</v>
      </c>
      <c r="K17" s="44">
        <f t="shared" si="1"/>
        <v>18855600</v>
      </c>
      <c r="L17" s="43" t="s">
        <v>67</v>
      </c>
      <c r="M17" s="48">
        <v>9976</v>
      </c>
      <c r="N17" s="48" t="s">
        <v>1294</v>
      </c>
      <c r="O17" s="48">
        <v>21</v>
      </c>
    </row>
    <row r="18" spans="2:15" x14ac:dyDescent="0.2">
      <c r="B18" s="180" t="s">
        <v>1576</v>
      </c>
      <c r="C18" s="46" t="s">
        <v>1627</v>
      </c>
      <c r="D18" s="46" t="s">
        <v>38</v>
      </c>
      <c r="E18" s="45">
        <v>0.17121499999999998</v>
      </c>
      <c r="F18" s="45">
        <v>0.35089999999999999</v>
      </c>
      <c r="G18" s="46">
        <v>68</v>
      </c>
      <c r="H18" s="46">
        <v>68</v>
      </c>
      <c r="I18" s="44">
        <v>262032</v>
      </c>
      <c r="J18" s="44">
        <f t="shared" si="0"/>
        <v>17818176</v>
      </c>
      <c r="K18" s="44">
        <f t="shared" si="1"/>
        <v>17818176</v>
      </c>
      <c r="L18" s="43" t="s">
        <v>67</v>
      </c>
      <c r="M18" s="48">
        <v>9972</v>
      </c>
      <c r="N18" s="48" t="s">
        <v>1294</v>
      </c>
      <c r="O18" s="48">
        <v>21</v>
      </c>
    </row>
    <row r="19" spans="2:15" x14ac:dyDescent="0.2">
      <c r="B19" s="180" t="s">
        <v>1624</v>
      </c>
      <c r="C19" s="46" t="s">
        <v>1623</v>
      </c>
      <c r="D19" s="46" t="s">
        <v>18</v>
      </c>
      <c r="E19" s="45">
        <v>0.17121499999999998</v>
      </c>
      <c r="F19" s="45">
        <v>0.32669999999999999</v>
      </c>
      <c r="G19" s="46">
        <v>122</v>
      </c>
      <c r="H19" s="46">
        <v>122</v>
      </c>
      <c r="I19" s="44">
        <v>144842</v>
      </c>
      <c r="J19" s="44">
        <f t="shared" si="0"/>
        <v>17670724</v>
      </c>
      <c r="K19" s="44">
        <f t="shared" si="1"/>
        <v>17670724</v>
      </c>
      <c r="L19" s="43" t="s">
        <v>67</v>
      </c>
      <c r="M19" s="48">
        <v>9975</v>
      </c>
      <c r="N19" s="48" t="s">
        <v>1294</v>
      </c>
      <c r="O19" s="48">
        <v>21</v>
      </c>
    </row>
    <row r="20" spans="2:15" x14ac:dyDescent="0.2">
      <c r="B20" s="180" t="s">
        <v>1060</v>
      </c>
      <c r="C20" s="46" t="s">
        <v>1193</v>
      </c>
      <c r="D20" s="46" t="s">
        <v>6</v>
      </c>
      <c r="E20" s="45">
        <v>0.14701499999999998</v>
      </c>
      <c r="F20" s="45">
        <v>0.32669999999999999</v>
      </c>
      <c r="G20" s="46">
        <v>15</v>
      </c>
      <c r="H20" s="46">
        <v>17</v>
      </c>
      <c r="I20" s="44">
        <v>907469</v>
      </c>
      <c r="J20" s="44">
        <f t="shared" si="0"/>
        <v>13612035</v>
      </c>
      <c r="K20" s="44">
        <f t="shared" si="1"/>
        <v>15426973</v>
      </c>
      <c r="L20" s="43" t="s">
        <v>35</v>
      </c>
      <c r="M20" s="48">
        <v>9560</v>
      </c>
      <c r="N20" s="48" t="s">
        <v>1294</v>
      </c>
      <c r="O20" s="48">
        <v>21</v>
      </c>
    </row>
    <row r="21" spans="2:15" x14ac:dyDescent="0.2">
      <c r="B21" s="180" t="s">
        <v>1071</v>
      </c>
      <c r="C21" s="46" t="s">
        <v>1652</v>
      </c>
      <c r="D21" s="46" t="s">
        <v>18</v>
      </c>
      <c r="E21" s="45">
        <v>0.17121499999999998</v>
      </c>
      <c r="F21" s="45">
        <v>0.32669999999999999</v>
      </c>
      <c r="G21" s="46">
        <v>143</v>
      </c>
      <c r="H21" s="46">
        <v>143</v>
      </c>
      <c r="I21" s="44">
        <v>106501.01</v>
      </c>
      <c r="J21" s="44">
        <f t="shared" si="0"/>
        <v>15229644.43</v>
      </c>
      <c r="K21" s="44">
        <f t="shared" si="1"/>
        <v>15229644.43</v>
      </c>
      <c r="L21" s="43" t="s">
        <v>1265</v>
      </c>
      <c r="M21" s="48">
        <v>9814</v>
      </c>
      <c r="N21" s="48" t="s">
        <v>1294</v>
      </c>
      <c r="O21" s="48">
        <v>21</v>
      </c>
    </row>
    <row r="22" spans="2:15" x14ac:dyDescent="0.2">
      <c r="B22" s="180" t="s">
        <v>1195</v>
      </c>
      <c r="C22" s="46" t="s">
        <v>1196</v>
      </c>
      <c r="D22" s="46" t="s">
        <v>18</v>
      </c>
      <c r="E22" s="45">
        <v>0.18754999999999999</v>
      </c>
      <c r="F22" s="45">
        <v>0.36899999999999999</v>
      </c>
      <c r="G22" s="46">
        <v>122</v>
      </c>
      <c r="H22" s="46">
        <v>127</v>
      </c>
      <c r="I22" s="44">
        <v>114425.01</v>
      </c>
      <c r="J22" s="44">
        <f t="shared" si="0"/>
        <v>13959851.219999999</v>
      </c>
      <c r="K22" s="44">
        <f t="shared" si="1"/>
        <v>14531976.27</v>
      </c>
      <c r="L22" s="43" t="s">
        <v>1265</v>
      </c>
      <c r="M22" s="48">
        <v>9853</v>
      </c>
      <c r="N22" s="48" t="s">
        <v>1294</v>
      </c>
      <c r="O22" s="48">
        <v>21</v>
      </c>
    </row>
    <row r="23" spans="2:15" x14ac:dyDescent="0.2">
      <c r="B23" s="180" t="s">
        <v>1482</v>
      </c>
      <c r="C23" s="46" t="s">
        <v>1483</v>
      </c>
      <c r="D23" s="46" t="s">
        <v>1341</v>
      </c>
      <c r="E23" s="45">
        <v>0.14701499999999998</v>
      </c>
      <c r="F23" s="45">
        <v>0.32669999999999999</v>
      </c>
      <c r="G23" s="46">
        <v>60</v>
      </c>
      <c r="H23" s="46">
        <v>61</v>
      </c>
      <c r="I23" s="44">
        <v>217000</v>
      </c>
      <c r="J23" s="44">
        <f t="shared" si="0"/>
        <v>13020000</v>
      </c>
      <c r="K23" s="44">
        <f t="shared" si="1"/>
        <v>13237000</v>
      </c>
      <c r="L23" s="43" t="s">
        <v>439</v>
      </c>
      <c r="M23" s="48">
        <v>9249</v>
      </c>
      <c r="N23" s="48" t="s">
        <v>1298</v>
      </c>
      <c r="O23" s="48">
        <v>10.5</v>
      </c>
    </row>
    <row r="24" spans="2:15" x14ac:dyDescent="0.2">
      <c r="B24" s="180" t="s">
        <v>1659</v>
      </c>
      <c r="C24" s="46" t="s">
        <v>1664</v>
      </c>
      <c r="D24" s="46" t="s">
        <v>10</v>
      </c>
      <c r="E24" s="45">
        <v>0.14701499999999998</v>
      </c>
      <c r="F24" s="45">
        <v>0.32669999999999999</v>
      </c>
      <c r="G24" s="46">
        <v>1</v>
      </c>
      <c r="H24" s="46">
        <v>28</v>
      </c>
      <c r="I24" s="44">
        <v>439810</v>
      </c>
      <c r="J24" s="44">
        <f t="shared" si="0"/>
        <v>439810</v>
      </c>
      <c r="K24" s="44">
        <f t="shared" si="1"/>
        <v>12314680</v>
      </c>
      <c r="L24" s="43" t="s">
        <v>35</v>
      </c>
      <c r="M24" s="48">
        <v>9986</v>
      </c>
      <c r="N24" s="48" t="s">
        <v>1295</v>
      </c>
      <c r="O24" s="48">
        <v>21</v>
      </c>
    </row>
    <row r="25" spans="2:15" hidden="1" x14ac:dyDescent="0.2">
      <c r="B25" s="180" t="s">
        <v>1639</v>
      </c>
      <c r="C25" s="46" t="s">
        <v>1640</v>
      </c>
      <c r="D25" s="46" t="s">
        <v>64</v>
      </c>
      <c r="E25" s="45">
        <v>0.17121499999999998</v>
      </c>
      <c r="F25" s="45">
        <v>0.32669999999999999</v>
      </c>
      <c r="G25" s="46">
        <v>0</v>
      </c>
      <c r="H25" s="46">
        <v>30</v>
      </c>
      <c r="I25" s="44">
        <v>398012</v>
      </c>
      <c r="J25" s="44">
        <f t="shared" si="0"/>
        <v>0</v>
      </c>
      <c r="K25" s="44">
        <f t="shared" si="1"/>
        <v>11940360</v>
      </c>
      <c r="L25" s="43" t="s">
        <v>25</v>
      </c>
      <c r="M25" s="48">
        <v>9968</v>
      </c>
      <c r="N25" s="48" t="s">
        <v>1294</v>
      </c>
      <c r="O25" s="48">
        <v>21</v>
      </c>
    </row>
    <row r="26" spans="2:15" x14ac:dyDescent="0.2">
      <c r="B26" s="180" t="s">
        <v>1581</v>
      </c>
      <c r="C26" s="46" t="s">
        <v>1582</v>
      </c>
      <c r="D26" s="46" t="s">
        <v>18</v>
      </c>
      <c r="E26" s="45">
        <v>0.17121499999999998</v>
      </c>
      <c r="F26" s="45">
        <v>0.32669999999999999</v>
      </c>
      <c r="G26" s="46">
        <v>76</v>
      </c>
      <c r="H26" s="46">
        <v>76</v>
      </c>
      <c r="I26" s="44">
        <v>154366</v>
      </c>
      <c r="J26" s="44">
        <f t="shared" si="0"/>
        <v>11731816</v>
      </c>
      <c r="K26" s="44">
        <f t="shared" si="1"/>
        <v>11731816</v>
      </c>
      <c r="L26" s="43" t="s">
        <v>1265</v>
      </c>
      <c r="M26" s="48">
        <v>9974</v>
      </c>
      <c r="N26" s="48" t="s">
        <v>1294</v>
      </c>
      <c r="O26" s="48">
        <v>21</v>
      </c>
    </row>
    <row r="27" spans="2:15" hidden="1" x14ac:dyDescent="0.2">
      <c r="B27" s="180" t="s">
        <v>1479</v>
      </c>
      <c r="C27" s="46" t="s">
        <v>1489</v>
      </c>
      <c r="D27" s="46" t="s">
        <v>10</v>
      </c>
      <c r="E27" s="45">
        <v>0.14701499999999998</v>
      </c>
      <c r="F27" s="45">
        <v>0.32669999999999999</v>
      </c>
      <c r="G27" s="46">
        <v>0</v>
      </c>
      <c r="H27" s="46">
        <v>16</v>
      </c>
      <c r="I27" s="44">
        <v>687790</v>
      </c>
      <c r="J27" s="44">
        <f t="shared" si="0"/>
        <v>0</v>
      </c>
      <c r="K27" s="44">
        <f t="shared" si="1"/>
        <v>11004640</v>
      </c>
      <c r="L27" s="43" t="s">
        <v>11</v>
      </c>
      <c r="M27" s="48">
        <v>9947</v>
      </c>
      <c r="N27" s="48" t="s">
        <v>1295</v>
      </c>
      <c r="O27" s="48">
        <v>21</v>
      </c>
    </row>
    <row r="28" spans="2:15" x14ac:dyDescent="0.2">
      <c r="B28" s="180" t="s">
        <v>1131</v>
      </c>
      <c r="C28" s="46" t="s">
        <v>1132</v>
      </c>
      <c r="D28" s="46" t="s">
        <v>18</v>
      </c>
      <c r="E28" s="45">
        <v>0.17121499999999998</v>
      </c>
      <c r="F28" s="45">
        <v>0.32669999999999999</v>
      </c>
      <c r="G28" s="46">
        <v>56</v>
      </c>
      <c r="H28" s="46">
        <v>61</v>
      </c>
      <c r="I28" s="44">
        <v>164081</v>
      </c>
      <c r="J28" s="44">
        <f t="shared" si="0"/>
        <v>9188536</v>
      </c>
      <c r="K28" s="44">
        <f t="shared" si="1"/>
        <v>10008941</v>
      </c>
      <c r="L28" s="43" t="s">
        <v>1265</v>
      </c>
      <c r="M28" s="48">
        <v>9824</v>
      </c>
      <c r="N28" s="48" t="s">
        <v>1294</v>
      </c>
      <c r="O28" s="48">
        <v>21</v>
      </c>
    </row>
    <row r="29" spans="2:15" x14ac:dyDescent="0.2">
      <c r="B29" s="180" t="s">
        <v>1310</v>
      </c>
      <c r="C29" s="46" t="s">
        <v>1309</v>
      </c>
      <c r="D29" s="46" t="s">
        <v>112</v>
      </c>
      <c r="E29" s="45">
        <v>0.17121499999999998</v>
      </c>
      <c r="F29" s="45">
        <v>0.35089999999999999</v>
      </c>
      <c r="G29" s="46">
        <v>16</v>
      </c>
      <c r="H29" s="46">
        <v>16</v>
      </c>
      <c r="I29" s="44">
        <v>604712</v>
      </c>
      <c r="J29" s="44">
        <f t="shared" si="0"/>
        <v>9675392</v>
      </c>
      <c r="K29" s="44">
        <f t="shared" si="1"/>
        <v>9675392</v>
      </c>
      <c r="L29" s="43" t="s">
        <v>67</v>
      </c>
      <c r="M29" s="48">
        <v>9885</v>
      </c>
      <c r="N29" s="48" t="s">
        <v>1294</v>
      </c>
      <c r="O29" s="48">
        <v>21</v>
      </c>
    </row>
    <row r="30" spans="2:15" x14ac:dyDescent="0.2">
      <c r="B30" s="180" t="s">
        <v>1336</v>
      </c>
      <c r="C30" s="46" t="s">
        <v>1337</v>
      </c>
      <c r="D30" s="46" t="s">
        <v>14</v>
      </c>
      <c r="E30" s="45">
        <v>0.17121499999999998</v>
      </c>
      <c r="F30" s="45">
        <v>0.35089999999999999</v>
      </c>
      <c r="G30" s="46">
        <v>22</v>
      </c>
      <c r="H30" s="46">
        <v>24</v>
      </c>
      <c r="I30" s="44">
        <v>389990.01</v>
      </c>
      <c r="J30" s="44">
        <f t="shared" si="0"/>
        <v>8579780.2200000007</v>
      </c>
      <c r="K30" s="44">
        <f t="shared" si="1"/>
        <v>9359760.2400000002</v>
      </c>
      <c r="L30" s="43" t="s">
        <v>35</v>
      </c>
      <c r="M30" s="48">
        <v>9843</v>
      </c>
      <c r="N30" s="48" t="s">
        <v>1294</v>
      </c>
      <c r="O30" s="48">
        <v>21</v>
      </c>
    </row>
    <row r="31" spans="2:15" x14ac:dyDescent="0.2">
      <c r="B31" s="180" t="s">
        <v>26</v>
      </c>
      <c r="C31" s="46" t="s">
        <v>27</v>
      </c>
      <c r="D31" s="46" t="s">
        <v>28</v>
      </c>
      <c r="E31" s="45">
        <v>0.17121499999999998</v>
      </c>
      <c r="F31" s="45">
        <v>0.35089999999999999</v>
      </c>
      <c r="G31" s="46">
        <v>64</v>
      </c>
      <c r="H31" s="46">
        <v>64</v>
      </c>
      <c r="I31" s="44">
        <v>114286</v>
      </c>
      <c r="J31" s="44">
        <f t="shared" si="0"/>
        <v>7314304</v>
      </c>
      <c r="K31" s="44">
        <f t="shared" si="1"/>
        <v>7314304</v>
      </c>
      <c r="L31" s="43" t="s">
        <v>29</v>
      </c>
      <c r="M31" s="48">
        <v>3476</v>
      </c>
      <c r="N31" s="48" t="s">
        <v>1294</v>
      </c>
      <c r="O31" s="48">
        <v>21</v>
      </c>
    </row>
    <row r="32" spans="2:15" x14ac:dyDescent="0.2">
      <c r="B32" s="180" t="s">
        <v>1671</v>
      </c>
      <c r="C32" s="46" t="s">
        <v>1672</v>
      </c>
      <c r="D32" s="46" t="s">
        <v>64</v>
      </c>
      <c r="E32" s="45">
        <v>0.17121499999999998</v>
      </c>
      <c r="F32" s="45">
        <v>0.32669999999999999</v>
      </c>
      <c r="G32" s="46">
        <v>10</v>
      </c>
      <c r="H32" s="46">
        <v>10</v>
      </c>
      <c r="I32" s="44">
        <v>729688</v>
      </c>
      <c r="J32" s="44">
        <f t="shared" si="0"/>
        <v>7296880</v>
      </c>
      <c r="K32" s="44">
        <f t="shared" si="1"/>
        <v>7296880</v>
      </c>
      <c r="L32" s="43" t="s">
        <v>25</v>
      </c>
      <c r="M32" s="48">
        <v>9971</v>
      </c>
      <c r="N32" s="48" t="s">
        <v>1294</v>
      </c>
      <c r="O32" s="48">
        <v>21</v>
      </c>
    </row>
    <row r="33" spans="2:15" x14ac:dyDescent="0.2">
      <c r="B33" s="180" t="s">
        <v>1532</v>
      </c>
      <c r="C33" s="46" t="s">
        <v>1636</v>
      </c>
      <c r="D33" s="46" t="s">
        <v>1584</v>
      </c>
      <c r="E33" s="45">
        <v>0.17121499999999998</v>
      </c>
      <c r="F33" s="45">
        <v>0.35089999999999999</v>
      </c>
      <c r="G33" s="46">
        <v>38</v>
      </c>
      <c r="H33" s="46">
        <v>78</v>
      </c>
      <c r="I33" s="44">
        <v>87602</v>
      </c>
      <c r="J33" s="44">
        <f t="shared" si="0"/>
        <v>3328876</v>
      </c>
      <c r="K33" s="44">
        <f t="shared" si="1"/>
        <v>6832956</v>
      </c>
      <c r="L33" s="43" t="s">
        <v>311</v>
      </c>
      <c r="M33" s="48">
        <v>9637</v>
      </c>
      <c r="N33" s="48" t="s">
        <v>1294</v>
      </c>
      <c r="O33" s="48">
        <v>21</v>
      </c>
    </row>
    <row r="34" spans="2:15" x14ac:dyDescent="0.2">
      <c r="B34" s="180" t="s">
        <v>1194</v>
      </c>
      <c r="C34" s="46" t="s">
        <v>1210</v>
      </c>
      <c r="D34" s="46" t="s">
        <v>556</v>
      </c>
      <c r="E34" s="45">
        <v>0.16516500000000001</v>
      </c>
      <c r="F34" s="45">
        <v>0.36899999999999999</v>
      </c>
      <c r="G34" s="46">
        <v>58</v>
      </c>
      <c r="H34" s="46">
        <v>58</v>
      </c>
      <c r="I34" s="44">
        <v>113668.23</v>
      </c>
      <c r="J34" s="44">
        <f t="shared" si="0"/>
        <v>6592757.3399999999</v>
      </c>
      <c r="K34" s="44">
        <f t="shared" si="1"/>
        <v>6592757.3399999999</v>
      </c>
      <c r="L34" s="43" t="s">
        <v>153</v>
      </c>
      <c r="M34" s="48">
        <v>9861</v>
      </c>
      <c r="N34" s="48" t="s">
        <v>1296</v>
      </c>
      <c r="O34" s="48">
        <v>21</v>
      </c>
    </row>
    <row r="35" spans="2:15" x14ac:dyDescent="0.2">
      <c r="B35" s="180" t="s">
        <v>1471</v>
      </c>
      <c r="C35" s="46" t="s">
        <v>1531</v>
      </c>
      <c r="D35" s="46" t="s">
        <v>38</v>
      </c>
      <c r="E35" s="45">
        <v>0.17121499999999998</v>
      </c>
      <c r="F35" s="45">
        <v>0.35089999999999999</v>
      </c>
      <c r="G35" s="46">
        <v>18</v>
      </c>
      <c r="H35" s="46">
        <v>21</v>
      </c>
      <c r="I35" s="44">
        <v>309449.01</v>
      </c>
      <c r="J35" s="44">
        <f t="shared" si="0"/>
        <v>5570082.1799999997</v>
      </c>
      <c r="K35" s="44">
        <f t="shared" si="1"/>
        <v>6498429.21</v>
      </c>
      <c r="L35" s="43" t="s">
        <v>67</v>
      </c>
      <c r="M35" s="48">
        <v>9945</v>
      </c>
      <c r="N35" s="48" t="s">
        <v>1294</v>
      </c>
      <c r="O35" s="48">
        <v>21</v>
      </c>
    </row>
    <row r="36" spans="2:15" x14ac:dyDescent="0.2">
      <c r="B36" s="180" t="s">
        <v>1317</v>
      </c>
      <c r="C36" s="46" t="s">
        <v>1474</v>
      </c>
      <c r="D36" s="46" t="s">
        <v>6</v>
      </c>
      <c r="E36" s="45">
        <v>0.14701499999999998</v>
      </c>
      <c r="F36" s="45">
        <v>0.32669999999999999</v>
      </c>
      <c r="G36" s="46">
        <v>3</v>
      </c>
      <c r="H36" s="46">
        <v>5</v>
      </c>
      <c r="I36" s="44">
        <v>1271710</v>
      </c>
      <c r="J36" s="44">
        <f t="shared" si="0"/>
        <v>3815130</v>
      </c>
      <c r="K36" s="44">
        <f t="shared" si="1"/>
        <v>6358550</v>
      </c>
      <c r="L36" s="43" t="s">
        <v>32</v>
      </c>
      <c r="M36" s="48">
        <v>9889</v>
      </c>
      <c r="N36" s="48" t="s">
        <v>1294</v>
      </c>
      <c r="O36" s="48">
        <v>21</v>
      </c>
    </row>
    <row r="37" spans="2:15" x14ac:dyDescent="0.2">
      <c r="B37" s="180" t="s">
        <v>1314</v>
      </c>
      <c r="C37" s="46" t="s">
        <v>1313</v>
      </c>
      <c r="D37" s="46" t="s">
        <v>112</v>
      </c>
      <c r="E37" s="45">
        <v>0.17121499999999998</v>
      </c>
      <c r="F37" s="45">
        <v>0.35089999999999999</v>
      </c>
      <c r="G37" s="46">
        <v>14</v>
      </c>
      <c r="H37" s="46">
        <v>14</v>
      </c>
      <c r="I37" s="44">
        <v>397580</v>
      </c>
      <c r="J37" s="44">
        <f t="shared" si="0"/>
        <v>5566120</v>
      </c>
      <c r="K37" s="44">
        <f t="shared" si="1"/>
        <v>5566120</v>
      </c>
      <c r="L37" s="43" t="s">
        <v>67</v>
      </c>
      <c r="M37" s="48">
        <v>9888</v>
      </c>
      <c r="N37" s="48" t="s">
        <v>1294</v>
      </c>
      <c r="O37" s="48">
        <v>21</v>
      </c>
    </row>
    <row r="38" spans="2:15" x14ac:dyDescent="0.2">
      <c r="B38" s="180" t="s">
        <v>1564</v>
      </c>
      <c r="C38" s="46" t="s">
        <v>1559</v>
      </c>
      <c r="D38" s="46" t="s">
        <v>64</v>
      </c>
      <c r="E38" s="45">
        <v>0.17121499999999998</v>
      </c>
      <c r="F38" s="45">
        <v>0.32669999999999999</v>
      </c>
      <c r="G38" s="46">
        <v>1</v>
      </c>
      <c r="H38" s="46">
        <v>12</v>
      </c>
      <c r="I38" s="44">
        <v>437813.01</v>
      </c>
      <c r="J38" s="44">
        <f t="shared" si="0"/>
        <v>437813.01</v>
      </c>
      <c r="K38" s="44">
        <f t="shared" si="1"/>
        <v>5253756.12</v>
      </c>
      <c r="L38" s="43" t="s">
        <v>25</v>
      </c>
      <c r="M38" s="48">
        <v>9969</v>
      </c>
      <c r="N38" s="48" t="s">
        <v>1294</v>
      </c>
      <c r="O38" s="48">
        <v>21</v>
      </c>
    </row>
    <row r="39" spans="2:15" x14ac:dyDescent="0.2">
      <c r="B39" s="180" t="s">
        <v>1666</v>
      </c>
      <c r="C39" s="46" t="s">
        <v>1667</v>
      </c>
      <c r="D39" s="46" t="s">
        <v>64</v>
      </c>
      <c r="E39" s="45">
        <v>0.17121499999999998</v>
      </c>
      <c r="F39" s="45">
        <v>0.32669999999999999</v>
      </c>
      <c r="G39" s="46">
        <v>7</v>
      </c>
      <c r="H39" s="46">
        <v>10</v>
      </c>
      <c r="I39" s="44">
        <v>466568.99</v>
      </c>
      <c r="J39" s="44">
        <f t="shared" si="0"/>
        <v>3265982.9299999997</v>
      </c>
      <c r="K39" s="44">
        <f t="shared" si="1"/>
        <v>4665689.9000000004</v>
      </c>
      <c r="L39" s="43" t="s">
        <v>67</v>
      </c>
      <c r="M39" s="48">
        <v>9988</v>
      </c>
      <c r="N39" s="48" t="s">
        <v>1294</v>
      </c>
      <c r="O39" s="48">
        <v>21</v>
      </c>
    </row>
    <row r="40" spans="2:15" x14ac:dyDescent="0.2">
      <c r="B40" s="180" t="s">
        <v>1167</v>
      </c>
      <c r="C40" s="46" t="s">
        <v>1168</v>
      </c>
      <c r="D40" s="46" t="s">
        <v>6</v>
      </c>
      <c r="E40" s="45">
        <v>0.14701499999999998</v>
      </c>
      <c r="F40" s="45">
        <v>0.32669999999999999</v>
      </c>
      <c r="G40" s="46">
        <v>7</v>
      </c>
      <c r="H40" s="46">
        <v>7</v>
      </c>
      <c r="I40" s="44">
        <v>505000</v>
      </c>
      <c r="J40" s="44">
        <f t="shared" si="0"/>
        <v>3535000</v>
      </c>
      <c r="K40" s="44">
        <f t="shared" si="1"/>
        <v>3535000</v>
      </c>
      <c r="L40" s="43" t="s">
        <v>7</v>
      </c>
      <c r="M40" s="48">
        <v>9837</v>
      </c>
      <c r="N40" s="48" t="s">
        <v>1294</v>
      </c>
      <c r="O40" s="48">
        <v>21</v>
      </c>
    </row>
    <row r="41" spans="2:15" x14ac:dyDescent="0.2">
      <c r="B41" s="180" t="s">
        <v>104</v>
      </c>
      <c r="C41" s="46" t="s">
        <v>105</v>
      </c>
      <c r="D41" s="46" t="s">
        <v>106</v>
      </c>
      <c r="E41" s="45">
        <v>0.19359999999999999</v>
      </c>
      <c r="F41" s="45">
        <v>0.37509999999999999</v>
      </c>
      <c r="G41" s="46">
        <v>75</v>
      </c>
      <c r="H41" s="46">
        <v>75</v>
      </c>
      <c r="I41" s="44">
        <v>43127.09</v>
      </c>
      <c r="J41" s="44">
        <f t="shared" si="0"/>
        <v>3234531.7499999995</v>
      </c>
      <c r="K41" s="44">
        <f t="shared" si="1"/>
        <v>3234531.7499999995</v>
      </c>
      <c r="L41" s="43" t="s">
        <v>107</v>
      </c>
      <c r="M41" s="48">
        <v>9703</v>
      </c>
      <c r="N41" s="48" t="s">
        <v>1294</v>
      </c>
      <c r="O41" s="48">
        <v>10.5</v>
      </c>
    </row>
    <row r="42" spans="2:15" x14ac:dyDescent="0.2">
      <c r="B42" s="180" t="s">
        <v>1083</v>
      </c>
      <c r="C42" s="46" t="s">
        <v>1543</v>
      </c>
      <c r="D42" s="46" t="s">
        <v>10</v>
      </c>
      <c r="E42" s="45">
        <v>0.14701499999999998</v>
      </c>
      <c r="F42" s="45">
        <v>0.32669999999999999</v>
      </c>
      <c r="G42" s="46">
        <v>12</v>
      </c>
      <c r="H42" s="46">
        <v>12</v>
      </c>
      <c r="I42" s="44">
        <v>249990.01</v>
      </c>
      <c r="J42" s="44">
        <f t="shared" si="0"/>
        <v>2999880.12</v>
      </c>
      <c r="K42" s="44">
        <f t="shared" si="1"/>
        <v>2999880.12</v>
      </c>
      <c r="L42" s="43" t="s">
        <v>1002</v>
      </c>
      <c r="M42" s="48">
        <v>9815</v>
      </c>
      <c r="N42" s="48" t="s">
        <v>1295</v>
      </c>
      <c r="O42" s="48">
        <v>21</v>
      </c>
    </row>
    <row r="43" spans="2:15" x14ac:dyDescent="0.2">
      <c r="B43" s="180" t="s">
        <v>1578</v>
      </c>
      <c r="C43" s="46" t="s">
        <v>1579</v>
      </c>
      <c r="D43" s="46" t="s">
        <v>38</v>
      </c>
      <c r="E43" s="45">
        <v>0.17121499999999998</v>
      </c>
      <c r="F43" s="45">
        <v>0.35089999999999999</v>
      </c>
      <c r="G43" s="46">
        <v>3</v>
      </c>
      <c r="H43" s="46">
        <v>9</v>
      </c>
      <c r="I43" s="44">
        <v>319506.01</v>
      </c>
      <c r="J43" s="44">
        <f t="shared" si="0"/>
        <v>958518.03</v>
      </c>
      <c r="K43" s="44">
        <f t="shared" si="1"/>
        <v>2875554.09</v>
      </c>
      <c r="L43" s="43" t="s">
        <v>67</v>
      </c>
      <c r="M43" s="48">
        <v>9973</v>
      </c>
      <c r="N43" s="48" t="s">
        <v>1294</v>
      </c>
      <c r="O43" s="48">
        <v>21</v>
      </c>
    </row>
    <row r="44" spans="2:15" x14ac:dyDescent="0.2">
      <c r="B44" s="180" t="s">
        <v>1641</v>
      </c>
      <c r="C44" s="46" t="s">
        <v>1642</v>
      </c>
      <c r="D44" s="46" t="s">
        <v>10</v>
      </c>
      <c r="E44" s="45">
        <v>0.14701499999999998</v>
      </c>
      <c r="F44" s="45">
        <v>0.32669999999999999</v>
      </c>
      <c r="G44" s="46">
        <v>13</v>
      </c>
      <c r="H44" s="46">
        <v>14</v>
      </c>
      <c r="I44" s="44">
        <v>164800</v>
      </c>
      <c r="J44" s="44">
        <f t="shared" si="0"/>
        <v>2142400</v>
      </c>
      <c r="K44" s="44">
        <f t="shared" si="1"/>
        <v>2307200</v>
      </c>
      <c r="L44" s="43" t="s">
        <v>35</v>
      </c>
      <c r="M44" s="48">
        <v>9983</v>
      </c>
      <c r="N44" s="48" t="s">
        <v>1295</v>
      </c>
      <c r="O44" s="48">
        <v>21</v>
      </c>
    </row>
    <row r="45" spans="2:15" x14ac:dyDescent="0.2">
      <c r="B45" s="180" t="s">
        <v>1202</v>
      </c>
      <c r="C45" s="46" t="s">
        <v>1201</v>
      </c>
      <c r="D45" s="46" t="s">
        <v>182</v>
      </c>
      <c r="E45" s="45">
        <v>0.15911500000000001</v>
      </c>
      <c r="F45" s="45">
        <v>0.36899999999999999</v>
      </c>
      <c r="G45" s="46">
        <v>69</v>
      </c>
      <c r="H45" s="46">
        <v>69</v>
      </c>
      <c r="I45" s="44">
        <v>30040.89</v>
      </c>
      <c r="J45" s="44">
        <f t="shared" si="0"/>
        <v>2072821.41</v>
      </c>
      <c r="K45" s="44">
        <f t="shared" si="1"/>
        <v>2072821.41</v>
      </c>
      <c r="L45" s="43" t="s">
        <v>153</v>
      </c>
      <c r="M45" s="48">
        <v>9854</v>
      </c>
      <c r="N45" s="48" t="s">
        <v>1296</v>
      </c>
      <c r="O45" s="48">
        <v>21</v>
      </c>
    </row>
    <row r="46" spans="2:15" x14ac:dyDescent="0.2">
      <c r="B46" s="180" t="s">
        <v>1509</v>
      </c>
      <c r="C46" s="46" t="s">
        <v>1510</v>
      </c>
      <c r="D46" s="46" t="s">
        <v>28</v>
      </c>
      <c r="E46" s="45">
        <v>0.17121499999999998</v>
      </c>
      <c r="F46" s="45">
        <v>0.35089999999999999</v>
      </c>
      <c r="G46" s="46">
        <v>71</v>
      </c>
      <c r="H46" s="46">
        <v>71</v>
      </c>
      <c r="I46" s="44">
        <v>28832</v>
      </c>
      <c r="J46" s="44">
        <f t="shared" si="0"/>
        <v>2047072</v>
      </c>
      <c r="K46" s="44">
        <f t="shared" si="1"/>
        <v>2047072</v>
      </c>
      <c r="L46" s="43" t="s">
        <v>439</v>
      </c>
      <c r="M46" s="48">
        <v>9960</v>
      </c>
      <c r="N46" s="48" t="s">
        <v>1294</v>
      </c>
      <c r="O46" s="48">
        <v>21</v>
      </c>
    </row>
    <row r="47" spans="2:15" x14ac:dyDescent="0.2">
      <c r="B47" s="180" t="s">
        <v>1630</v>
      </c>
      <c r="C47" s="46" t="s">
        <v>1631</v>
      </c>
      <c r="D47" s="46" t="s">
        <v>14</v>
      </c>
      <c r="E47" s="45">
        <v>0.17121499999999998</v>
      </c>
      <c r="F47" s="45">
        <v>0.35089999999999999</v>
      </c>
      <c r="G47" s="46">
        <v>4</v>
      </c>
      <c r="H47" s="46">
        <v>6</v>
      </c>
      <c r="I47" s="44">
        <v>339990</v>
      </c>
      <c r="J47" s="44">
        <f t="shared" si="0"/>
        <v>1359960</v>
      </c>
      <c r="K47" s="44">
        <f t="shared" si="1"/>
        <v>2039940</v>
      </c>
      <c r="L47" s="43" t="s">
        <v>67</v>
      </c>
      <c r="M47" s="48">
        <v>9979</v>
      </c>
      <c r="N47" s="48" t="s">
        <v>1294</v>
      </c>
      <c r="O47" s="48">
        <v>21</v>
      </c>
    </row>
    <row r="48" spans="2:15" x14ac:dyDescent="0.2">
      <c r="B48" s="180" t="s">
        <v>60</v>
      </c>
      <c r="C48" s="46" t="s">
        <v>61</v>
      </c>
      <c r="D48" s="46" t="s">
        <v>38</v>
      </c>
      <c r="E48" s="45">
        <v>0.17121499999999998</v>
      </c>
      <c r="F48" s="45">
        <v>0.35089999999999999</v>
      </c>
      <c r="G48" s="46">
        <v>1</v>
      </c>
      <c r="H48" s="46">
        <v>1</v>
      </c>
      <c r="I48" s="44">
        <v>1716709</v>
      </c>
      <c r="J48" s="44">
        <f t="shared" si="0"/>
        <v>1716709</v>
      </c>
      <c r="K48" s="44">
        <f t="shared" si="1"/>
        <v>1716709</v>
      </c>
      <c r="L48" s="43" t="s">
        <v>15</v>
      </c>
      <c r="M48" s="48">
        <v>9303</v>
      </c>
      <c r="N48" s="48" t="s">
        <v>1294</v>
      </c>
      <c r="O48" s="48">
        <v>21</v>
      </c>
    </row>
    <row r="49" spans="2:15" x14ac:dyDescent="0.2">
      <c r="B49" s="180" t="s">
        <v>1501</v>
      </c>
      <c r="C49" s="46" t="s">
        <v>1502</v>
      </c>
      <c r="D49" s="46" t="s">
        <v>351</v>
      </c>
      <c r="E49" s="45">
        <v>0.16940000000000002</v>
      </c>
      <c r="F49" s="45">
        <v>0.36899999999999999</v>
      </c>
      <c r="G49" s="46">
        <v>9</v>
      </c>
      <c r="H49" s="46">
        <v>9</v>
      </c>
      <c r="I49" s="44">
        <v>171090.84</v>
      </c>
      <c r="J49" s="44">
        <f t="shared" si="0"/>
        <v>1539817.56</v>
      </c>
      <c r="K49" s="44">
        <f t="shared" si="1"/>
        <v>1539817.56</v>
      </c>
      <c r="L49" s="43" t="s">
        <v>439</v>
      </c>
      <c r="M49" s="48">
        <v>9954</v>
      </c>
      <c r="N49" s="48" t="s">
        <v>1295</v>
      </c>
      <c r="O49" s="48">
        <v>21</v>
      </c>
    </row>
    <row r="50" spans="2:15" x14ac:dyDescent="0.2">
      <c r="B50" s="180" t="s">
        <v>1496</v>
      </c>
      <c r="C50" s="46" t="s">
        <v>1526</v>
      </c>
      <c r="D50" s="46" t="s">
        <v>229</v>
      </c>
      <c r="E50" s="45">
        <v>0.18754999999999999</v>
      </c>
      <c r="F50" s="45">
        <v>0.36899999999999999</v>
      </c>
      <c r="G50" s="46">
        <v>31</v>
      </c>
      <c r="H50" s="46">
        <v>31</v>
      </c>
      <c r="I50" s="44">
        <v>48400.34</v>
      </c>
      <c r="J50" s="44">
        <f t="shared" si="0"/>
        <v>1500410.5399999998</v>
      </c>
      <c r="K50" s="44">
        <f t="shared" si="1"/>
        <v>1500410.5399999998</v>
      </c>
      <c r="L50" s="43" t="s">
        <v>439</v>
      </c>
      <c r="M50" s="48">
        <v>9952</v>
      </c>
      <c r="N50" s="48" t="s">
        <v>1295</v>
      </c>
      <c r="O50" s="48">
        <v>21</v>
      </c>
    </row>
    <row r="51" spans="2:15" x14ac:dyDescent="0.2">
      <c r="B51" s="180" t="s">
        <v>1486</v>
      </c>
      <c r="C51" s="46" t="s">
        <v>1488</v>
      </c>
      <c r="D51" s="46" t="s">
        <v>10</v>
      </c>
      <c r="E51" s="45">
        <v>0.14701499999999998</v>
      </c>
      <c r="F51" s="45">
        <v>0.32669999999999999</v>
      </c>
      <c r="G51" s="46">
        <v>3</v>
      </c>
      <c r="H51" s="46">
        <v>3</v>
      </c>
      <c r="I51" s="44">
        <v>489400</v>
      </c>
      <c r="J51" s="44">
        <f t="shared" si="0"/>
        <v>1468200</v>
      </c>
      <c r="K51" s="44">
        <f t="shared" si="1"/>
        <v>1468200</v>
      </c>
      <c r="L51" s="43" t="s">
        <v>1352</v>
      </c>
      <c r="M51" s="48">
        <v>9949</v>
      </c>
      <c r="N51" s="48" t="s">
        <v>1295</v>
      </c>
      <c r="O51" s="48">
        <v>21</v>
      </c>
    </row>
    <row r="52" spans="2:15" x14ac:dyDescent="0.2">
      <c r="B52" s="180" t="s">
        <v>1204</v>
      </c>
      <c r="C52" s="46" t="s">
        <v>1203</v>
      </c>
      <c r="D52" s="46" t="s">
        <v>182</v>
      </c>
      <c r="E52" s="45">
        <v>0.15911500000000001</v>
      </c>
      <c r="F52" s="45">
        <v>0.36899999999999999</v>
      </c>
      <c r="G52" s="46">
        <v>52</v>
      </c>
      <c r="H52" s="46">
        <v>52</v>
      </c>
      <c r="I52" s="44">
        <v>26793.24</v>
      </c>
      <c r="J52" s="44">
        <f t="shared" si="0"/>
        <v>1393248.48</v>
      </c>
      <c r="K52" s="44">
        <f t="shared" si="1"/>
        <v>1393248.48</v>
      </c>
      <c r="L52" s="43" t="s">
        <v>153</v>
      </c>
      <c r="M52" s="48">
        <v>9855</v>
      </c>
      <c r="N52" s="48" t="s">
        <v>1296</v>
      </c>
      <c r="O52" s="48">
        <v>21</v>
      </c>
    </row>
    <row r="53" spans="2:15" hidden="1" x14ac:dyDescent="0.2">
      <c r="B53" s="180" t="s">
        <v>1347</v>
      </c>
      <c r="C53" s="46" t="s">
        <v>1348</v>
      </c>
      <c r="D53" s="46" t="s">
        <v>14</v>
      </c>
      <c r="E53" s="45">
        <v>0.17121499999999998</v>
      </c>
      <c r="F53" s="45">
        <v>0.35089999999999999</v>
      </c>
      <c r="G53" s="46">
        <v>0</v>
      </c>
      <c r="H53" s="46">
        <v>5</v>
      </c>
      <c r="I53" s="44">
        <v>243283</v>
      </c>
      <c r="J53" s="44">
        <f t="shared" si="0"/>
        <v>0</v>
      </c>
      <c r="K53" s="44">
        <f t="shared" si="1"/>
        <v>1216415</v>
      </c>
      <c r="L53" s="43" t="s">
        <v>1349</v>
      </c>
      <c r="M53" s="48">
        <v>9890</v>
      </c>
      <c r="N53" s="48" t="s">
        <v>1294</v>
      </c>
      <c r="O53" s="48">
        <v>21</v>
      </c>
    </row>
    <row r="54" spans="2:15" x14ac:dyDescent="0.2">
      <c r="B54" s="180" t="s">
        <v>1206</v>
      </c>
      <c r="C54" s="46" t="s">
        <v>1205</v>
      </c>
      <c r="D54" s="46" t="s">
        <v>411</v>
      </c>
      <c r="E54" s="45">
        <v>0.18754999999999999</v>
      </c>
      <c r="F54" s="45">
        <v>0.36899999999999999</v>
      </c>
      <c r="G54" s="46">
        <v>62</v>
      </c>
      <c r="H54" s="46">
        <v>62</v>
      </c>
      <c r="I54" s="44">
        <v>16157.13</v>
      </c>
      <c r="J54" s="44">
        <f t="shared" si="0"/>
        <v>1001742.0599999999</v>
      </c>
      <c r="K54" s="44">
        <f t="shared" si="1"/>
        <v>1001742.0599999999</v>
      </c>
      <c r="L54" s="43" t="s">
        <v>153</v>
      </c>
      <c r="M54" s="48">
        <v>9860</v>
      </c>
      <c r="N54" s="48" t="s">
        <v>1295</v>
      </c>
      <c r="O54" s="48">
        <v>21</v>
      </c>
    </row>
    <row r="55" spans="2:15" x14ac:dyDescent="0.2">
      <c r="B55" s="180" t="s">
        <v>1361</v>
      </c>
      <c r="C55" s="46" t="s">
        <v>1362</v>
      </c>
      <c r="D55" s="46" t="s">
        <v>28</v>
      </c>
      <c r="E55" s="45">
        <v>0.17121499999999998</v>
      </c>
      <c r="F55" s="45">
        <v>0.35089999999999999</v>
      </c>
      <c r="G55" s="46">
        <v>25</v>
      </c>
      <c r="H55" s="46">
        <v>25</v>
      </c>
      <c r="I55" s="44">
        <v>34868.089999999997</v>
      </c>
      <c r="J55" s="44">
        <f t="shared" si="0"/>
        <v>871702.24999999988</v>
      </c>
      <c r="K55" s="44">
        <f t="shared" si="1"/>
        <v>871702.24999999988</v>
      </c>
      <c r="L55" s="43" t="s">
        <v>439</v>
      </c>
      <c r="M55" s="48">
        <v>9938</v>
      </c>
      <c r="N55" s="48" t="s">
        <v>1294</v>
      </c>
      <c r="O55" s="48">
        <v>21</v>
      </c>
    </row>
    <row r="56" spans="2:15" x14ac:dyDescent="0.2">
      <c r="B56" s="180" t="s">
        <v>154</v>
      </c>
      <c r="C56" s="46" t="s">
        <v>155</v>
      </c>
      <c r="D56" s="46" t="s">
        <v>28</v>
      </c>
      <c r="E56" s="45">
        <v>0.17121499999999998</v>
      </c>
      <c r="F56" s="45">
        <v>0.35089999999999999</v>
      </c>
      <c r="G56" s="46">
        <v>2</v>
      </c>
      <c r="H56" s="46">
        <v>2</v>
      </c>
      <c r="I56" s="44">
        <v>435005.99</v>
      </c>
      <c r="J56" s="44">
        <f t="shared" si="0"/>
        <v>870011.98</v>
      </c>
      <c r="K56" s="44">
        <f t="shared" si="1"/>
        <v>870011.98</v>
      </c>
      <c r="L56" s="43" t="s">
        <v>156</v>
      </c>
      <c r="M56" s="48">
        <v>2956</v>
      </c>
      <c r="N56" s="48" t="s">
        <v>1297</v>
      </c>
      <c r="O56" s="48">
        <v>21</v>
      </c>
    </row>
    <row r="57" spans="2:15" x14ac:dyDescent="0.2">
      <c r="B57" s="180" t="s">
        <v>1372</v>
      </c>
      <c r="C57" s="46" t="s">
        <v>1373</v>
      </c>
      <c r="D57" s="46" t="s">
        <v>28</v>
      </c>
      <c r="E57" s="45">
        <v>0.17121499999999998</v>
      </c>
      <c r="F57" s="45">
        <v>0.35089999999999999</v>
      </c>
      <c r="G57" s="46">
        <v>18</v>
      </c>
      <c r="H57" s="46">
        <v>18</v>
      </c>
      <c r="I57" s="44">
        <v>45764.5</v>
      </c>
      <c r="J57" s="44">
        <f t="shared" si="0"/>
        <v>823761</v>
      </c>
      <c r="K57" s="44">
        <f t="shared" si="1"/>
        <v>823761</v>
      </c>
      <c r="L57" s="43" t="s">
        <v>439</v>
      </c>
      <c r="M57" s="48">
        <v>9932</v>
      </c>
      <c r="N57" s="48" t="s">
        <v>1294</v>
      </c>
      <c r="O57" s="48">
        <v>21</v>
      </c>
    </row>
    <row r="58" spans="2:15" x14ac:dyDescent="0.2">
      <c r="B58" s="180" t="s">
        <v>1494</v>
      </c>
      <c r="C58" s="46" t="s">
        <v>1527</v>
      </c>
      <c r="D58" s="46" t="s">
        <v>229</v>
      </c>
      <c r="E58" s="45">
        <v>0.18754999999999999</v>
      </c>
      <c r="F58" s="45">
        <v>0.36899999999999999</v>
      </c>
      <c r="G58" s="46">
        <v>25</v>
      </c>
      <c r="H58" s="46">
        <v>25</v>
      </c>
      <c r="I58" s="44">
        <v>32428.07</v>
      </c>
      <c r="J58" s="44">
        <f t="shared" si="0"/>
        <v>810701.75</v>
      </c>
      <c r="K58" s="44">
        <f t="shared" si="1"/>
        <v>810701.75</v>
      </c>
      <c r="L58" s="43" t="s">
        <v>439</v>
      </c>
      <c r="M58" s="48">
        <v>9950</v>
      </c>
      <c r="N58" s="48" t="s">
        <v>1295</v>
      </c>
      <c r="O58" s="48">
        <v>21</v>
      </c>
    </row>
    <row r="59" spans="2:15" x14ac:dyDescent="0.2">
      <c r="B59" s="180" t="s">
        <v>1499</v>
      </c>
      <c r="C59" s="46" t="s">
        <v>1500</v>
      </c>
      <c r="D59" s="46" t="s">
        <v>351</v>
      </c>
      <c r="E59" s="45">
        <v>0.16940000000000002</v>
      </c>
      <c r="F59" s="45">
        <v>0.36899999999999999</v>
      </c>
      <c r="G59" s="46">
        <v>9</v>
      </c>
      <c r="H59" s="46">
        <v>9</v>
      </c>
      <c r="I59" s="44">
        <v>90047.6</v>
      </c>
      <c r="J59" s="44">
        <f t="shared" si="0"/>
        <v>810428.4</v>
      </c>
      <c r="K59" s="44">
        <f t="shared" si="1"/>
        <v>810428.4</v>
      </c>
      <c r="L59" s="43" t="s">
        <v>439</v>
      </c>
      <c r="M59" s="48">
        <v>9953</v>
      </c>
      <c r="N59" s="48" t="s">
        <v>1295</v>
      </c>
      <c r="O59" s="48">
        <v>21</v>
      </c>
    </row>
    <row r="60" spans="2:15" x14ac:dyDescent="0.2">
      <c r="B60" s="180" t="s">
        <v>150</v>
      </c>
      <c r="C60" s="46" t="s">
        <v>151</v>
      </c>
      <c r="D60" s="46" t="s">
        <v>152</v>
      </c>
      <c r="E60" s="45">
        <v>0.18754999999999999</v>
      </c>
      <c r="F60" s="45">
        <v>0.36899999999999999</v>
      </c>
      <c r="G60" s="46">
        <v>324</v>
      </c>
      <c r="H60" s="46">
        <v>324</v>
      </c>
      <c r="I60" s="44">
        <v>2339.35</v>
      </c>
      <c r="J60" s="44">
        <f t="shared" si="0"/>
        <v>757949.4</v>
      </c>
      <c r="K60" s="44">
        <f t="shared" si="1"/>
        <v>757949.4</v>
      </c>
      <c r="L60" s="43" t="s">
        <v>153</v>
      </c>
      <c r="M60" s="48">
        <v>9587</v>
      </c>
      <c r="N60" s="48" t="s">
        <v>1297</v>
      </c>
      <c r="O60" s="48">
        <v>21</v>
      </c>
    </row>
    <row r="61" spans="2:15" x14ac:dyDescent="0.2">
      <c r="B61" s="180" t="s">
        <v>1200</v>
      </c>
      <c r="C61" s="46" t="s">
        <v>1197</v>
      </c>
      <c r="D61" s="46" t="s">
        <v>182</v>
      </c>
      <c r="E61" s="45">
        <v>0.15911500000000001</v>
      </c>
      <c r="F61" s="45">
        <v>0.36899999999999999</v>
      </c>
      <c r="G61" s="46">
        <v>60</v>
      </c>
      <c r="H61" s="46">
        <v>60</v>
      </c>
      <c r="I61" s="44">
        <v>12584.7</v>
      </c>
      <c r="J61" s="44">
        <f t="shared" si="0"/>
        <v>755082</v>
      </c>
      <c r="K61" s="44">
        <f t="shared" si="1"/>
        <v>755082</v>
      </c>
      <c r="L61" s="43" t="s">
        <v>153</v>
      </c>
      <c r="M61" s="48">
        <v>9859</v>
      </c>
      <c r="N61" s="48" t="s">
        <v>1296</v>
      </c>
      <c r="O61" s="48">
        <v>21</v>
      </c>
    </row>
    <row r="62" spans="2:15" x14ac:dyDescent="0.2">
      <c r="B62" s="180" t="s">
        <v>166</v>
      </c>
      <c r="C62" s="46" t="s">
        <v>167</v>
      </c>
      <c r="D62" s="46" t="s">
        <v>152</v>
      </c>
      <c r="E62" s="45">
        <v>0.18754999999999999</v>
      </c>
      <c r="F62" s="45">
        <v>0.36899999999999999</v>
      </c>
      <c r="G62" s="46">
        <v>1745</v>
      </c>
      <c r="H62" s="46">
        <v>1745</v>
      </c>
      <c r="I62" s="44">
        <v>390</v>
      </c>
      <c r="J62" s="44">
        <f t="shared" si="0"/>
        <v>680550</v>
      </c>
      <c r="K62" s="44">
        <f t="shared" si="1"/>
        <v>680550</v>
      </c>
      <c r="L62" s="43" t="s">
        <v>168</v>
      </c>
      <c r="M62" s="48">
        <v>3775</v>
      </c>
      <c r="N62" s="48" t="s">
        <v>1297</v>
      </c>
      <c r="O62" s="48">
        <v>21</v>
      </c>
    </row>
    <row r="63" spans="2:15" hidden="1" x14ac:dyDescent="0.2">
      <c r="B63" s="180" t="s">
        <v>1153</v>
      </c>
      <c r="C63" s="46" t="s">
        <v>1574</v>
      </c>
      <c r="D63" s="46" t="s">
        <v>6</v>
      </c>
      <c r="E63" s="45">
        <v>0.14701499999999998</v>
      </c>
      <c r="F63" s="45">
        <v>0.32669999999999999</v>
      </c>
      <c r="G63" s="46">
        <v>0</v>
      </c>
      <c r="H63" s="46">
        <v>1</v>
      </c>
      <c r="I63" s="44">
        <v>662262</v>
      </c>
      <c r="J63" s="44">
        <f t="shared" si="0"/>
        <v>0</v>
      </c>
      <c r="K63" s="44">
        <f t="shared" si="1"/>
        <v>662262</v>
      </c>
      <c r="L63" s="43" t="s">
        <v>149</v>
      </c>
      <c r="M63" s="48">
        <v>8772</v>
      </c>
      <c r="N63" s="48" t="s">
        <v>1294</v>
      </c>
      <c r="O63" s="48">
        <v>21</v>
      </c>
    </row>
    <row r="64" spans="2:15" x14ac:dyDescent="0.2">
      <c r="B64" s="180" t="s">
        <v>1329</v>
      </c>
      <c r="C64" s="46" t="s">
        <v>1330</v>
      </c>
      <c r="D64" s="46" t="s">
        <v>1333</v>
      </c>
      <c r="E64" s="45">
        <v>0.18754999999999999</v>
      </c>
      <c r="F64" s="45">
        <v>0.36899999999999999</v>
      </c>
      <c r="G64" s="46">
        <v>19</v>
      </c>
      <c r="H64" s="46">
        <v>19</v>
      </c>
      <c r="I64" s="44">
        <v>28000</v>
      </c>
      <c r="J64" s="44">
        <f t="shared" si="0"/>
        <v>532000</v>
      </c>
      <c r="K64" s="44">
        <f t="shared" si="1"/>
        <v>532000</v>
      </c>
      <c r="L64" s="43" t="s">
        <v>146</v>
      </c>
      <c r="M64" s="48">
        <v>9892</v>
      </c>
      <c r="N64" s="48" t="s">
        <v>1298</v>
      </c>
      <c r="O64" s="48">
        <v>10.5</v>
      </c>
    </row>
    <row r="65" spans="2:15" x14ac:dyDescent="0.2">
      <c r="B65" s="180" t="s">
        <v>1357</v>
      </c>
      <c r="C65" s="46" t="s">
        <v>1551</v>
      </c>
      <c r="D65" s="46" t="s">
        <v>28</v>
      </c>
      <c r="E65" s="45">
        <v>0.17121499999999998</v>
      </c>
      <c r="F65" s="45">
        <v>0.35089999999999999</v>
      </c>
      <c r="G65" s="46">
        <v>30</v>
      </c>
      <c r="H65" s="46">
        <v>30</v>
      </c>
      <c r="I65" s="44">
        <v>17433.830000000002</v>
      </c>
      <c r="J65" s="44">
        <f t="shared" si="0"/>
        <v>523014.9</v>
      </c>
      <c r="K65" s="44">
        <f t="shared" si="1"/>
        <v>523014.9</v>
      </c>
      <c r="L65" s="43" t="s">
        <v>439</v>
      </c>
      <c r="M65" s="48">
        <v>9937</v>
      </c>
      <c r="N65" s="48" t="s">
        <v>1294</v>
      </c>
      <c r="O65" s="48">
        <v>21</v>
      </c>
    </row>
    <row r="66" spans="2:15" x14ac:dyDescent="0.2">
      <c r="B66" s="180" t="s">
        <v>1086</v>
      </c>
      <c r="C66" s="46" t="s">
        <v>1331</v>
      </c>
      <c r="D66" s="46" t="s">
        <v>6</v>
      </c>
      <c r="E66" s="45">
        <v>0.14701499999999998</v>
      </c>
      <c r="F66" s="45">
        <v>0.32669999999999999</v>
      </c>
      <c r="G66" s="46">
        <v>1</v>
      </c>
      <c r="H66" s="46">
        <v>1</v>
      </c>
      <c r="I66" s="44">
        <v>520000</v>
      </c>
      <c r="J66" s="44">
        <f t="shared" si="0"/>
        <v>520000</v>
      </c>
      <c r="K66" s="44">
        <f t="shared" si="1"/>
        <v>520000</v>
      </c>
      <c r="L66" s="43" t="s">
        <v>35</v>
      </c>
      <c r="M66" s="48">
        <v>9172</v>
      </c>
      <c r="N66" s="48" t="s">
        <v>1294</v>
      </c>
      <c r="O66" s="48">
        <v>21</v>
      </c>
    </row>
    <row r="67" spans="2:15" x14ac:dyDescent="0.2">
      <c r="B67" s="180" t="s">
        <v>1211</v>
      </c>
      <c r="C67" s="46" t="s">
        <v>1207</v>
      </c>
      <c r="D67" s="46" t="s">
        <v>411</v>
      </c>
      <c r="E67" s="45">
        <v>0.18754999999999999</v>
      </c>
      <c r="F67" s="45">
        <v>0.36899999999999999</v>
      </c>
      <c r="G67" s="46">
        <v>37</v>
      </c>
      <c r="H67" s="46">
        <v>37</v>
      </c>
      <c r="I67" s="44">
        <v>13802.57</v>
      </c>
      <c r="J67" s="44">
        <f t="shared" ref="J67:J130" si="2">I67*G67</f>
        <v>510695.08999999997</v>
      </c>
      <c r="K67" s="44">
        <f t="shared" ref="K67:K130" si="3">I67*H67</f>
        <v>510695.08999999997</v>
      </c>
      <c r="L67" s="43" t="s">
        <v>153</v>
      </c>
      <c r="M67" s="48">
        <v>9857</v>
      </c>
      <c r="N67" s="48" t="s">
        <v>1295</v>
      </c>
      <c r="O67" s="48">
        <v>21</v>
      </c>
    </row>
    <row r="68" spans="2:15" x14ac:dyDescent="0.2">
      <c r="B68" s="180" t="s">
        <v>1379</v>
      </c>
      <c r="C68" s="46" t="s">
        <v>1380</v>
      </c>
      <c r="D68" s="46" t="s">
        <v>28</v>
      </c>
      <c r="E68" s="45">
        <v>0.17121499999999998</v>
      </c>
      <c r="F68" s="45">
        <v>0.35089999999999999</v>
      </c>
      <c r="G68" s="46">
        <v>18</v>
      </c>
      <c r="H68" s="46">
        <v>18</v>
      </c>
      <c r="I68" s="44">
        <v>28330.240000000002</v>
      </c>
      <c r="J68" s="44">
        <f t="shared" si="2"/>
        <v>509944.32000000001</v>
      </c>
      <c r="K68" s="44">
        <f t="shared" si="3"/>
        <v>509944.32000000001</v>
      </c>
      <c r="L68" s="43" t="s">
        <v>439</v>
      </c>
      <c r="M68" s="48">
        <v>9924</v>
      </c>
      <c r="N68" s="48" t="s">
        <v>1294</v>
      </c>
      <c r="O68" s="48">
        <v>21</v>
      </c>
    </row>
    <row r="69" spans="2:15" x14ac:dyDescent="0.2">
      <c r="B69" s="180" t="s">
        <v>188</v>
      </c>
      <c r="C69" s="46" t="s">
        <v>189</v>
      </c>
      <c r="D69" s="46" t="s">
        <v>45</v>
      </c>
      <c r="E69" s="45">
        <v>0.17121499999999998</v>
      </c>
      <c r="F69" s="45">
        <v>0.35089999999999999</v>
      </c>
      <c r="G69" s="46">
        <v>1</v>
      </c>
      <c r="H69" s="46">
        <v>1</v>
      </c>
      <c r="I69" s="44">
        <v>502645</v>
      </c>
      <c r="J69" s="44">
        <f t="shared" si="2"/>
        <v>502645</v>
      </c>
      <c r="K69" s="44">
        <f t="shared" si="3"/>
        <v>502645</v>
      </c>
      <c r="L69" s="43" t="s">
        <v>190</v>
      </c>
      <c r="M69" s="48">
        <v>9302</v>
      </c>
      <c r="N69" s="48" t="s">
        <v>1294</v>
      </c>
      <c r="O69" s="48">
        <v>21</v>
      </c>
    </row>
    <row r="70" spans="2:15" x14ac:dyDescent="0.2">
      <c r="B70" s="180" t="s">
        <v>184</v>
      </c>
      <c r="C70" s="46" t="s">
        <v>185</v>
      </c>
      <c r="D70" s="46" t="s">
        <v>152</v>
      </c>
      <c r="E70" s="45">
        <v>0.18754999999999999</v>
      </c>
      <c r="F70" s="45">
        <v>0.36899999999999999</v>
      </c>
      <c r="G70" s="46">
        <v>151</v>
      </c>
      <c r="H70" s="46">
        <v>152</v>
      </c>
      <c r="I70" s="44">
        <v>2954.55</v>
      </c>
      <c r="J70" s="44">
        <f t="shared" si="2"/>
        <v>446137.05000000005</v>
      </c>
      <c r="K70" s="44">
        <f t="shared" si="3"/>
        <v>449091.60000000003</v>
      </c>
      <c r="L70" s="43" t="s">
        <v>168</v>
      </c>
      <c r="M70" s="48">
        <v>3659</v>
      </c>
      <c r="N70" s="48" t="s">
        <v>1297</v>
      </c>
      <c r="O70" s="48">
        <v>21</v>
      </c>
    </row>
    <row r="71" spans="2:15" x14ac:dyDescent="0.2">
      <c r="B71" s="180" t="s">
        <v>1212</v>
      </c>
      <c r="C71" s="46" t="s">
        <v>1208</v>
      </c>
      <c r="D71" s="46" t="s">
        <v>411</v>
      </c>
      <c r="E71" s="45">
        <v>0.18754999999999999</v>
      </c>
      <c r="F71" s="45">
        <v>0.36899999999999999</v>
      </c>
      <c r="G71" s="46">
        <v>32</v>
      </c>
      <c r="H71" s="46">
        <v>32</v>
      </c>
      <c r="I71" s="44">
        <v>13802.57</v>
      </c>
      <c r="J71" s="44">
        <f t="shared" si="2"/>
        <v>441682.24</v>
      </c>
      <c r="K71" s="44">
        <f t="shared" si="3"/>
        <v>441682.24</v>
      </c>
      <c r="L71" s="43" t="s">
        <v>153</v>
      </c>
      <c r="M71" s="48">
        <v>9858</v>
      </c>
      <c r="N71" s="48" t="s">
        <v>1295</v>
      </c>
      <c r="O71" s="48">
        <v>21</v>
      </c>
    </row>
    <row r="72" spans="2:15" x14ac:dyDescent="0.2">
      <c r="B72" s="180" t="s">
        <v>1003</v>
      </c>
      <c r="C72" s="46" t="s">
        <v>1541</v>
      </c>
      <c r="D72" s="46" t="s">
        <v>10</v>
      </c>
      <c r="E72" s="45">
        <v>0.14701499999999998</v>
      </c>
      <c r="F72" s="45">
        <v>0.32669999999999999</v>
      </c>
      <c r="G72" s="46">
        <v>1</v>
      </c>
      <c r="H72" s="46">
        <v>1</v>
      </c>
      <c r="I72" s="44">
        <v>429317</v>
      </c>
      <c r="J72" s="44">
        <f t="shared" si="2"/>
        <v>429317</v>
      </c>
      <c r="K72" s="44">
        <f t="shared" si="3"/>
        <v>429317</v>
      </c>
      <c r="L72" s="43" t="s">
        <v>11</v>
      </c>
      <c r="M72" s="48">
        <v>7375</v>
      </c>
      <c r="N72" s="48" t="s">
        <v>1295</v>
      </c>
      <c r="O72" s="48">
        <v>21</v>
      </c>
    </row>
    <row r="73" spans="2:15" x14ac:dyDescent="0.2">
      <c r="B73" s="180" t="s">
        <v>1412</v>
      </c>
      <c r="C73" s="46" t="s">
        <v>1413</v>
      </c>
      <c r="D73" s="46" t="s">
        <v>411</v>
      </c>
      <c r="E73" s="45">
        <v>0.18754999999999999</v>
      </c>
      <c r="F73" s="45">
        <v>0.35089999999999999</v>
      </c>
      <c r="G73" s="46">
        <v>4</v>
      </c>
      <c r="H73" s="46">
        <v>4</v>
      </c>
      <c r="I73" s="44">
        <v>97661.68</v>
      </c>
      <c r="J73" s="44">
        <f t="shared" si="2"/>
        <v>390646.72</v>
      </c>
      <c r="K73" s="44">
        <f t="shared" si="3"/>
        <v>390646.72</v>
      </c>
      <c r="L73" s="43" t="s">
        <v>439</v>
      </c>
      <c r="M73" s="48">
        <v>9906</v>
      </c>
      <c r="N73" s="48" t="s">
        <v>1295</v>
      </c>
      <c r="O73" s="48">
        <v>21</v>
      </c>
    </row>
    <row r="74" spans="2:15" x14ac:dyDescent="0.2">
      <c r="B74" s="180" t="s">
        <v>162</v>
      </c>
      <c r="C74" s="46" t="s">
        <v>163</v>
      </c>
      <c r="D74" s="46" t="s">
        <v>38</v>
      </c>
      <c r="E74" s="45">
        <v>0.17121499999999998</v>
      </c>
      <c r="F74" s="45">
        <v>0.35089999999999999</v>
      </c>
      <c r="G74" s="46">
        <v>1</v>
      </c>
      <c r="H74" s="46">
        <v>1</v>
      </c>
      <c r="I74" s="44">
        <v>388396.23</v>
      </c>
      <c r="J74" s="44">
        <f t="shared" si="2"/>
        <v>388396.23</v>
      </c>
      <c r="K74" s="44">
        <f t="shared" si="3"/>
        <v>388396.23</v>
      </c>
      <c r="L74" s="43" t="s">
        <v>15</v>
      </c>
      <c r="M74" s="48">
        <v>9093</v>
      </c>
      <c r="N74" s="48" t="s">
        <v>1294</v>
      </c>
      <c r="O74" s="48">
        <v>21</v>
      </c>
    </row>
    <row r="75" spans="2:15" x14ac:dyDescent="0.2">
      <c r="B75" s="180" t="s">
        <v>1490</v>
      </c>
      <c r="C75" s="46" t="s">
        <v>1491</v>
      </c>
      <c r="D75" s="46" t="s">
        <v>411</v>
      </c>
      <c r="E75" s="45">
        <v>0.17121499999999998</v>
      </c>
      <c r="F75" s="45">
        <v>0.35089999999999999</v>
      </c>
      <c r="G75" s="46">
        <v>7</v>
      </c>
      <c r="H75" s="46">
        <v>7</v>
      </c>
      <c r="I75" s="44">
        <v>54045.78</v>
      </c>
      <c r="J75" s="44">
        <f t="shared" si="2"/>
        <v>378320.45999999996</v>
      </c>
      <c r="K75" s="44">
        <f t="shared" si="3"/>
        <v>378320.45999999996</v>
      </c>
      <c r="L75" s="43" t="s">
        <v>439</v>
      </c>
      <c r="M75" s="48">
        <v>9904</v>
      </c>
      <c r="N75" s="48" t="s">
        <v>1295</v>
      </c>
      <c r="O75" s="48">
        <v>21</v>
      </c>
    </row>
    <row r="76" spans="2:15" x14ac:dyDescent="0.2">
      <c r="B76" s="180" t="s">
        <v>1407</v>
      </c>
      <c r="C76" s="46" t="s">
        <v>1408</v>
      </c>
      <c r="D76" s="46" t="s">
        <v>229</v>
      </c>
      <c r="E76" s="45">
        <v>0.18754999999999999</v>
      </c>
      <c r="F76" s="45">
        <v>0.35089999999999999</v>
      </c>
      <c r="G76" s="46">
        <v>23</v>
      </c>
      <c r="H76" s="46">
        <v>23</v>
      </c>
      <c r="I76" s="44">
        <v>15001.24</v>
      </c>
      <c r="J76" s="44">
        <f t="shared" si="2"/>
        <v>345028.52</v>
      </c>
      <c r="K76" s="44">
        <f t="shared" si="3"/>
        <v>345028.52</v>
      </c>
      <c r="L76" s="43" t="s">
        <v>439</v>
      </c>
      <c r="M76" s="48">
        <v>9899</v>
      </c>
      <c r="N76" s="48" t="s">
        <v>1295</v>
      </c>
      <c r="O76" s="48">
        <v>21</v>
      </c>
    </row>
    <row r="77" spans="2:15" x14ac:dyDescent="0.2">
      <c r="B77" s="180" t="s">
        <v>1418</v>
      </c>
      <c r="C77" s="46" t="s">
        <v>1419</v>
      </c>
      <c r="D77" s="46" t="s">
        <v>28</v>
      </c>
      <c r="E77" s="45">
        <v>0.17121499999999998</v>
      </c>
      <c r="F77" s="45">
        <v>0.35089999999999999</v>
      </c>
      <c r="G77" s="46">
        <v>14</v>
      </c>
      <c r="H77" s="46">
        <v>14</v>
      </c>
      <c r="I77" s="44">
        <v>23971.67</v>
      </c>
      <c r="J77" s="44">
        <f t="shared" si="2"/>
        <v>335603.38</v>
      </c>
      <c r="K77" s="44">
        <f t="shared" si="3"/>
        <v>335603.38</v>
      </c>
      <c r="L77" s="43" t="s">
        <v>439</v>
      </c>
      <c r="M77" s="48">
        <v>9929</v>
      </c>
      <c r="N77" s="48" t="s">
        <v>1294</v>
      </c>
      <c r="O77" s="48">
        <v>21</v>
      </c>
    </row>
    <row r="78" spans="2:15" x14ac:dyDescent="0.2">
      <c r="B78" s="180" t="s">
        <v>1368</v>
      </c>
      <c r="C78" s="46" t="s">
        <v>1369</v>
      </c>
      <c r="D78" s="46" t="s">
        <v>28</v>
      </c>
      <c r="E78" s="45">
        <v>0.17121499999999998</v>
      </c>
      <c r="F78" s="45">
        <v>0.35089999999999999</v>
      </c>
      <c r="G78" s="46">
        <v>6</v>
      </c>
      <c r="H78" s="46">
        <v>6</v>
      </c>
      <c r="I78" s="44">
        <v>47943.78</v>
      </c>
      <c r="J78" s="44">
        <f t="shared" si="2"/>
        <v>287662.68</v>
      </c>
      <c r="K78" s="44">
        <f t="shared" si="3"/>
        <v>287662.68</v>
      </c>
      <c r="L78" s="43" t="s">
        <v>439</v>
      </c>
      <c r="M78" s="48">
        <v>9925</v>
      </c>
      <c r="N78" s="48" t="s">
        <v>1294</v>
      </c>
      <c r="O78" s="48">
        <v>21</v>
      </c>
    </row>
    <row r="79" spans="2:15" x14ac:dyDescent="0.2">
      <c r="B79" s="180" t="s">
        <v>1409</v>
      </c>
      <c r="C79" s="46" t="s">
        <v>1410</v>
      </c>
      <c r="D79" s="46" t="s">
        <v>28</v>
      </c>
      <c r="E79" s="45">
        <v>0.17121499999999998</v>
      </c>
      <c r="F79" s="45">
        <v>0.35089999999999999</v>
      </c>
      <c r="G79" s="46">
        <v>18</v>
      </c>
      <c r="H79" s="46">
        <v>18</v>
      </c>
      <c r="I79" s="44">
        <v>14382.83</v>
      </c>
      <c r="J79" s="44">
        <f t="shared" si="2"/>
        <v>258890.94</v>
      </c>
      <c r="K79" s="44">
        <f t="shared" si="3"/>
        <v>258890.94</v>
      </c>
      <c r="L79" s="43" t="s">
        <v>439</v>
      </c>
      <c r="M79" s="48">
        <v>9923</v>
      </c>
      <c r="N79" s="48" t="s">
        <v>1294</v>
      </c>
      <c r="O79" s="48">
        <v>21</v>
      </c>
    </row>
    <row r="80" spans="2:15" x14ac:dyDescent="0.2">
      <c r="B80" s="180" t="s">
        <v>894</v>
      </c>
      <c r="C80" s="46" t="s">
        <v>947</v>
      </c>
      <c r="D80" s="46" t="s">
        <v>482</v>
      </c>
      <c r="E80" s="45">
        <v>0.19964999999999999</v>
      </c>
      <c r="F80" s="45">
        <v>0.36899999999999999</v>
      </c>
      <c r="G80" s="46">
        <v>256</v>
      </c>
      <c r="H80" s="46">
        <v>256</v>
      </c>
      <c r="I80" s="44">
        <v>1000</v>
      </c>
      <c r="J80" s="44">
        <f t="shared" si="2"/>
        <v>256000</v>
      </c>
      <c r="K80" s="44">
        <f t="shared" si="3"/>
        <v>256000</v>
      </c>
      <c r="L80" s="43" t="s">
        <v>948</v>
      </c>
      <c r="M80" s="48">
        <v>5172</v>
      </c>
      <c r="N80" s="48" t="s">
        <v>1296</v>
      </c>
      <c r="O80" s="48">
        <v>21</v>
      </c>
    </row>
    <row r="81" spans="2:15" x14ac:dyDescent="0.2">
      <c r="B81" s="180" t="s">
        <v>1381</v>
      </c>
      <c r="C81" s="46" t="s">
        <v>1382</v>
      </c>
      <c r="D81" s="46" t="s">
        <v>28</v>
      </c>
      <c r="E81" s="45">
        <v>0.17121499999999998</v>
      </c>
      <c r="F81" s="45">
        <v>0.35089999999999999</v>
      </c>
      <c r="G81" s="46">
        <v>9</v>
      </c>
      <c r="H81" s="46">
        <v>9</v>
      </c>
      <c r="I81" s="44">
        <v>27022.66</v>
      </c>
      <c r="J81" s="44">
        <f t="shared" si="2"/>
        <v>243203.94</v>
      </c>
      <c r="K81" s="44">
        <f t="shared" si="3"/>
        <v>243203.94</v>
      </c>
      <c r="L81" s="43" t="s">
        <v>439</v>
      </c>
      <c r="M81" s="48">
        <v>9931</v>
      </c>
      <c r="N81" s="48" t="s">
        <v>1294</v>
      </c>
      <c r="O81" s="48">
        <v>21</v>
      </c>
    </row>
    <row r="82" spans="2:15" x14ac:dyDescent="0.2">
      <c r="B82" s="180" t="s">
        <v>931</v>
      </c>
      <c r="C82" s="46" t="s">
        <v>932</v>
      </c>
      <c r="D82" s="46" t="s">
        <v>72</v>
      </c>
      <c r="E82" s="45">
        <v>0.16940000000000002</v>
      </c>
      <c r="F82" s="45">
        <v>0.35089999999999999</v>
      </c>
      <c r="G82" s="46">
        <v>19</v>
      </c>
      <c r="H82" s="46">
        <v>19</v>
      </c>
      <c r="I82" s="44">
        <v>12798</v>
      </c>
      <c r="J82" s="44">
        <f t="shared" si="2"/>
        <v>243162</v>
      </c>
      <c r="K82" s="44">
        <f t="shared" si="3"/>
        <v>243162</v>
      </c>
      <c r="L82" s="43" t="s">
        <v>73</v>
      </c>
      <c r="M82" s="48">
        <v>9426</v>
      </c>
      <c r="N82" s="48" t="s">
        <v>1294</v>
      </c>
      <c r="O82" s="48">
        <v>21</v>
      </c>
    </row>
    <row r="83" spans="2:15" x14ac:dyDescent="0.2">
      <c r="B83" s="180" t="s">
        <v>1375</v>
      </c>
      <c r="C83" s="46" t="s">
        <v>1376</v>
      </c>
      <c r="D83" s="46" t="s">
        <v>411</v>
      </c>
      <c r="E83" s="45">
        <v>0.17121499999999998</v>
      </c>
      <c r="F83" s="45">
        <v>0.35089999999999999</v>
      </c>
      <c r="G83" s="46">
        <v>1</v>
      </c>
      <c r="H83" s="46">
        <v>1</v>
      </c>
      <c r="I83" s="44">
        <v>239720.64</v>
      </c>
      <c r="J83" s="44">
        <f t="shared" si="2"/>
        <v>239720.64</v>
      </c>
      <c r="K83" s="44">
        <f t="shared" si="3"/>
        <v>239720.64</v>
      </c>
      <c r="L83" s="43" t="s">
        <v>439</v>
      </c>
      <c r="M83" s="48">
        <v>9902</v>
      </c>
      <c r="N83" s="48" t="s">
        <v>1295</v>
      </c>
      <c r="O83" s="48">
        <v>21</v>
      </c>
    </row>
    <row r="84" spans="2:15" x14ac:dyDescent="0.2">
      <c r="B84" s="180" t="s">
        <v>437</v>
      </c>
      <c r="C84" s="46" t="s">
        <v>438</v>
      </c>
      <c r="D84" s="46" t="s">
        <v>229</v>
      </c>
      <c r="E84" s="45">
        <v>0.18754999999999999</v>
      </c>
      <c r="F84" s="45">
        <v>0.36899999999999999</v>
      </c>
      <c r="G84" s="46">
        <v>17</v>
      </c>
      <c r="H84" s="46">
        <v>17</v>
      </c>
      <c r="I84" s="44">
        <v>14092.05</v>
      </c>
      <c r="J84" s="44">
        <f t="shared" si="2"/>
        <v>239564.84999999998</v>
      </c>
      <c r="K84" s="44">
        <f t="shared" si="3"/>
        <v>239564.84999999998</v>
      </c>
      <c r="L84" s="43" t="s">
        <v>439</v>
      </c>
      <c r="M84" s="48">
        <v>9566</v>
      </c>
      <c r="N84" s="48" t="s">
        <v>1295</v>
      </c>
      <c r="O84" s="48">
        <v>10.5</v>
      </c>
    </row>
    <row r="85" spans="2:15" x14ac:dyDescent="0.2">
      <c r="B85" s="180" t="s">
        <v>240</v>
      </c>
      <c r="C85" s="46" t="s">
        <v>241</v>
      </c>
      <c r="D85" s="46" t="s">
        <v>242</v>
      </c>
      <c r="E85" s="45">
        <v>0.18754999999999999</v>
      </c>
      <c r="F85" s="45">
        <v>0.36899999999999999</v>
      </c>
      <c r="G85" s="46">
        <v>8</v>
      </c>
      <c r="H85" s="46">
        <v>8</v>
      </c>
      <c r="I85" s="44">
        <v>27168.9</v>
      </c>
      <c r="J85" s="44">
        <f t="shared" si="2"/>
        <v>217351.2</v>
      </c>
      <c r="K85" s="44">
        <f t="shared" si="3"/>
        <v>217351.2</v>
      </c>
      <c r="L85" s="43" t="s">
        <v>153</v>
      </c>
      <c r="M85" s="48">
        <v>9072</v>
      </c>
      <c r="N85" s="48" t="s">
        <v>1298</v>
      </c>
      <c r="O85" s="48">
        <v>10.5</v>
      </c>
    </row>
    <row r="86" spans="2:15" x14ac:dyDescent="0.2">
      <c r="B86" s="180" t="s">
        <v>1055</v>
      </c>
      <c r="C86" s="46" t="s">
        <v>1247</v>
      </c>
      <c r="D86" s="46" t="s">
        <v>52</v>
      </c>
      <c r="E86" s="45">
        <v>0.17121499999999998</v>
      </c>
      <c r="F86" s="45">
        <v>0.35089999999999999</v>
      </c>
      <c r="G86" s="46">
        <v>6</v>
      </c>
      <c r="H86" s="46">
        <v>6</v>
      </c>
      <c r="I86" s="44">
        <v>35577</v>
      </c>
      <c r="J86" s="44">
        <f t="shared" si="2"/>
        <v>213462</v>
      </c>
      <c r="K86" s="44">
        <f t="shared" si="3"/>
        <v>213462</v>
      </c>
      <c r="L86" s="43" t="s">
        <v>35</v>
      </c>
      <c r="M86" s="48">
        <v>5406</v>
      </c>
      <c r="N86" s="48" t="s">
        <v>1294</v>
      </c>
      <c r="O86" s="48">
        <v>21</v>
      </c>
    </row>
    <row r="87" spans="2:15" x14ac:dyDescent="0.2">
      <c r="B87" s="180" t="s">
        <v>1400</v>
      </c>
      <c r="C87" s="46" t="s">
        <v>1401</v>
      </c>
      <c r="D87" s="46" t="s">
        <v>28</v>
      </c>
      <c r="E87" s="45">
        <v>0.17121499999999998</v>
      </c>
      <c r="F87" s="45">
        <v>0.35089999999999999</v>
      </c>
      <c r="G87" s="46">
        <v>6</v>
      </c>
      <c r="H87" s="46">
        <v>6</v>
      </c>
      <c r="I87" s="44">
        <v>34868.089999999997</v>
      </c>
      <c r="J87" s="44">
        <f t="shared" si="2"/>
        <v>209208.53999999998</v>
      </c>
      <c r="K87" s="44">
        <f t="shared" si="3"/>
        <v>209208.53999999998</v>
      </c>
      <c r="L87" s="43" t="s">
        <v>439</v>
      </c>
      <c r="M87" s="48">
        <v>9928</v>
      </c>
      <c r="N87" s="48" t="s">
        <v>1294</v>
      </c>
      <c r="O87" s="48">
        <v>21</v>
      </c>
    </row>
    <row r="88" spans="2:15" x14ac:dyDescent="0.2">
      <c r="B88" s="180" t="s">
        <v>1383</v>
      </c>
      <c r="C88" s="46" t="s">
        <v>1384</v>
      </c>
      <c r="D88" s="46" t="s">
        <v>28</v>
      </c>
      <c r="E88" s="45">
        <v>0.17121499999999998</v>
      </c>
      <c r="F88" s="45">
        <v>0.35089999999999999</v>
      </c>
      <c r="G88" s="46">
        <v>8</v>
      </c>
      <c r="H88" s="46">
        <v>8</v>
      </c>
      <c r="I88" s="44">
        <v>26150.959999999999</v>
      </c>
      <c r="J88" s="44">
        <f t="shared" si="2"/>
        <v>209207.67999999999</v>
      </c>
      <c r="K88" s="44">
        <f t="shared" si="3"/>
        <v>209207.67999999999</v>
      </c>
      <c r="L88" s="43" t="s">
        <v>439</v>
      </c>
      <c r="M88" s="48">
        <v>9914</v>
      </c>
      <c r="N88" s="48" t="s">
        <v>1294</v>
      </c>
      <c r="O88" s="48">
        <v>21</v>
      </c>
    </row>
    <row r="89" spans="2:15" x14ac:dyDescent="0.2">
      <c r="B89" s="180" t="s">
        <v>1385</v>
      </c>
      <c r="C89" s="46" t="s">
        <v>1386</v>
      </c>
      <c r="D89" s="46" t="s">
        <v>28</v>
      </c>
      <c r="E89" s="45">
        <v>0.17121499999999998</v>
      </c>
      <c r="F89" s="45">
        <v>0.35089999999999999</v>
      </c>
      <c r="G89" s="46">
        <v>8</v>
      </c>
      <c r="H89" s="46">
        <v>8</v>
      </c>
      <c r="I89" s="44">
        <v>26150.959999999999</v>
      </c>
      <c r="J89" s="44">
        <f t="shared" si="2"/>
        <v>209207.67999999999</v>
      </c>
      <c r="K89" s="44">
        <f t="shared" si="3"/>
        <v>209207.67999999999</v>
      </c>
      <c r="L89" s="43" t="s">
        <v>439</v>
      </c>
      <c r="M89" s="48">
        <v>9915</v>
      </c>
      <c r="N89" s="48" t="s">
        <v>1294</v>
      </c>
      <c r="O89" s="48">
        <v>21</v>
      </c>
    </row>
    <row r="90" spans="2:15" x14ac:dyDescent="0.2">
      <c r="B90" s="180" t="s">
        <v>1122</v>
      </c>
      <c r="C90" s="46" t="s">
        <v>1544</v>
      </c>
      <c r="D90" s="46" t="s">
        <v>10</v>
      </c>
      <c r="E90" s="45">
        <v>0.14701499999999998</v>
      </c>
      <c r="F90" s="45">
        <v>0.32669999999999999</v>
      </c>
      <c r="G90" s="46">
        <v>1</v>
      </c>
      <c r="H90" s="46">
        <v>1</v>
      </c>
      <c r="I90" s="44">
        <v>201600.01</v>
      </c>
      <c r="J90" s="44">
        <f t="shared" si="2"/>
        <v>201600.01</v>
      </c>
      <c r="K90" s="44">
        <f t="shared" si="3"/>
        <v>201600.01</v>
      </c>
      <c r="L90" s="43" t="s">
        <v>32</v>
      </c>
      <c r="M90" s="48">
        <v>9825</v>
      </c>
      <c r="N90" s="48" t="s">
        <v>1295</v>
      </c>
      <c r="O90" s="48">
        <v>21</v>
      </c>
    </row>
    <row r="91" spans="2:15" x14ac:dyDescent="0.2">
      <c r="B91" s="180" t="s">
        <v>235</v>
      </c>
      <c r="C91" s="46" t="s">
        <v>236</v>
      </c>
      <c r="D91" s="46" t="s">
        <v>237</v>
      </c>
      <c r="E91" s="45">
        <v>0.18754999999999999</v>
      </c>
      <c r="F91" s="45">
        <v>0.36899999999999999</v>
      </c>
      <c r="G91" s="46">
        <v>17</v>
      </c>
      <c r="H91" s="46">
        <v>17</v>
      </c>
      <c r="I91" s="44">
        <v>11700</v>
      </c>
      <c r="J91" s="44">
        <f t="shared" si="2"/>
        <v>198900</v>
      </c>
      <c r="K91" s="44">
        <f t="shared" si="3"/>
        <v>198900</v>
      </c>
      <c r="L91" s="43" t="s">
        <v>146</v>
      </c>
      <c r="M91" s="48">
        <v>9740</v>
      </c>
      <c r="N91" s="48" t="s">
        <v>1298</v>
      </c>
      <c r="O91" s="48">
        <v>21</v>
      </c>
    </row>
    <row r="92" spans="2:15" x14ac:dyDescent="0.2">
      <c r="B92" s="180" t="s">
        <v>227</v>
      </c>
      <c r="C92" s="46" t="s">
        <v>228</v>
      </c>
      <c r="D92" s="46" t="s">
        <v>229</v>
      </c>
      <c r="E92" s="45">
        <v>0.18754999999999999</v>
      </c>
      <c r="F92" s="45">
        <v>0.36899999999999999</v>
      </c>
      <c r="G92" s="46">
        <v>60</v>
      </c>
      <c r="H92" s="46">
        <v>60</v>
      </c>
      <c r="I92" s="44">
        <v>2925.01</v>
      </c>
      <c r="J92" s="44">
        <f t="shared" si="2"/>
        <v>175500.6</v>
      </c>
      <c r="K92" s="44">
        <f t="shared" si="3"/>
        <v>175500.6</v>
      </c>
      <c r="L92" s="43" t="s">
        <v>230</v>
      </c>
      <c r="M92" s="48">
        <v>9623</v>
      </c>
      <c r="N92" s="48" t="s">
        <v>1295</v>
      </c>
      <c r="O92" s="48">
        <v>21</v>
      </c>
    </row>
    <row r="93" spans="2:15" hidden="1" x14ac:dyDescent="0.2">
      <c r="B93" s="180" t="s">
        <v>91</v>
      </c>
      <c r="C93" s="46" t="s">
        <v>1615</v>
      </c>
      <c r="D93" s="46" t="s">
        <v>10</v>
      </c>
      <c r="E93" s="45">
        <v>0.14701499999999998</v>
      </c>
      <c r="F93" s="45">
        <v>0.32669999999999999</v>
      </c>
      <c r="G93" s="46">
        <v>0</v>
      </c>
      <c r="H93" s="46">
        <v>1</v>
      </c>
      <c r="I93" s="44">
        <v>172543</v>
      </c>
      <c r="J93" s="44">
        <f t="shared" si="2"/>
        <v>0</v>
      </c>
      <c r="K93" s="44">
        <f t="shared" si="3"/>
        <v>172543</v>
      </c>
      <c r="L93" s="43" t="s">
        <v>92</v>
      </c>
      <c r="M93" s="48">
        <v>8060</v>
      </c>
      <c r="N93" s="48" t="s">
        <v>1295</v>
      </c>
      <c r="O93" s="48">
        <v>21</v>
      </c>
    </row>
    <row r="94" spans="2:15" x14ac:dyDescent="0.2">
      <c r="B94" s="180" t="s">
        <v>214</v>
      </c>
      <c r="C94" s="46" t="s">
        <v>215</v>
      </c>
      <c r="D94" s="46" t="s">
        <v>216</v>
      </c>
      <c r="E94" s="45">
        <v>0.18754999999999999</v>
      </c>
      <c r="F94" s="45">
        <v>0.36899999999999999</v>
      </c>
      <c r="G94" s="46">
        <v>72</v>
      </c>
      <c r="H94" s="46">
        <v>72</v>
      </c>
      <c r="I94" s="44">
        <v>2390.46</v>
      </c>
      <c r="J94" s="44">
        <f t="shared" si="2"/>
        <v>172113.12</v>
      </c>
      <c r="K94" s="44">
        <f t="shared" si="3"/>
        <v>172113.12</v>
      </c>
      <c r="L94" s="43" t="s">
        <v>153</v>
      </c>
      <c r="M94" s="48">
        <v>6319</v>
      </c>
      <c r="N94" s="48" t="s">
        <v>1298</v>
      </c>
      <c r="O94" s="48">
        <v>21</v>
      </c>
    </row>
    <row r="95" spans="2:15" x14ac:dyDescent="0.2">
      <c r="B95" s="180" t="s">
        <v>1503</v>
      </c>
      <c r="C95" s="46" t="s">
        <v>1504</v>
      </c>
      <c r="D95" s="46" t="s">
        <v>351</v>
      </c>
      <c r="E95" s="45">
        <v>0.16940000000000002</v>
      </c>
      <c r="F95" s="45">
        <v>0.36899999999999999</v>
      </c>
      <c r="G95" s="46">
        <v>1</v>
      </c>
      <c r="H95" s="46">
        <v>1</v>
      </c>
      <c r="I95" s="44">
        <v>171090.84</v>
      </c>
      <c r="J95" s="44">
        <f t="shared" si="2"/>
        <v>171090.84</v>
      </c>
      <c r="K95" s="44">
        <f t="shared" si="3"/>
        <v>171090.84</v>
      </c>
      <c r="L95" s="43" t="s">
        <v>439</v>
      </c>
      <c r="M95" s="48">
        <v>9955</v>
      </c>
      <c r="N95" s="48" t="s">
        <v>1295</v>
      </c>
      <c r="O95" s="48">
        <v>21</v>
      </c>
    </row>
    <row r="96" spans="2:15" x14ac:dyDescent="0.2">
      <c r="B96" s="180" t="s">
        <v>1477</v>
      </c>
      <c r="C96" s="46" t="s">
        <v>1478</v>
      </c>
      <c r="D96" s="46" t="s">
        <v>18</v>
      </c>
      <c r="E96" s="45">
        <v>0.17121499999999998</v>
      </c>
      <c r="F96" s="45">
        <v>0.32669999999999999</v>
      </c>
      <c r="G96" s="46">
        <v>1</v>
      </c>
      <c r="H96" s="46">
        <v>1</v>
      </c>
      <c r="I96" s="44">
        <v>170500</v>
      </c>
      <c r="J96" s="44">
        <f t="shared" si="2"/>
        <v>170500</v>
      </c>
      <c r="K96" s="44">
        <f t="shared" si="3"/>
        <v>170500</v>
      </c>
      <c r="L96" s="43" t="s">
        <v>35</v>
      </c>
      <c r="M96" s="48">
        <v>6013</v>
      </c>
      <c r="N96" s="48" t="s">
        <v>1294</v>
      </c>
      <c r="O96" s="48">
        <v>21</v>
      </c>
    </row>
    <row r="97" spans="2:15" x14ac:dyDescent="0.2">
      <c r="B97" s="180" t="s">
        <v>204</v>
      </c>
      <c r="C97" s="46" t="s">
        <v>1036</v>
      </c>
      <c r="D97" s="46" t="s">
        <v>206</v>
      </c>
      <c r="E97" s="45">
        <v>0.18754999999999999</v>
      </c>
      <c r="F97" s="45">
        <v>0.36899999999999999</v>
      </c>
      <c r="G97" s="46">
        <v>1</v>
      </c>
      <c r="H97" s="46">
        <v>1</v>
      </c>
      <c r="I97" s="44">
        <v>159250</v>
      </c>
      <c r="J97" s="44">
        <f t="shared" si="2"/>
        <v>159250</v>
      </c>
      <c r="K97" s="44">
        <f t="shared" si="3"/>
        <v>159250</v>
      </c>
      <c r="L97" s="43" t="s">
        <v>207</v>
      </c>
      <c r="M97" s="48">
        <v>1221</v>
      </c>
      <c r="N97" s="48" t="s">
        <v>1298</v>
      </c>
      <c r="O97" s="48">
        <v>10.5</v>
      </c>
    </row>
    <row r="98" spans="2:15" x14ac:dyDescent="0.2">
      <c r="B98" s="180" t="s">
        <v>247</v>
      </c>
      <c r="C98" s="46" t="s">
        <v>248</v>
      </c>
      <c r="D98" s="46" t="s">
        <v>152</v>
      </c>
      <c r="E98" s="45">
        <v>0.18754999999999999</v>
      </c>
      <c r="F98" s="45">
        <v>0.36899999999999999</v>
      </c>
      <c r="G98" s="46">
        <v>57</v>
      </c>
      <c r="H98" s="46">
        <v>57</v>
      </c>
      <c r="I98" s="44">
        <v>2730</v>
      </c>
      <c r="J98" s="44">
        <f t="shared" si="2"/>
        <v>155610</v>
      </c>
      <c r="K98" s="44">
        <f t="shared" si="3"/>
        <v>155610</v>
      </c>
      <c r="L98" s="43" t="s">
        <v>168</v>
      </c>
      <c r="M98" s="48">
        <v>3675</v>
      </c>
      <c r="N98" s="48" t="s">
        <v>1297</v>
      </c>
      <c r="O98" s="48">
        <v>21</v>
      </c>
    </row>
    <row r="99" spans="2:15" x14ac:dyDescent="0.2">
      <c r="B99" s="180" t="s">
        <v>1397</v>
      </c>
      <c r="C99" s="46" t="s">
        <v>1398</v>
      </c>
      <c r="D99" s="46" t="s">
        <v>411</v>
      </c>
      <c r="E99" s="45">
        <v>0.17121499999999998</v>
      </c>
      <c r="F99" s="45">
        <v>0.35089999999999999</v>
      </c>
      <c r="G99" s="46">
        <v>2</v>
      </c>
      <c r="H99" s="46">
        <v>2</v>
      </c>
      <c r="I99" s="44">
        <v>73659.31</v>
      </c>
      <c r="J99" s="44">
        <f t="shared" si="2"/>
        <v>147318.62</v>
      </c>
      <c r="K99" s="44">
        <f t="shared" si="3"/>
        <v>147318.62</v>
      </c>
      <c r="L99" s="43" t="s">
        <v>439</v>
      </c>
      <c r="M99" s="48">
        <v>9905</v>
      </c>
      <c r="N99" s="48" t="s">
        <v>1295</v>
      </c>
      <c r="O99" s="48">
        <v>21</v>
      </c>
    </row>
    <row r="100" spans="2:15" x14ac:dyDescent="0.2">
      <c r="B100" s="180" t="s">
        <v>1162</v>
      </c>
      <c r="C100" s="46" t="s">
        <v>1163</v>
      </c>
      <c r="D100" s="46" t="s">
        <v>28</v>
      </c>
      <c r="E100" s="45">
        <v>0.17121499999999998</v>
      </c>
      <c r="F100" s="45">
        <v>0.36899999999999999</v>
      </c>
      <c r="G100" s="46">
        <v>8</v>
      </c>
      <c r="H100" s="46">
        <v>8</v>
      </c>
      <c r="I100" s="44">
        <v>17504.45</v>
      </c>
      <c r="J100" s="44">
        <f t="shared" si="2"/>
        <v>140035.6</v>
      </c>
      <c r="K100" s="44">
        <f t="shared" si="3"/>
        <v>140035.6</v>
      </c>
      <c r="L100" s="43" t="s">
        <v>153</v>
      </c>
      <c r="M100" s="48">
        <v>8726</v>
      </c>
      <c r="N100" s="48" t="s">
        <v>1294</v>
      </c>
      <c r="O100" s="48">
        <v>21</v>
      </c>
    </row>
    <row r="101" spans="2:15" x14ac:dyDescent="0.2">
      <c r="B101" s="180" t="s">
        <v>1218</v>
      </c>
      <c r="C101" s="46" t="s">
        <v>1283</v>
      </c>
      <c r="D101" s="46" t="s">
        <v>52</v>
      </c>
      <c r="E101" s="45">
        <v>0.17121499999999998</v>
      </c>
      <c r="F101" s="45">
        <v>0.35089999999999999</v>
      </c>
      <c r="G101" s="46">
        <v>2</v>
      </c>
      <c r="H101" s="46">
        <v>2</v>
      </c>
      <c r="I101" s="44">
        <v>58993.01</v>
      </c>
      <c r="J101" s="44">
        <f t="shared" si="2"/>
        <v>117986.02</v>
      </c>
      <c r="K101" s="44">
        <f t="shared" si="3"/>
        <v>117986.02</v>
      </c>
      <c r="L101" s="43" t="s">
        <v>35</v>
      </c>
      <c r="M101" s="48">
        <v>5386</v>
      </c>
      <c r="N101" s="48" t="s">
        <v>1294</v>
      </c>
      <c r="O101" s="48">
        <v>21</v>
      </c>
    </row>
    <row r="102" spans="2:15" x14ac:dyDescent="0.2">
      <c r="B102" s="180" t="s">
        <v>1199</v>
      </c>
      <c r="C102" s="46" t="s">
        <v>1198</v>
      </c>
      <c r="D102" s="46" t="s">
        <v>581</v>
      </c>
      <c r="E102" s="45">
        <v>0.19359999999999999</v>
      </c>
      <c r="F102" s="45">
        <v>0.37509999999999999</v>
      </c>
      <c r="G102" s="46">
        <v>10</v>
      </c>
      <c r="H102" s="46">
        <v>10</v>
      </c>
      <c r="I102" s="44">
        <v>11772.78</v>
      </c>
      <c r="J102" s="44">
        <f t="shared" si="2"/>
        <v>117727.8</v>
      </c>
      <c r="K102" s="44">
        <f t="shared" si="3"/>
        <v>117727.8</v>
      </c>
      <c r="L102" s="43" t="s">
        <v>153</v>
      </c>
      <c r="M102" s="48">
        <v>9862</v>
      </c>
      <c r="N102" s="48" t="s">
        <v>1296</v>
      </c>
      <c r="O102" s="48">
        <v>21</v>
      </c>
    </row>
    <row r="103" spans="2:15" x14ac:dyDescent="0.2">
      <c r="B103" s="180" t="s">
        <v>303</v>
      </c>
      <c r="C103" s="46" t="s">
        <v>304</v>
      </c>
      <c r="D103" s="46" t="s">
        <v>229</v>
      </c>
      <c r="E103" s="45">
        <v>0.18754999999999999</v>
      </c>
      <c r="F103" s="45">
        <v>0.36899999999999999</v>
      </c>
      <c r="G103" s="46">
        <v>16</v>
      </c>
      <c r="H103" s="46">
        <v>16</v>
      </c>
      <c r="I103" s="44">
        <v>6045</v>
      </c>
      <c r="J103" s="44">
        <f t="shared" si="2"/>
        <v>96720</v>
      </c>
      <c r="K103" s="44">
        <f t="shared" si="3"/>
        <v>96720</v>
      </c>
      <c r="L103" s="43" t="s">
        <v>230</v>
      </c>
      <c r="M103" s="48">
        <v>3143</v>
      </c>
      <c r="N103" s="48" t="s">
        <v>1295</v>
      </c>
      <c r="O103" s="48">
        <v>21</v>
      </c>
    </row>
    <row r="104" spans="2:15" x14ac:dyDescent="0.2">
      <c r="B104" s="180" t="s">
        <v>286</v>
      </c>
      <c r="C104" s="46" t="s">
        <v>287</v>
      </c>
      <c r="D104" s="46" t="s">
        <v>152</v>
      </c>
      <c r="E104" s="45">
        <v>0.18754999999999999</v>
      </c>
      <c r="F104" s="45">
        <v>0.36899999999999999</v>
      </c>
      <c r="G104" s="46">
        <v>10</v>
      </c>
      <c r="H104" s="46">
        <v>10</v>
      </c>
      <c r="I104" s="44">
        <v>9295</v>
      </c>
      <c r="J104" s="44">
        <f t="shared" si="2"/>
        <v>92950</v>
      </c>
      <c r="K104" s="44">
        <f t="shared" si="3"/>
        <v>92950</v>
      </c>
      <c r="L104" s="43" t="s">
        <v>153</v>
      </c>
      <c r="M104" s="48">
        <v>9036</v>
      </c>
      <c r="N104" s="48" t="s">
        <v>1297</v>
      </c>
      <c r="O104" s="48">
        <v>21</v>
      </c>
    </row>
    <row r="105" spans="2:15" x14ac:dyDescent="0.2">
      <c r="B105" s="180" t="s">
        <v>1420</v>
      </c>
      <c r="C105" s="46" t="s">
        <v>1421</v>
      </c>
      <c r="D105" s="46" t="s">
        <v>229</v>
      </c>
      <c r="E105" s="45">
        <v>0.18754999999999999</v>
      </c>
      <c r="F105" s="45">
        <v>0.35089999999999999</v>
      </c>
      <c r="G105" s="46">
        <v>8</v>
      </c>
      <c r="H105" s="46">
        <v>8</v>
      </c>
      <c r="I105" s="44">
        <v>11364.47</v>
      </c>
      <c r="J105" s="44">
        <f t="shared" si="2"/>
        <v>90915.76</v>
      </c>
      <c r="K105" s="44">
        <f t="shared" si="3"/>
        <v>90915.76</v>
      </c>
      <c r="L105" s="43" t="s">
        <v>439</v>
      </c>
      <c r="M105" s="48">
        <v>9900</v>
      </c>
      <c r="N105" s="48" t="s">
        <v>1295</v>
      </c>
      <c r="O105" s="48">
        <v>21</v>
      </c>
    </row>
    <row r="106" spans="2:15" x14ac:dyDescent="0.2">
      <c r="B106" s="180" t="s">
        <v>322</v>
      </c>
      <c r="C106" s="46" t="s">
        <v>323</v>
      </c>
      <c r="D106" s="46" t="s">
        <v>324</v>
      </c>
      <c r="E106" s="45">
        <v>0.18754999999999999</v>
      </c>
      <c r="F106" s="45">
        <v>0.36899999999999999</v>
      </c>
      <c r="G106" s="46">
        <v>36</v>
      </c>
      <c r="H106" s="46">
        <v>36</v>
      </c>
      <c r="I106" s="44">
        <v>2360</v>
      </c>
      <c r="J106" s="44">
        <f t="shared" si="2"/>
        <v>84960</v>
      </c>
      <c r="K106" s="44">
        <f t="shared" si="3"/>
        <v>84960</v>
      </c>
      <c r="L106" s="43" t="s">
        <v>153</v>
      </c>
      <c r="M106" s="48">
        <v>6880</v>
      </c>
      <c r="N106" s="48" t="s">
        <v>1297</v>
      </c>
      <c r="O106" s="48">
        <v>21</v>
      </c>
    </row>
    <row r="107" spans="2:15" x14ac:dyDescent="0.2">
      <c r="B107" s="180" t="s">
        <v>1492</v>
      </c>
      <c r="C107" s="46" t="s">
        <v>1529</v>
      </c>
      <c r="D107" s="46" t="s">
        <v>229</v>
      </c>
      <c r="E107" s="45">
        <v>0.18754999999999999</v>
      </c>
      <c r="F107" s="45">
        <v>0.36899999999999999</v>
      </c>
      <c r="G107" s="46">
        <v>7</v>
      </c>
      <c r="H107" s="46">
        <v>7</v>
      </c>
      <c r="I107" s="44">
        <v>12099.72</v>
      </c>
      <c r="J107" s="44">
        <f t="shared" si="2"/>
        <v>84698.04</v>
      </c>
      <c r="K107" s="44">
        <f t="shared" si="3"/>
        <v>84698.04</v>
      </c>
      <c r="L107" s="43" t="s">
        <v>439</v>
      </c>
      <c r="M107" s="48">
        <v>8765</v>
      </c>
      <c r="N107" s="48" t="s">
        <v>1295</v>
      </c>
      <c r="O107" s="48">
        <v>21</v>
      </c>
    </row>
    <row r="108" spans="2:15" x14ac:dyDescent="0.2">
      <c r="B108" s="180" t="s">
        <v>1213</v>
      </c>
      <c r="C108" s="46" t="s">
        <v>1209</v>
      </c>
      <c r="D108" s="46" t="s">
        <v>411</v>
      </c>
      <c r="E108" s="45">
        <v>0.18754999999999999</v>
      </c>
      <c r="F108" s="45">
        <v>0.36899999999999999</v>
      </c>
      <c r="G108" s="46">
        <v>6</v>
      </c>
      <c r="H108" s="46">
        <v>6</v>
      </c>
      <c r="I108" s="44">
        <v>13802.57</v>
      </c>
      <c r="J108" s="44">
        <f t="shared" si="2"/>
        <v>82815.42</v>
      </c>
      <c r="K108" s="44">
        <f t="shared" si="3"/>
        <v>82815.42</v>
      </c>
      <c r="L108" s="43" t="s">
        <v>153</v>
      </c>
      <c r="M108" s="48">
        <v>9856</v>
      </c>
      <c r="N108" s="48" t="s">
        <v>1295</v>
      </c>
      <c r="O108" s="48">
        <v>21</v>
      </c>
    </row>
    <row r="109" spans="2:15" x14ac:dyDescent="0.2">
      <c r="B109" s="180" t="s">
        <v>1450</v>
      </c>
      <c r="C109" s="46" t="s">
        <v>1451</v>
      </c>
      <c r="D109" s="46" t="s">
        <v>28</v>
      </c>
      <c r="E109" s="45">
        <v>0.17121499999999998</v>
      </c>
      <c r="F109" s="45">
        <v>0.35089999999999999</v>
      </c>
      <c r="G109" s="46">
        <v>2</v>
      </c>
      <c r="H109" s="46">
        <v>2</v>
      </c>
      <c r="I109" s="44">
        <v>41405.93</v>
      </c>
      <c r="J109" s="44">
        <f t="shared" si="2"/>
        <v>82811.86</v>
      </c>
      <c r="K109" s="44">
        <f t="shared" si="3"/>
        <v>82811.86</v>
      </c>
      <c r="L109" s="43" t="s">
        <v>439</v>
      </c>
      <c r="M109" s="48">
        <v>9936</v>
      </c>
      <c r="N109" s="48" t="s">
        <v>1294</v>
      </c>
      <c r="O109" s="48">
        <v>21</v>
      </c>
    </row>
    <row r="110" spans="2:15" x14ac:dyDescent="0.2">
      <c r="B110" s="180" t="s">
        <v>251</v>
      </c>
      <c r="C110" s="46" t="s">
        <v>252</v>
      </c>
      <c r="D110" s="46" t="s">
        <v>253</v>
      </c>
      <c r="E110" s="45">
        <v>0.16940000000000002</v>
      </c>
      <c r="F110" s="45">
        <v>0.35089999999999999</v>
      </c>
      <c r="G110" s="46">
        <v>3</v>
      </c>
      <c r="H110" s="46">
        <v>3</v>
      </c>
      <c r="I110" s="44">
        <v>26918.52</v>
      </c>
      <c r="J110" s="44">
        <f t="shared" si="2"/>
        <v>80755.56</v>
      </c>
      <c r="K110" s="44">
        <f t="shared" si="3"/>
        <v>80755.56</v>
      </c>
      <c r="L110" s="43" t="s">
        <v>73</v>
      </c>
      <c r="M110" s="48">
        <v>9099</v>
      </c>
      <c r="N110" s="48" t="s">
        <v>1294</v>
      </c>
      <c r="O110" s="48">
        <v>21</v>
      </c>
    </row>
    <row r="111" spans="2:15" x14ac:dyDescent="0.2">
      <c r="B111" s="180" t="s">
        <v>333</v>
      </c>
      <c r="C111" s="46" t="s">
        <v>334</v>
      </c>
      <c r="D111" s="46" t="s">
        <v>152</v>
      </c>
      <c r="E111" s="45">
        <v>0.18754999999999999</v>
      </c>
      <c r="F111" s="45">
        <v>0.36899999999999999</v>
      </c>
      <c r="G111" s="46">
        <v>23</v>
      </c>
      <c r="H111" s="46">
        <v>23</v>
      </c>
      <c r="I111" s="44">
        <v>3250</v>
      </c>
      <c r="J111" s="44">
        <f t="shared" si="2"/>
        <v>74750</v>
      </c>
      <c r="K111" s="44">
        <f t="shared" si="3"/>
        <v>74750</v>
      </c>
      <c r="L111" s="43" t="s">
        <v>168</v>
      </c>
      <c r="M111" s="48">
        <v>7118</v>
      </c>
      <c r="N111" s="48" t="s">
        <v>1297</v>
      </c>
      <c r="O111" s="48">
        <v>21</v>
      </c>
    </row>
    <row r="112" spans="2:15" x14ac:dyDescent="0.2">
      <c r="B112" s="180" t="s">
        <v>1245</v>
      </c>
      <c r="C112" s="46" t="s">
        <v>1246</v>
      </c>
      <c r="D112" s="46" t="s">
        <v>52</v>
      </c>
      <c r="E112" s="45">
        <v>0.17121499999999998</v>
      </c>
      <c r="F112" s="45">
        <v>0.35089999999999999</v>
      </c>
      <c r="G112" s="46">
        <v>2</v>
      </c>
      <c r="H112" s="46">
        <v>2</v>
      </c>
      <c r="I112" s="44">
        <v>30927.5</v>
      </c>
      <c r="J112" s="44">
        <f t="shared" si="2"/>
        <v>61855</v>
      </c>
      <c r="K112" s="44">
        <f t="shared" si="3"/>
        <v>61855</v>
      </c>
      <c r="L112" s="43" t="s">
        <v>35</v>
      </c>
      <c r="M112" s="48">
        <v>9873</v>
      </c>
      <c r="N112" s="48" t="s">
        <v>1294</v>
      </c>
      <c r="O112" s="48">
        <v>21</v>
      </c>
    </row>
    <row r="113" spans="2:15" x14ac:dyDescent="0.2">
      <c r="B113" s="180" t="s">
        <v>341</v>
      </c>
      <c r="C113" s="46" t="s">
        <v>342</v>
      </c>
      <c r="D113" s="46" t="s">
        <v>229</v>
      </c>
      <c r="E113" s="45">
        <v>0.18754999999999999</v>
      </c>
      <c r="F113" s="45">
        <v>0.36899999999999999</v>
      </c>
      <c r="G113" s="46">
        <v>10</v>
      </c>
      <c r="H113" s="46">
        <v>10</v>
      </c>
      <c r="I113" s="44">
        <v>6045</v>
      </c>
      <c r="J113" s="44">
        <f t="shared" si="2"/>
        <v>60450</v>
      </c>
      <c r="K113" s="44">
        <f t="shared" si="3"/>
        <v>60450</v>
      </c>
      <c r="L113" s="43" t="s">
        <v>230</v>
      </c>
      <c r="M113" s="48">
        <v>3142</v>
      </c>
      <c r="N113" s="48" t="s">
        <v>1295</v>
      </c>
      <c r="O113" s="48">
        <v>21</v>
      </c>
    </row>
    <row r="114" spans="2:15" x14ac:dyDescent="0.2">
      <c r="B114" s="180" t="s">
        <v>1244</v>
      </c>
      <c r="C114" s="46" t="s">
        <v>1282</v>
      </c>
      <c r="D114" s="46" t="s">
        <v>52</v>
      </c>
      <c r="E114" s="45">
        <v>0.17121499999999998</v>
      </c>
      <c r="F114" s="45">
        <v>0.35089999999999999</v>
      </c>
      <c r="G114" s="46">
        <v>2</v>
      </c>
      <c r="H114" s="46">
        <v>2</v>
      </c>
      <c r="I114" s="44">
        <v>28631</v>
      </c>
      <c r="J114" s="44">
        <f t="shared" si="2"/>
        <v>57262</v>
      </c>
      <c r="K114" s="44">
        <f t="shared" si="3"/>
        <v>57262</v>
      </c>
      <c r="L114" s="43" t="s">
        <v>35</v>
      </c>
      <c r="M114" s="48">
        <v>9796</v>
      </c>
      <c r="N114" s="48" t="s">
        <v>1294</v>
      </c>
      <c r="O114" s="48">
        <v>21</v>
      </c>
    </row>
    <row r="115" spans="2:15" x14ac:dyDescent="0.2">
      <c r="B115" s="180" t="s">
        <v>1068</v>
      </c>
      <c r="C115" s="46" t="s">
        <v>1069</v>
      </c>
      <c r="D115" s="46" t="s">
        <v>106</v>
      </c>
      <c r="E115" s="45">
        <v>0.19359999999999999</v>
      </c>
      <c r="F115" s="45">
        <v>0.37509999999999999</v>
      </c>
      <c r="G115" s="46">
        <v>1</v>
      </c>
      <c r="H115" s="46">
        <v>1</v>
      </c>
      <c r="I115" s="44">
        <v>53665.08</v>
      </c>
      <c r="J115" s="44">
        <f t="shared" si="2"/>
        <v>53665.08</v>
      </c>
      <c r="K115" s="44">
        <f t="shared" si="3"/>
        <v>53665.08</v>
      </c>
      <c r="L115" s="43" t="s">
        <v>107</v>
      </c>
      <c r="M115" s="48">
        <v>8787</v>
      </c>
      <c r="N115" s="48" t="s">
        <v>1294</v>
      </c>
      <c r="O115" s="48">
        <v>21</v>
      </c>
    </row>
    <row r="116" spans="2:15" x14ac:dyDescent="0.2">
      <c r="B116" s="180" t="s">
        <v>1390</v>
      </c>
      <c r="C116" s="46" t="s">
        <v>1575</v>
      </c>
      <c r="D116" s="46" t="s">
        <v>229</v>
      </c>
      <c r="E116" s="45">
        <v>0.18754999999999999</v>
      </c>
      <c r="F116" s="45">
        <v>0.36899999999999999</v>
      </c>
      <c r="G116" s="46">
        <v>2</v>
      </c>
      <c r="H116" s="46">
        <v>2</v>
      </c>
      <c r="I116" s="44">
        <v>25458.35</v>
      </c>
      <c r="J116" s="44">
        <f t="shared" si="2"/>
        <v>50916.7</v>
      </c>
      <c r="K116" s="44">
        <f t="shared" si="3"/>
        <v>50916.7</v>
      </c>
      <c r="L116" s="43" t="s">
        <v>439</v>
      </c>
      <c r="M116" s="48">
        <v>8768</v>
      </c>
      <c r="N116" s="48" t="s">
        <v>1295</v>
      </c>
      <c r="O116" s="48">
        <v>21</v>
      </c>
    </row>
    <row r="117" spans="2:15" x14ac:dyDescent="0.2">
      <c r="B117" s="180" t="s">
        <v>346</v>
      </c>
      <c r="C117" s="46" t="s">
        <v>347</v>
      </c>
      <c r="D117" s="46" t="s">
        <v>233</v>
      </c>
      <c r="E117" s="45">
        <v>0.19359999999999999</v>
      </c>
      <c r="F117" s="45">
        <v>0.37509999999999999</v>
      </c>
      <c r="G117" s="46">
        <v>8</v>
      </c>
      <c r="H117" s="46">
        <v>8</v>
      </c>
      <c r="I117" s="44">
        <v>6303.79</v>
      </c>
      <c r="J117" s="44">
        <f t="shared" si="2"/>
        <v>50430.32</v>
      </c>
      <c r="K117" s="44">
        <f t="shared" si="3"/>
        <v>50430.32</v>
      </c>
      <c r="L117" s="43" t="s">
        <v>348</v>
      </c>
      <c r="M117" s="48">
        <v>4048</v>
      </c>
      <c r="N117" s="48" t="s">
        <v>1297</v>
      </c>
      <c r="O117" s="48">
        <v>21</v>
      </c>
    </row>
    <row r="118" spans="2:15" x14ac:dyDescent="0.2">
      <c r="B118" s="180" t="s">
        <v>1392</v>
      </c>
      <c r="C118" s="46" t="s">
        <v>1393</v>
      </c>
      <c r="D118" s="46" t="s">
        <v>28</v>
      </c>
      <c r="E118" s="45">
        <v>0.17121499999999998</v>
      </c>
      <c r="F118" s="45">
        <v>0.35089999999999999</v>
      </c>
      <c r="G118" s="46">
        <v>2</v>
      </c>
      <c r="H118" s="46">
        <v>2</v>
      </c>
      <c r="I118" s="44">
        <v>22664.1</v>
      </c>
      <c r="J118" s="44">
        <f t="shared" si="2"/>
        <v>45328.2</v>
      </c>
      <c r="K118" s="44">
        <f t="shared" si="3"/>
        <v>45328.2</v>
      </c>
      <c r="L118" s="43" t="s">
        <v>439</v>
      </c>
      <c r="M118" s="48">
        <v>9930</v>
      </c>
      <c r="N118" s="48" t="s">
        <v>1294</v>
      </c>
      <c r="O118" s="48">
        <v>21</v>
      </c>
    </row>
    <row r="119" spans="2:15" x14ac:dyDescent="0.2">
      <c r="B119" s="180" t="s">
        <v>282</v>
      </c>
      <c r="C119" s="46" t="s">
        <v>283</v>
      </c>
      <c r="D119" s="46" t="s">
        <v>253</v>
      </c>
      <c r="E119" s="45">
        <v>0.16940000000000002</v>
      </c>
      <c r="F119" s="45">
        <v>0.35089999999999999</v>
      </c>
      <c r="G119" s="46">
        <v>2</v>
      </c>
      <c r="H119" s="46">
        <v>2</v>
      </c>
      <c r="I119" s="44">
        <v>21000</v>
      </c>
      <c r="J119" s="44">
        <f t="shared" si="2"/>
        <v>42000</v>
      </c>
      <c r="K119" s="44">
        <f t="shared" si="3"/>
        <v>42000</v>
      </c>
      <c r="L119" s="43" t="s">
        <v>73</v>
      </c>
      <c r="M119" s="48">
        <v>9067</v>
      </c>
      <c r="N119" s="48" t="s">
        <v>1294</v>
      </c>
      <c r="O119" s="48">
        <v>21</v>
      </c>
    </row>
    <row r="120" spans="2:15" x14ac:dyDescent="0.2">
      <c r="B120" s="180" t="s">
        <v>933</v>
      </c>
      <c r="C120" s="46" t="s">
        <v>934</v>
      </c>
      <c r="D120" s="46" t="s">
        <v>152</v>
      </c>
      <c r="E120" s="45">
        <v>0.18754999999999999</v>
      </c>
      <c r="F120" s="45">
        <v>0.36899999999999999</v>
      </c>
      <c r="G120" s="46">
        <v>4</v>
      </c>
      <c r="H120" s="46">
        <v>4</v>
      </c>
      <c r="I120" s="44">
        <v>10010</v>
      </c>
      <c r="J120" s="44">
        <f t="shared" si="2"/>
        <v>40040</v>
      </c>
      <c r="K120" s="44">
        <f t="shared" si="3"/>
        <v>40040</v>
      </c>
      <c r="L120" s="43" t="s">
        <v>168</v>
      </c>
      <c r="M120" s="48">
        <v>3793</v>
      </c>
      <c r="N120" s="48" t="s">
        <v>1297</v>
      </c>
      <c r="O120" s="48">
        <v>21</v>
      </c>
    </row>
    <row r="121" spans="2:15" x14ac:dyDescent="0.2">
      <c r="B121" s="180" t="s">
        <v>392</v>
      </c>
      <c r="C121" s="46" t="s">
        <v>393</v>
      </c>
      <c r="D121" s="46" t="s">
        <v>152</v>
      </c>
      <c r="E121" s="45">
        <v>0.18754999999999999</v>
      </c>
      <c r="F121" s="45">
        <v>0.36899999999999999</v>
      </c>
      <c r="G121" s="46">
        <v>19</v>
      </c>
      <c r="H121" s="46">
        <v>19</v>
      </c>
      <c r="I121" s="44">
        <v>2080</v>
      </c>
      <c r="J121" s="44">
        <f t="shared" si="2"/>
        <v>39520</v>
      </c>
      <c r="K121" s="44">
        <f t="shared" si="3"/>
        <v>39520</v>
      </c>
      <c r="L121" s="43" t="s">
        <v>168</v>
      </c>
      <c r="M121" s="48">
        <v>3630</v>
      </c>
      <c r="N121" s="48" t="s">
        <v>1297</v>
      </c>
      <c r="O121" s="48">
        <v>21</v>
      </c>
    </row>
    <row r="122" spans="2:15" x14ac:dyDescent="0.2">
      <c r="B122" s="180" t="s">
        <v>416</v>
      </c>
      <c r="C122" s="46" t="s">
        <v>417</v>
      </c>
      <c r="D122" s="46" t="s">
        <v>1056</v>
      </c>
      <c r="E122" s="45">
        <v>0.18754999999999999</v>
      </c>
      <c r="F122" s="45">
        <v>0.36899999999999999</v>
      </c>
      <c r="G122" s="46">
        <v>2</v>
      </c>
      <c r="H122" s="46">
        <v>2</v>
      </c>
      <c r="I122" s="44">
        <v>19499.349999999999</v>
      </c>
      <c r="J122" s="44">
        <f t="shared" si="2"/>
        <v>38998.699999999997</v>
      </c>
      <c r="K122" s="44">
        <f t="shared" si="3"/>
        <v>38998.699999999997</v>
      </c>
      <c r="L122" s="43" t="s">
        <v>418</v>
      </c>
      <c r="M122" s="48">
        <v>4538</v>
      </c>
      <c r="N122" s="48" t="s">
        <v>1298</v>
      </c>
      <c r="O122" s="48">
        <v>10.5</v>
      </c>
    </row>
    <row r="123" spans="2:15" x14ac:dyDescent="0.2">
      <c r="B123" s="180" t="s">
        <v>375</v>
      </c>
      <c r="C123" s="46" t="s">
        <v>376</v>
      </c>
      <c r="D123" s="46" t="s">
        <v>233</v>
      </c>
      <c r="E123" s="45">
        <v>0.19359999999999999</v>
      </c>
      <c r="F123" s="45">
        <v>0.37509999999999999</v>
      </c>
      <c r="G123" s="46">
        <v>3</v>
      </c>
      <c r="H123" s="46">
        <v>3</v>
      </c>
      <c r="I123" s="44">
        <v>12998.13</v>
      </c>
      <c r="J123" s="44">
        <f t="shared" si="2"/>
        <v>38994.39</v>
      </c>
      <c r="K123" s="44">
        <f t="shared" si="3"/>
        <v>38994.39</v>
      </c>
      <c r="L123" s="43" t="s">
        <v>348</v>
      </c>
      <c r="M123" s="48">
        <v>4050</v>
      </c>
      <c r="N123" s="48" t="s">
        <v>1297</v>
      </c>
      <c r="O123" s="48">
        <v>21</v>
      </c>
    </row>
    <row r="124" spans="2:15" x14ac:dyDescent="0.2">
      <c r="B124" s="180" t="s">
        <v>1240</v>
      </c>
      <c r="C124" s="46" t="s">
        <v>1241</v>
      </c>
      <c r="D124" s="46" t="s">
        <v>52</v>
      </c>
      <c r="E124" s="45">
        <v>0.17121499999999998</v>
      </c>
      <c r="F124" s="45">
        <v>0.35089999999999999</v>
      </c>
      <c r="G124" s="46">
        <v>1</v>
      </c>
      <c r="H124" s="46">
        <v>1</v>
      </c>
      <c r="I124" s="44">
        <v>38659.5</v>
      </c>
      <c r="J124" s="44">
        <f t="shared" si="2"/>
        <v>38659.5</v>
      </c>
      <c r="K124" s="44">
        <f t="shared" si="3"/>
        <v>38659.5</v>
      </c>
      <c r="L124" s="43" t="s">
        <v>35</v>
      </c>
      <c r="M124" s="48">
        <v>9871</v>
      </c>
      <c r="N124" s="48" t="s">
        <v>1294</v>
      </c>
      <c r="O124" s="48">
        <v>21</v>
      </c>
    </row>
    <row r="125" spans="2:15" x14ac:dyDescent="0.2">
      <c r="B125" s="180" t="s">
        <v>429</v>
      </c>
      <c r="C125" s="46" t="s">
        <v>430</v>
      </c>
      <c r="D125" s="46" t="s">
        <v>152</v>
      </c>
      <c r="E125" s="45">
        <v>0.18754999999999999</v>
      </c>
      <c r="F125" s="45">
        <v>0.36899999999999999</v>
      </c>
      <c r="G125" s="46">
        <v>19</v>
      </c>
      <c r="H125" s="46">
        <v>19</v>
      </c>
      <c r="I125" s="44">
        <v>1950</v>
      </c>
      <c r="J125" s="44">
        <f t="shared" si="2"/>
        <v>37050</v>
      </c>
      <c r="K125" s="44">
        <f t="shared" si="3"/>
        <v>37050</v>
      </c>
      <c r="L125" s="43" t="s">
        <v>153</v>
      </c>
      <c r="M125" s="48">
        <v>3604</v>
      </c>
      <c r="N125" s="48" t="s">
        <v>1297</v>
      </c>
      <c r="O125" s="48">
        <v>21</v>
      </c>
    </row>
    <row r="126" spans="2:15" x14ac:dyDescent="0.2">
      <c r="B126" s="180" t="s">
        <v>331</v>
      </c>
      <c r="C126" s="46" t="s">
        <v>332</v>
      </c>
      <c r="D126" s="46" t="s">
        <v>152</v>
      </c>
      <c r="E126" s="45">
        <v>0.18754999999999999</v>
      </c>
      <c r="F126" s="45">
        <v>0.36899999999999999</v>
      </c>
      <c r="G126" s="46">
        <v>10</v>
      </c>
      <c r="H126" s="46">
        <v>10</v>
      </c>
      <c r="I126" s="44">
        <v>3639.99</v>
      </c>
      <c r="J126" s="44">
        <f t="shared" si="2"/>
        <v>36399.899999999994</v>
      </c>
      <c r="K126" s="44">
        <f t="shared" si="3"/>
        <v>36399.899999999994</v>
      </c>
      <c r="L126" s="43" t="s">
        <v>168</v>
      </c>
      <c r="M126" s="48">
        <v>3631</v>
      </c>
      <c r="N126" s="48" t="s">
        <v>1297</v>
      </c>
      <c r="O126" s="48">
        <v>21</v>
      </c>
    </row>
    <row r="127" spans="2:15" x14ac:dyDescent="0.2">
      <c r="B127" s="180" t="s">
        <v>221</v>
      </c>
      <c r="C127" s="46" t="s">
        <v>222</v>
      </c>
      <c r="D127" s="46" t="s">
        <v>216</v>
      </c>
      <c r="E127" s="45">
        <v>0.18754999999999999</v>
      </c>
      <c r="F127" s="45">
        <v>0.36899999999999999</v>
      </c>
      <c r="G127" s="46">
        <v>15</v>
      </c>
      <c r="H127" s="46">
        <v>15</v>
      </c>
      <c r="I127" s="44">
        <v>2390.46</v>
      </c>
      <c r="J127" s="44">
        <f t="shared" si="2"/>
        <v>35856.9</v>
      </c>
      <c r="K127" s="44">
        <f t="shared" si="3"/>
        <v>35856.9</v>
      </c>
      <c r="L127" s="43" t="s">
        <v>153</v>
      </c>
      <c r="M127" s="48">
        <v>6320</v>
      </c>
      <c r="N127" s="48" t="s">
        <v>1298</v>
      </c>
      <c r="O127" s="48">
        <v>21</v>
      </c>
    </row>
    <row r="128" spans="2:15" x14ac:dyDescent="0.2">
      <c r="B128" s="180" t="s">
        <v>259</v>
      </c>
      <c r="C128" s="46" t="s">
        <v>260</v>
      </c>
      <c r="D128" s="46" t="s">
        <v>72</v>
      </c>
      <c r="E128" s="45">
        <v>0.16940000000000002</v>
      </c>
      <c r="F128" s="45">
        <v>0.35089999999999999</v>
      </c>
      <c r="G128" s="46">
        <v>1</v>
      </c>
      <c r="H128" s="46">
        <v>1</v>
      </c>
      <c r="I128" s="44">
        <v>35577.35</v>
      </c>
      <c r="J128" s="44">
        <f t="shared" si="2"/>
        <v>35577.35</v>
      </c>
      <c r="K128" s="44">
        <f t="shared" si="3"/>
        <v>35577.35</v>
      </c>
      <c r="L128" s="43" t="s">
        <v>29</v>
      </c>
      <c r="M128" s="48">
        <v>3937</v>
      </c>
      <c r="N128" s="48" t="s">
        <v>1294</v>
      </c>
      <c r="O128" s="48">
        <v>21</v>
      </c>
    </row>
    <row r="129" spans="2:15" x14ac:dyDescent="0.2">
      <c r="B129" s="180" t="s">
        <v>1402</v>
      </c>
      <c r="C129" s="46" t="s">
        <v>1403</v>
      </c>
      <c r="D129" s="46" t="s">
        <v>28</v>
      </c>
      <c r="E129" s="45">
        <v>0.17121499999999998</v>
      </c>
      <c r="F129" s="45">
        <v>0.35089999999999999</v>
      </c>
      <c r="G129" s="46">
        <v>2</v>
      </c>
      <c r="H129" s="46">
        <v>2</v>
      </c>
      <c r="I129" s="44">
        <v>17433.830000000002</v>
      </c>
      <c r="J129" s="44">
        <f t="shared" si="2"/>
        <v>34867.660000000003</v>
      </c>
      <c r="K129" s="44">
        <f t="shared" si="3"/>
        <v>34867.660000000003</v>
      </c>
      <c r="L129" s="43" t="s">
        <v>439</v>
      </c>
      <c r="M129" s="48">
        <v>9939</v>
      </c>
      <c r="N129" s="48" t="s">
        <v>1294</v>
      </c>
      <c r="O129" s="48">
        <v>21</v>
      </c>
    </row>
    <row r="130" spans="2:15" x14ac:dyDescent="0.2">
      <c r="B130" s="180" t="s">
        <v>448</v>
      </c>
      <c r="C130" s="46" t="s">
        <v>449</v>
      </c>
      <c r="D130" s="46" t="s">
        <v>152</v>
      </c>
      <c r="E130" s="45">
        <v>0.18754999999999999</v>
      </c>
      <c r="F130" s="45">
        <v>0.36899999999999999</v>
      </c>
      <c r="G130" s="46">
        <v>9</v>
      </c>
      <c r="H130" s="46">
        <v>9</v>
      </c>
      <c r="I130" s="44">
        <v>3835</v>
      </c>
      <c r="J130" s="44">
        <f t="shared" si="2"/>
        <v>34515</v>
      </c>
      <c r="K130" s="44">
        <f t="shared" si="3"/>
        <v>34515</v>
      </c>
      <c r="L130" s="43" t="s">
        <v>168</v>
      </c>
      <c r="M130" s="48">
        <v>3636</v>
      </c>
      <c r="N130" s="48" t="s">
        <v>1297</v>
      </c>
      <c r="O130" s="48">
        <v>21</v>
      </c>
    </row>
    <row r="131" spans="2:15" x14ac:dyDescent="0.2">
      <c r="B131" s="180" t="s">
        <v>480</v>
      </c>
      <c r="C131" s="46" t="s">
        <v>481</v>
      </c>
      <c r="D131" s="46" t="s">
        <v>482</v>
      </c>
      <c r="E131" s="45">
        <v>0.19964999999999999</v>
      </c>
      <c r="F131" s="45">
        <v>0.36899999999999999</v>
      </c>
      <c r="G131" s="46">
        <v>3</v>
      </c>
      <c r="H131" s="46">
        <v>3</v>
      </c>
      <c r="I131" s="44">
        <v>10075</v>
      </c>
      <c r="J131" s="44">
        <f t="shared" ref="J131:J194" si="4">I131*G131</f>
        <v>30225</v>
      </c>
      <c r="K131" s="44">
        <f t="shared" ref="K131:K194" si="5">I131*H131</f>
        <v>30225</v>
      </c>
      <c r="L131" s="43" t="s">
        <v>153</v>
      </c>
      <c r="M131" s="48">
        <v>753</v>
      </c>
      <c r="N131" s="48" t="s">
        <v>1296</v>
      </c>
      <c r="O131" s="48">
        <v>10.5</v>
      </c>
    </row>
    <row r="132" spans="2:15" x14ac:dyDescent="0.2">
      <c r="B132" s="180" t="s">
        <v>124</v>
      </c>
      <c r="C132" s="46" t="s">
        <v>125</v>
      </c>
      <c r="D132" s="46" t="s">
        <v>72</v>
      </c>
      <c r="E132" s="45">
        <v>0.16940000000000002</v>
      </c>
      <c r="F132" s="45">
        <v>0.35089999999999999</v>
      </c>
      <c r="G132" s="46">
        <v>1</v>
      </c>
      <c r="H132" s="46">
        <v>1</v>
      </c>
      <c r="I132" s="44">
        <v>30015.43</v>
      </c>
      <c r="J132" s="44">
        <f t="shared" si="4"/>
        <v>30015.43</v>
      </c>
      <c r="K132" s="44">
        <f t="shared" si="5"/>
        <v>30015.43</v>
      </c>
      <c r="L132" s="43" t="s">
        <v>29</v>
      </c>
      <c r="M132" s="48">
        <v>9221</v>
      </c>
      <c r="N132" s="48" t="s">
        <v>1294</v>
      </c>
      <c r="O132" s="48">
        <v>21</v>
      </c>
    </row>
    <row r="133" spans="2:15" x14ac:dyDescent="0.2">
      <c r="B133" s="180" t="s">
        <v>394</v>
      </c>
      <c r="C133" s="46" t="s">
        <v>395</v>
      </c>
      <c r="D133" s="46" t="s">
        <v>396</v>
      </c>
      <c r="E133" s="45">
        <v>0.18754999999999999</v>
      </c>
      <c r="F133" s="45">
        <v>0.37509999999999999</v>
      </c>
      <c r="G133" s="46">
        <v>2</v>
      </c>
      <c r="H133" s="46">
        <v>2</v>
      </c>
      <c r="I133" s="44">
        <v>14298.7</v>
      </c>
      <c r="J133" s="44">
        <f t="shared" si="4"/>
        <v>28597.4</v>
      </c>
      <c r="K133" s="44">
        <f t="shared" si="5"/>
        <v>28597.4</v>
      </c>
      <c r="L133" s="43" t="s">
        <v>230</v>
      </c>
      <c r="M133" s="48">
        <v>5022</v>
      </c>
      <c r="N133" s="48" t="s">
        <v>1298</v>
      </c>
      <c r="O133" s="48">
        <v>21</v>
      </c>
    </row>
    <row r="134" spans="2:15" x14ac:dyDescent="0.2">
      <c r="B134" s="180" t="s">
        <v>487</v>
      </c>
      <c r="C134" s="46" t="s">
        <v>488</v>
      </c>
      <c r="D134" s="46" t="s">
        <v>145</v>
      </c>
      <c r="E134" s="45">
        <v>0.18754999999999999</v>
      </c>
      <c r="F134" s="45">
        <v>0.36899999999999999</v>
      </c>
      <c r="G134" s="46">
        <v>2</v>
      </c>
      <c r="H134" s="46">
        <v>2</v>
      </c>
      <c r="I134" s="44">
        <v>14000</v>
      </c>
      <c r="J134" s="44">
        <f t="shared" si="4"/>
        <v>28000</v>
      </c>
      <c r="K134" s="44">
        <f t="shared" si="5"/>
        <v>28000</v>
      </c>
      <c r="L134" s="43" t="s">
        <v>266</v>
      </c>
      <c r="M134" s="48">
        <v>7714</v>
      </c>
      <c r="N134" s="48" t="s">
        <v>1298</v>
      </c>
      <c r="O134" s="48">
        <v>21</v>
      </c>
    </row>
    <row r="135" spans="2:15" x14ac:dyDescent="0.2">
      <c r="B135" s="180" t="s">
        <v>491</v>
      </c>
      <c r="C135" s="46" t="s">
        <v>492</v>
      </c>
      <c r="D135" s="46" t="s">
        <v>152</v>
      </c>
      <c r="E135" s="45">
        <v>0.18754999999999999</v>
      </c>
      <c r="F135" s="45">
        <v>0.36899999999999999</v>
      </c>
      <c r="G135" s="46">
        <v>5</v>
      </c>
      <c r="H135" s="46">
        <v>5</v>
      </c>
      <c r="I135" s="44">
        <v>5200</v>
      </c>
      <c r="J135" s="44">
        <f t="shared" si="4"/>
        <v>26000</v>
      </c>
      <c r="K135" s="44">
        <f t="shared" si="5"/>
        <v>26000</v>
      </c>
      <c r="L135" s="43" t="s">
        <v>153</v>
      </c>
      <c r="M135" s="48">
        <v>3802</v>
      </c>
      <c r="N135" s="48" t="s">
        <v>1297</v>
      </c>
      <c r="O135" s="48">
        <v>21</v>
      </c>
    </row>
    <row r="136" spans="2:15" x14ac:dyDescent="0.2">
      <c r="B136" s="180" t="s">
        <v>499</v>
      </c>
      <c r="C136" s="46" t="s">
        <v>500</v>
      </c>
      <c r="D136" s="46" t="s">
        <v>152</v>
      </c>
      <c r="E136" s="45">
        <v>0.18754999999999999</v>
      </c>
      <c r="F136" s="45">
        <v>0.36899999999999999</v>
      </c>
      <c r="G136" s="46">
        <v>12</v>
      </c>
      <c r="H136" s="46">
        <v>12</v>
      </c>
      <c r="I136" s="44">
        <v>2145</v>
      </c>
      <c r="J136" s="44">
        <f t="shared" si="4"/>
        <v>25740</v>
      </c>
      <c r="K136" s="44">
        <f t="shared" si="5"/>
        <v>25740</v>
      </c>
      <c r="L136" s="43" t="s">
        <v>168</v>
      </c>
      <c r="M136" s="48">
        <v>3785</v>
      </c>
      <c r="N136" s="48" t="s">
        <v>1297</v>
      </c>
      <c r="O136" s="48">
        <v>21</v>
      </c>
    </row>
    <row r="137" spans="2:15" x14ac:dyDescent="0.2">
      <c r="B137" s="180" t="s">
        <v>1391</v>
      </c>
      <c r="C137" s="46" t="s">
        <v>1528</v>
      </c>
      <c r="D137" s="46" t="s">
        <v>229</v>
      </c>
      <c r="E137" s="45">
        <v>0.18754999999999999</v>
      </c>
      <c r="F137" s="45">
        <v>0.36899999999999999</v>
      </c>
      <c r="G137" s="46">
        <v>1</v>
      </c>
      <c r="H137" s="46">
        <v>1</v>
      </c>
      <c r="I137" s="44">
        <v>25458.35</v>
      </c>
      <c r="J137" s="44">
        <f t="shared" si="4"/>
        <v>25458.35</v>
      </c>
      <c r="K137" s="44">
        <f t="shared" si="5"/>
        <v>25458.35</v>
      </c>
      <c r="L137" s="43" t="s">
        <v>439</v>
      </c>
      <c r="M137" s="48">
        <v>8767</v>
      </c>
      <c r="N137" s="48" t="s">
        <v>1295</v>
      </c>
      <c r="O137" s="48">
        <v>21</v>
      </c>
    </row>
    <row r="138" spans="2:15" x14ac:dyDescent="0.2">
      <c r="B138" s="180" t="s">
        <v>501</v>
      </c>
      <c r="C138" s="46" t="s">
        <v>502</v>
      </c>
      <c r="D138" s="46" t="s">
        <v>233</v>
      </c>
      <c r="E138" s="45">
        <v>0.19359999999999999</v>
      </c>
      <c r="F138" s="45">
        <v>0.37509999999999999</v>
      </c>
      <c r="G138" s="46">
        <v>2</v>
      </c>
      <c r="H138" s="46">
        <v>2</v>
      </c>
      <c r="I138" s="44">
        <v>12720.5</v>
      </c>
      <c r="J138" s="44">
        <f t="shared" si="4"/>
        <v>25441</v>
      </c>
      <c r="K138" s="44">
        <f t="shared" si="5"/>
        <v>25441</v>
      </c>
      <c r="L138" s="43" t="s">
        <v>503</v>
      </c>
      <c r="M138" s="48">
        <v>4952</v>
      </c>
      <c r="N138" s="48" t="s">
        <v>1298</v>
      </c>
      <c r="O138" s="48">
        <v>21</v>
      </c>
    </row>
    <row r="139" spans="2:15" x14ac:dyDescent="0.2">
      <c r="B139" s="180" t="s">
        <v>506</v>
      </c>
      <c r="C139" s="46" t="s">
        <v>507</v>
      </c>
      <c r="D139" s="46" t="s">
        <v>508</v>
      </c>
      <c r="E139" s="45">
        <v>0.18754999999999999</v>
      </c>
      <c r="F139" s="45">
        <v>0.36899999999999999</v>
      </c>
      <c r="G139" s="46">
        <v>19</v>
      </c>
      <c r="H139" s="46">
        <v>19</v>
      </c>
      <c r="I139" s="44">
        <v>1310.4100000000001</v>
      </c>
      <c r="J139" s="44">
        <f t="shared" si="4"/>
        <v>24897.79</v>
      </c>
      <c r="K139" s="44">
        <f t="shared" si="5"/>
        <v>24897.79</v>
      </c>
      <c r="L139" s="43" t="s">
        <v>153</v>
      </c>
      <c r="M139" s="48">
        <v>2772</v>
      </c>
      <c r="N139" s="48" t="s">
        <v>1297</v>
      </c>
      <c r="O139" s="48">
        <v>21</v>
      </c>
    </row>
    <row r="140" spans="2:15" x14ac:dyDescent="0.2">
      <c r="B140" s="180" t="s">
        <v>442</v>
      </c>
      <c r="C140" s="46" t="s">
        <v>443</v>
      </c>
      <c r="D140" s="46" t="s">
        <v>229</v>
      </c>
      <c r="E140" s="45">
        <v>0.18754999999999999</v>
      </c>
      <c r="F140" s="45">
        <v>0.36899999999999999</v>
      </c>
      <c r="G140" s="46">
        <v>2</v>
      </c>
      <c r="H140" s="46">
        <v>2</v>
      </c>
      <c r="I140" s="44">
        <v>11895</v>
      </c>
      <c r="J140" s="44">
        <f t="shared" si="4"/>
        <v>23790</v>
      </c>
      <c r="K140" s="44">
        <f t="shared" si="5"/>
        <v>23790</v>
      </c>
      <c r="L140" s="43" t="s">
        <v>230</v>
      </c>
      <c r="M140" s="48">
        <v>9600</v>
      </c>
      <c r="N140" s="48" t="s">
        <v>1295</v>
      </c>
      <c r="O140" s="48">
        <v>10.5</v>
      </c>
    </row>
    <row r="141" spans="2:15" x14ac:dyDescent="0.2">
      <c r="B141" s="180" t="s">
        <v>514</v>
      </c>
      <c r="C141" s="46" t="s">
        <v>515</v>
      </c>
      <c r="D141" s="46" t="s">
        <v>237</v>
      </c>
      <c r="E141" s="45">
        <v>0.18754999999999999</v>
      </c>
      <c r="F141" s="45">
        <v>0.36899999999999999</v>
      </c>
      <c r="G141" s="46">
        <v>2</v>
      </c>
      <c r="H141" s="46">
        <v>2</v>
      </c>
      <c r="I141" s="44">
        <v>11700</v>
      </c>
      <c r="J141" s="44">
        <f t="shared" si="4"/>
        <v>23400</v>
      </c>
      <c r="K141" s="44">
        <f t="shared" si="5"/>
        <v>23400</v>
      </c>
      <c r="L141" s="43" t="s">
        <v>146</v>
      </c>
      <c r="M141" s="48">
        <v>4163</v>
      </c>
      <c r="N141" s="48" t="s">
        <v>1298</v>
      </c>
      <c r="O141" s="48">
        <v>21</v>
      </c>
    </row>
    <row r="142" spans="2:15" x14ac:dyDescent="0.2">
      <c r="B142" s="180" t="s">
        <v>280</v>
      </c>
      <c r="C142" s="46" t="s">
        <v>281</v>
      </c>
      <c r="D142" s="46" t="s">
        <v>277</v>
      </c>
      <c r="E142" s="45">
        <v>0.15306500000000001</v>
      </c>
      <c r="F142" s="45">
        <v>0.3327</v>
      </c>
      <c r="G142" s="46">
        <v>4</v>
      </c>
      <c r="H142" s="46">
        <v>4</v>
      </c>
      <c r="I142" s="44">
        <v>5790</v>
      </c>
      <c r="J142" s="44">
        <f t="shared" si="4"/>
        <v>23160</v>
      </c>
      <c r="K142" s="44">
        <f t="shared" si="5"/>
        <v>23160</v>
      </c>
      <c r="L142" s="43" t="s">
        <v>230</v>
      </c>
      <c r="M142" s="48">
        <v>9620</v>
      </c>
      <c r="N142" s="48" t="s">
        <v>1296</v>
      </c>
      <c r="O142" s="48">
        <v>21</v>
      </c>
    </row>
    <row r="143" spans="2:15" x14ac:dyDescent="0.2">
      <c r="B143" s="180" t="s">
        <v>523</v>
      </c>
      <c r="C143" s="46" t="s">
        <v>524</v>
      </c>
      <c r="D143" s="46" t="s">
        <v>152</v>
      </c>
      <c r="E143" s="45">
        <v>0.18754999999999999</v>
      </c>
      <c r="F143" s="45">
        <v>0.36899999999999999</v>
      </c>
      <c r="G143" s="46">
        <v>5</v>
      </c>
      <c r="H143" s="46">
        <v>5</v>
      </c>
      <c r="I143" s="44">
        <v>4451.2</v>
      </c>
      <c r="J143" s="44">
        <f t="shared" si="4"/>
        <v>22256</v>
      </c>
      <c r="K143" s="44">
        <f t="shared" si="5"/>
        <v>22256</v>
      </c>
      <c r="L143" s="43" t="s">
        <v>153</v>
      </c>
      <c r="M143" s="48">
        <v>9035</v>
      </c>
      <c r="N143" s="48" t="s">
        <v>1297</v>
      </c>
      <c r="O143" s="48">
        <v>21</v>
      </c>
    </row>
    <row r="144" spans="2:15" x14ac:dyDescent="0.2">
      <c r="B144" s="180" t="s">
        <v>560</v>
      </c>
      <c r="C144" s="46" t="s">
        <v>561</v>
      </c>
      <c r="D144" s="46" t="s">
        <v>106</v>
      </c>
      <c r="E144" s="45">
        <v>0.19359999999999999</v>
      </c>
      <c r="F144" s="45">
        <v>0.37509999999999999</v>
      </c>
      <c r="G144" s="46">
        <v>1</v>
      </c>
      <c r="H144" s="46">
        <v>1</v>
      </c>
      <c r="I144" s="44">
        <v>18638.71</v>
      </c>
      <c r="J144" s="44">
        <f t="shared" si="4"/>
        <v>18638.71</v>
      </c>
      <c r="K144" s="44">
        <f t="shared" si="5"/>
        <v>18638.71</v>
      </c>
      <c r="L144" s="43" t="s">
        <v>107</v>
      </c>
      <c r="M144" s="48">
        <v>9363</v>
      </c>
      <c r="N144" s="48" t="s">
        <v>1294</v>
      </c>
      <c r="O144" s="48">
        <v>21</v>
      </c>
    </row>
    <row r="145" spans="2:15" x14ac:dyDescent="0.2">
      <c r="B145" s="180" t="s">
        <v>219</v>
      </c>
      <c r="C145" s="46" t="s">
        <v>220</v>
      </c>
      <c r="D145" s="46" t="s">
        <v>28</v>
      </c>
      <c r="E145" s="45">
        <v>0.17121499999999998</v>
      </c>
      <c r="F145" s="45">
        <v>0.35089999999999999</v>
      </c>
      <c r="G145" s="46">
        <v>1</v>
      </c>
      <c r="H145" s="46">
        <v>1</v>
      </c>
      <c r="I145" s="44">
        <v>18052.16</v>
      </c>
      <c r="J145" s="44">
        <f t="shared" si="4"/>
        <v>18052.16</v>
      </c>
      <c r="K145" s="44">
        <f t="shared" si="5"/>
        <v>18052.16</v>
      </c>
      <c r="L145" s="43" t="s">
        <v>107</v>
      </c>
      <c r="M145" s="48">
        <v>9381</v>
      </c>
      <c r="N145" s="48" t="s">
        <v>1294</v>
      </c>
      <c r="O145" s="48">
        <v>21</v>
      </c>
    </row>
    <row r="146" spans="2:15" x14ac:dyDescent="0.2">
      <c r="B146" s="180" t="s">
        <v>584</v>
      </c>
      <c r="C146" s="46" t="s">
        <v>585</v>
      </c>
      <c r="D146" s="46" t="s">
        <v>152</v>
      </c>
      <c r="E146" s="45">
        <v>0.18754999999999999</v>
      </c>
      <c r="F146" s="45">
        <v>0.36899999999999999</v>
      </c>
      <c r="G146" s="46">
        <v>5</v>
      </c>
      <c r="H146" s="46">
        <v>5</v>
      </c>
      <c r="I146" s="44">
        <v>3250</v>
      </c>
      <c r="J146" s="44">
        <f t="shared" si="4"/>
        <v>16250</v>
      </c>
      <c r="K146" s="44">
        <f t="shared" si="5"/>
        <v>16250</v>
      </c>
      <c r="L146" s="43" t="s">
        <v>153</v>
      </c>
      <c r="M146" s="48">
        <v>3732</v>
      </c>
      <c r="N146" s="48" t="s">
        <v>1297</v>
      </c>
      <c r="O146" s="48">
        <v>21</v>
      </c>
    </row>
    <row r="147" spans="2:15" x14ac:dyDescent="0.2">
      <c r="B147" s="180" t="s">
        <v>590</v>
      </c>
      <c r="C147" s="46" t="s">
        <v>591</v>
      </c>
      <c r="D147" s="46" t="s">
        <v>182</v>
      </c>
      <c r="E147" s="45">
        <v>0.15911500000000001</v>
      </c>
      <c r="F147" s="45">
        <v>0.36899999999999999</v>
      </c>
      <c r="G147" s="46">
        <v>1</v>
      </c>
      <c r="H147" s="46">
        <v>1</v>
      </c>
      <c r="I147" s="44">
        <v>16055.01</v>
      </c>
      <c r="J147" s="44">
        <f t="shared" si="4"/>
        <v>16055.01</v>
      </c>
      <c r="K147" s="44">
        <f t="shared" si="5"/>
        <v>16055.01</v>
      </c>
      <c r="L147" s="43" t="s">
        <v>153</v>
      </c>
      <c r="M147" s="48">
        <v>4492</v>
      </c>
      <c r="N147" s="48" t="s">
        <v>1296</v>
      </c>
      <c r="O147" s="48">
        <v>21</v>
      </c>
    </row>
    <row r="148" spans="2:15" x14ac:dyDescent="0.2">
      <c r="B148" s="180" t="s">
        <v>601</v>
      </c>
      <c r="C148" s="46" t="s">
        <v>602</v>
      </c>
      <c r="D148" s="46" t="s">
        <v>233</v>
      </c>
      <c r="E148" s="45">
        <v>0.19359999999999999</v>
      </c>
      <c r="F148" s="45">
        <v>0.37509999999999999</v>
      </c>
      <c r="G148" s="46">
        <v>2</v>
      </c>
      <c r="H148" s="46">
        <v>2</v>
      </c>
      <c r="I148" s="44">
        <v>7475</v>
      </c>
      <c r="J148" s="44">
        <f t="shared" si="4"/>
        <v>14950</v>
      </c>
      <c r="K148" s="44">
        <f t="shared" si="5"/>
        <v>14950</v>
      </c>
      <c r="L148" s="43" t="s">
        <v>299</v>
      </c>
      <c r="M148" s="48">
        <v>4103</v>
      </c>
      <c r="N148" s="48" t="s">
        <v>1298</v>
      </c>
      <c r="O148" s="48">
        <v>21</v>
      </c>
    </row>
    <row r="149" spans="2:15" x14ac:dyDescent="0.2">
      <c r="B149" s="180" t="s">
        <v>603</v>
      </c>
      <c r="C149" s="46" t="s">
        <v>604</v>
      </c>
      <c r="D149" s="46" t="s">
        <v>152</v>
      </c>
      <c r="E149" s="45">
        <v>0.18754999999999999</v>
      </c>
      <c r="F149" s="45">
        <v>0.36899999999999999</v>
      </c>
      <c r="G149" s="46">
        <v>3</v>
      </c>
      <c r="H149" s="46">
        <v>3</v>
      </c>
      <c r="I149" s="44">
        <v>4950</v>
      </c>
      <c r="J149" s="44">
        <f t="shared" si="4"/>
        <v>14850</v>
      </c>
      <c r="K149" s="44">
        <f t="shared" si="5"/>
        <v>14850</v>
      </c>
      <c r="L149" s="43" t="s">
        <v>153</v>
      </c>
      <c r="M149" s="48">
        <v>3628</v>
      </c>
      <c r="N149" s="48" t="s">
        <v>1297</v>
      </c>
      <c r="O149" s="48">
        <v>21</v>
      </c>
    </row>
    <row r="150" spans="2:15" x14ac:dyDescent="0.2">
      <c r="B150" s="180" t="s">
        <v>616</v>
      </c>
      <c r="C150" s="46" t="s">
        <v>617</v>
      </c>
      <c r="D150" s="46" t="s">
        <v>152</v>
      </c>
      <c r="E150" s="45">
        <v>0.18754999999999999</v>
      </c>
      <c r="F150" s="45">
        <v>0.36899999999999999</v>
      </c>
      <c r="G150" s="46">
        <v>7</v>
      </c>
      <c r="H150" s="46">
        <v>7</v>
      </c>
      <c r="I150" s="44">
        <v>1950</v>
      </c>
      <c r="J150" s="44">
        <f t="shared" si="4"/>
        <v>13650</v>
      </c>
      <c r="K150" s="44">
        <f t="shared" si="5"/>
        <v>13650</v>
      </c>
      <c r="L150" s="43" t="s">
        <v>153</v>
      </c>
      <c r="M150" s="48">
        <v>3806</v>
      </c>
      <c r="N150" s="48" t="s">
        <v>1297</v>
      </c>
      <c r="O150" s="48">
        <v>21</v>
      </c>
    </row>
    <row r="151" spans="2:15" x14ac:dyDescent="0.2">
      <c r="B151" s="180" t="s">
        <v>626</v>
      </c>
      <c r="C151" s="46" t="s">
        <v>627</v>
      </c>
      <c r="D151" s="46" t="s">
        <v>508</v>
      </c>
      <c r="E151" s="45">
        <v>0.18754999999999999</v>
      </c>
      <c r="F151" s="45">
        <v>0.36899999999999999</v>
      </c>
      <c r="G151" s="46">
        <v>2</v>
      </c>
      <c r="H151" s="46">
        <v>2</v>
      </c>
      <c r="I151" s="44">
        <v>6435</v>
      </c>
      <c r="J151" s="44">
        <f t="shared" si="4"/>
        <v>12870</v>
      </c>
      <c r="K151" s="44">
        <f t="shared" si="5"/>
        <v>12870</v>
      </c>
      <c r="L151" s="43" t="s">
        <v>153</v>
      </c>
      <c r="M151" s="48">
        <v>2763</v>
      </c>
      <c r="N151" s="48" t="s">
        <v>1297</v>
      </c>
      <c r="O151" s="48">
        <v>21</v>
      </c>
    </row>
    <row r="152" spans="2:15" x14ac:dyDescent="0.2">
      <c r="B152" s="180" t="s">
        <v>643</v>
      </c>
      <c r="C152" s="46" t="s">
        <v>644</v>
      </c>
      <c r="D152" s="46" t="s">
        <v>229</v>
      </c>
      <c r="E152" s="45">
        <v>0.18754999999999999</v>
      </c>
      <c r="F152" s="45">
        <v>0.36899999999999999</v>
      </c>
      <c r="G152" s="46">
        <v>2</v>
      </c>
      <c r="H152" s="46">
        <v>2</v>
      </c>
      <c r="I152" s="44">
        <v>5850</v>
      </c>
      <c r="J152" s="44">
        <f t="shared" si="4"/>
        <v>11700</v>
      </c>
      <c r="K152" s="44">
        <f t="shared" si="5"/>
        <v>11700</v>
      </c>
      <c r="L152" s="43" t="s">
        <v>230</v>
      </c>
      <c r="M152" s="48">
        <v>9122</v>
      </c>
      <c r="N152" s="48" t="s">
        <v>1295</v>
      </c>
      <c r="O152" s="48">
        <v>21</v>
      </c>
    </row>
    <row r="153" spans="2:15" x14ac:dyDescent="0.2">
      <c r="B153" s="180" t="s">
        <v>645</v>
      </c>
      <c r="C153" s="46" t="s">
        <v>646</v>
      </c>
      <c r="D153" s="46" t="s">
        <v>229</v>
      </c>
      <c r="E153" s="45">
        <v>0.18754999999999999</v>
      </c>
      <c r="F153" s="45">
        <v>0.36899999999999999</v>
      </c>
      <c r="G153" s="46">
        <v>2</v>
      </c>
      <c r="H153" s="46">
        <v>2</v>
      </c>
      <c r="I153" s="44">
        <v>5850</v>
      </c>
      <c r="J153" s="44">
        <f t="shared" si="4"/>
        <v>11700</v>
      </c>
      <c r="K153" s="44">
        <f t="shared" si="5"/>
        <v>11700</v>
      </c>
      <c r="L153" s="43" t="s">
        <v>230</v>
      </c>
      <c r="M153" s="48">
        <v>9121</v>
      </c>
      <c r="N153" s="48" t="s">
        <v>1295</v>
      </c>
      <c r="O153" s="48">
        <v>21</v>
      </c>
    </row>
    <row r="154" spans="2:15" x14ac:dyDescent="0.2">
      <c r="B154" s="180" t="s">
        <v>647</v>
      </c>
      <c r="C154" s="46" t="s">
        <v>648</v>
      </c>
      <c r="D154" s="46" t="s">
        <v>216</v>
      </c>
      <c r="E154" s="45">
        <v>0.18754999999999999</v>
      </c>
      <c r="F154" s="45">
        <v>0.36899999999999999</v>
      </c>
      <c r="G154" s="46">
        <v>3</v>
      </c>
      <c r="H154" s="46">
        <v>3</v>
      </c>
      <c r="I154" s="44">
        <v>3900</v>
      </c>
      <c r="J154" s="44">
        <f t="shared" si="4"/>
        <v>11700</v>
      </c>
      <c r="K154" s="44">
        <f t="shared" si="5"/>
        <v>11700</v>
      </c>
      <c r="L154" s="43" t="s">
        <v>153</v>
      </c>
      <c r="M154" s="48">
        <v>6323</v>
      </c>
      <c r="N154" s="48" t="s">
        <v>1298</v>
      </c>
      <c r="O154" s="48">
        <v>21</v>
      </c>
    </row>
    <row r="155" spans="2:15" x14ac:dyDescent="0.2">
      <c r="B155" s="180" t="s">
        <v>651</v>
      </c>
      <c r="C155" s="46" t="s">
        <v>652</v>
      </c>
      <c r="D155" s="46" t="s">
        <v>152</v>
      </c>
      <c r="E155" s="45">
        <v>0.18754999999999999</v>
      </c>
      <c r="F155" s="45">
        <v>0.36899999999999999</v>
      </c>
      <c r="G155" s="46">
        <v>1</v>
      </c>
      <c r="H155" s="46">
        <v>1</v>
      </c>
      <c r="I155" s="44">
        <v>11231.99</v>
      </c>
      <c r="J155" s="44">
        <f t="shared" si="4"/>
        <v>11231.99</v>
      </c>
      <c r="K155" s="44">
        <f t="shared" si="5"/>
        <v>11231.99</v>
      </c>
      <c r="L155" s="43" t="s">
        <v>153</v>
      </c>
      <c r="M155" s="48">
        <v>3607</v>
      </c>
      <c r="N155" s="48" t="s">
        <v>1297</v>
      </c>
      <c r="O155" s="48">
        <v>21</v>
      </c>
    </row>
    <row r="156" spans="2:15" x14ac:dyDescent="0.2">
      <c r="B156" s="180" t="s">
        <v>612</v>
      </c>
      <c r="C156" s="46" t="s">
        <v>613</v>
      </c>
      <c r="D156" s="46" t="s">
        <v>233</v>
      </c>
      <c r="E156" s="45">
        <v>0.19359999999999999</v>
      </c>
      <c r="F156" s="45">
        <v>0.37509999999999999</v>
      </c>
      <c r="G156" s="46">
        <v>3</v>
      </c>
      <c r="H156" s="46">
        <v>3</v>
      </c>
      <c r="I156" s="44">
        <v>3595.02</v>
      </c>
      <c r="J156" s="44">
        <f t="shared" si="4"/>
        <v>10785.06</v>
      </c>
      <c r="K156" s="44">
        <f t="shared" si="5"/>
        <v>10785.06</v>
      </c>
      <c r="L156" s="43" t="s">
        <v>230</v>
      </c>
      <c r="M156" s="48">
        <v>209</v>
      </c>
      <c r="N156" s="48" t="s">
        <v>1296</v>
      </c>
      <c r="O156" s="48">
        <v>10.5</v>
      </c>
    </row>
    <row r="157" spans="2:15" x14ac:dyDescent="0.2">
      <c r="B157" s="180" t="s">
        <v>531</v>
      </c>
      <c r="C157" s="46" t="s">
        <v>532</v>
      </c>
      <c r="D157" s="46" t="s">
        <v>152</v>
      </c>
      <c r="E157" s="45">
        <v>0.18754999999999999</v>
      </c>
      <c r="F157" s="45">
        <v>0.36899999999999999</v>
      </c>
      <c r="G157" s="46">
        <v>4</v>
      </c>
      <c r="H157" s="46">
        <v>4</v>
      </c>
      <c r="I157" s="44">
        <v>2640.95</v>
      </c>
      <c r="J157" s="44">
        <f t="shared" si="4"/>
        <v>10563.8</v>
      </c>
      <c r="K157" s="44">
        <f t="shared" si="5"/>
        <v>10563.8</v>
      </c>
      <c r="L157" s="43" t="s">
        <v>153</v>
      </c>
      <c r="M157" s="48">
        <v>3794</v>
      </c>
      <c r="N157" s="48" t="s">
        <v>1297</v>
      </c>
      <c r="O157" s="48">
        <v>21</v>
      </c>
    </row>
    <row r="158" spans="2:15" x14ac:dyDescent="0.2">
      <c r="B158" s="180" t="s">
        <v>766</v>
      </c>
      <c r="C158" s="46" t="s">
        <v>767</v>
      </c>
      <c r="D158" s="46" t="s">
        <v>229</v>
      </c>
      <c r="E158" s="45">
        <v>0.18754999999999999</v>
      </c>
      <c r="F158" s="45">
        <v>0.36899999999999999</v>
      </c>
      <c r="G158" s="46">
        <v>2</v>
      </c>
      <c r="H158" s="46">
        <v>2</v>
      </c>
      <c r="I158" s="44">
        <v>5003</v>
      </c>
      <c r="J158" s="44">
        <f t="shared" si="4"/>
        <v>10006</v>
      </c>
      <c r="K158" s="44">
        <f t="shared" si="5"/>
        <v>10006</v>
      </c>
      <c r="L158" s="43" t="s">
        <v>230</v>
      </c>
      <c r="M158" s="48">
        <v>8281</v>
      </c>
      <c r="N158" s="48" t="s">
        <v>1295</v>
      </c>
      <c r="O158" s="48">
        <v>10.5</v>
      </c>
    </row>
    <row r="159" spans="2:15" x14ac:dyDescent="0.2">
      <c r="B159" s="180" t="s">
        <v>936</v>
      </c>
      <c r="C159" s="46" t="s">
        <v>937</v>
      </c>
      <c r="D159" s="46" t="s">
        <v>152</v>
      </c>
      <c r="E159" s="45">
        <v>0.18754999999999999</v>
      </c>
      <c r="F159" s="45">
        <v>0.36899999999999999</v>
      </c>
      <c r="G159" s="46">
        <v>10</v>
      </c>
      <c r="H159" s="46">
        <v>10</v>
      </c>
      <c r="I159" s="44">
        <v>1000</v>
      </c>
      <c r="J159" s="44">
        <f t="shared" si="4"/>
        <v>10000</v>
      </c>
      <c r="K159" s="44">
        <f t="shared" si="5"/>
        <v>10000</v>
      </c>
      <c r="L159" s="43" t="s">
        <v>168</v>
      </c>
      <c r="M159" s="48">
        <v>3777</v>
      </c>
      <c r="N159" s="48" t="s">
        <v>1297</v>
      </c>
      <c r="O159" s="48">
        <v>21</v>
      </c>
    </row>
    <row r="160" spans="2:15" x14ac:dyDescent="0.2">
      <c r="B160" s="180" t="s">
        <v>692</v>
      </c>
      <c r="C160" s="46" t="s">
        <v>693</v>
      </c>
      <c r="D160" s="46" t="s">
        <v>152</v>
      </c>
      <c r="E160" s="45">
        <v>0.18754999999999999</v>
      </c>
      <c r="F160" s="45">
        <v>0.36899999999999999</v>
      </c>
      <c r="G160" s="46">
        <v>5</v>
      </c>
      <c r="H160" s="46">
        <v>5</v>
      </c>
      <c r="I160" s="44">
        <v>1625.01</v>
      </c>
      <c r="J160" s="44">
        <f t="shared" si="4"/>
        <v>8125.05</v>
      </c>
      <c r="K160" s="44">
        <f t="shared" si="5"/>
        <v>8125.05</v>
      </c>
      <c r="L160" s="43" t="s">
        <v>168</v>
      </c>
      <c r="M160" s="48">
        <v>3705</v>
      </c>
      <c r="N160" s="48" t="s">
        <v>1297</v>
      </c>
      <c r="O160" s="48">
        <v>21</v>
      </c>
    </row>
    <row r="161" spans="2:15" x14ac:dyDescent="0.2">
      <c r="B161" s="180" t="s">
        <v>696</v>
      </c>
      <c r="C161" s="46" t="s">
        <v>697</v>
      </c>
      <c r="D161" s="46" t="s">
        <v>152</v>
      </c>
      <c r="E161" s="45">
        <v>0.18754999999999999</v>
      </c>
      <c r="F161" s="45">
        <v>0.36899999999999999</v>
      </c>
      <c r="G161" s="46">
        <v>2</v>
      </c>
      <c r="H161" s="46">
        <v>2</v>
      </c>
      <c r="I161" s="44">
        <v>4030</v>
      </c>
      <c r="J161" s="44">
        <f t="shared" si="4"/>
        <v>8060</v>
      </c>
      <c r="K161" s="44">
        <f t="shared" si="5"/>
        <v>8060</v>
      </c>
      <c r="L161" s="43" t="s">
        <v>168</v>
      </c>
      <c r="M161" s="48">
        <v>3776</v>
      </c>
      <c r="N161" s="48" t="s">
        <v>1297</v>
      </c>
      <c r="O161" s="48">
        <v>21</v>
      </c>
    </row>
    <row r="162" spans="2:15" x14ac:dyDescent="0.2">
      <c r="B162" s="180" t="s">
        <v>892</v>
      </c>
      <c r="C162" s="46" t="s">
        <v>893</v>
      </c>
      <c r="D162" s="46" t="s">
        <v>482</v>
      </c>
      <c r="E162" s="45">
        <v>0.19964999999999999</v>
      </c>
      <c r="F162" s="45">
        <v>0.36899999999999999</v>
      </c>
      <c r="G162" s="46">
        <v>5</v>
      </c>
      <c r="H162" s="46">
        <v>5</v>
      </c>
      <c r="I162" s="44">
        <v>1430</v>
      </c>
      <c r="J162" s="44">
        <f t="shared" si="4"/>
        <v>7150</v>
      </c>
      <c r="K162" s="44">
        <f t="shared" si="5"/>
        <v>7150</v>
      </c>
      <c r="L162" s="43" t="s">
        <v>299</v>
      </c>
      <c r="M162" s="48">
        <v>8178</v>
      </c>
      <c r="N162" s="48" t="s">
        <v>1296</v>
      </c>
      <c r="O162" s="48">
        <v>21</v>
      </c>
    </row>
    <row r="163" spans="2:15" x14ac:dyDescent="0.2">
      <c r="B163" s="180" t="s">
        <v>716</v>
      </c>
      <c r="C163" s="46" t="s">
        <v>717</v>
      </c>
      <c r="D163" s="46" t="s">
        <v>508</v>
      </c>
      <c r="E163" s="45">
        <v>0.18754999999999999</v>
      </c>
      <c r="F163" s="45">
        <v>0.36899999999999999</v>
      </c>
      <c r="G163" s="46">
        <v>2</v>
      </c>
      <c r="H163" s="46">
        <v>2</v>
      </c>
      <c r="I163" s="44">
        <v>3250</v>
      </c>
      <c r="J163" s="44">
        <f t="shared" si="4"/>
        <v>6500</v>
      </c>
      <c r="K163" s="44">
        <f t="shared" si="5"/>
        <v>6500</v>
      </c>
      <c r="L163" s="43" t="s">
        <v>153</v>
      </c>
      <c r="M163" s="48">
        <v>2757</v>
      </c>
      <c r="N163" s="48" t="s">
        <v>1297</v>
      </c>
      <c r="O163" s="48">
        <v>21</v>
      </c>
    </row>
    <row r="164" spans="2:15" x14ac:dyDescent="0.2">
      <c r="B164" s="180" t="s">
        <v>718</v>
      </c>
      <c r="C164" s="46" t="s">
        <v>719</v>
      </c>
      <c r="D164" s="46" t="s">
        <v>152</v>
      </c>
      <c r="E164" s="45">
        <v>0.18754999999999999</v>
      </c>
      <c r="F164" s="45">
        <v>0.36899999999999999</v>
      </c>
      <c r="G164" s="46">
        <v>2</v>
      </c>
      <c r="H164" s="46">
        <v>2</v>
      </c>
      <c r="I164" s="44">
        <v>3250</v>
      </c>
      <c r="J164" s="44">
        <f t="shared" si="4"/>
        <v>6500</v>
      </c>
      <c r="K164" s="44">
        <f t="shared" si="5"/>
        <v>6500</v>
      </c>
      <c r="L164" s="43" t="s">
        <v>168</v>
      </c>
      <c r="M164" s="48">
        <v>3673</v>
      </c>
      <c r="N164" s="48" t="s">
        <v>1297</v>
      </c>
      <c r="O164" s="48">
        <v>21</v>
      </c>
    </row>
    <row r="165" spans="2:15" x14ac:dyDescent="0.2">
      <c r="B165" s="180" t="s">
        <v>724</v>
      </c>
      <c r="C165" s="46" t="s">
        <v>725</v>
      </c>
      <c r="D165" s="46" t="s">
        <v>607</v>
      </c>
      <c r="E165" s="45">
        <v>0.16335</v>
      </c>
      <c r="F165" s="45">
        <v>0.35089999999999999</v>
      </c>
      <c r="G165" s="46">
        <v>1</v>
      </c>
      <c r="H165" s="46">
        <v>1</v>
      </c>
      <c r="I165" s="44">
        <v>6500</v>
      </c>
      <c r="J165" s="44">
        <f t="shared" si="4"/>
        <v>6500</v>
      </c>
      <c r="K165" s="44">
        <f t="shared" si="5"/>
        <v>6500</v>
      </c>
      <c r="L165" s="43" t="s">
        <v>608</v>
      </c>
      <c r="M165" s="48">
        <v>8509</v>
      </c>
      <c r="N165" s="48" t="s">
        <v>1297</v>
      </c>
      <c r="O165" s="48">
        <v>21</v>
      </c>
    </row>
    <row r="166" spans="2:15" x14ac:dyDescent="0.2">
      <c r="B166" s="180" t="s">
        <v>622</v>
      </c>
      <c r="C166" s="46" t="s">
        <v>623</v>
      </c>
      <c r="D166" s="46" t="s">
        <v>607</v>
      </c>
      <c r="E166" s="45">
        <v>0.16335</v>
      </c>
      <c r="F166" s="45">
        <v>0.35089999999999999</v>
      </c>
      <c r="G166" s="46">
        <v>1</v>
      </c>
      <c r="H166" s="46">
        <v>1</v>
      </c>
      <c r="I166" s="44">
        <v>6500</v>
      </c>
      <c r="J166" s="44">
        <f t="shared" si="4"/>
        <v>6500</v>
      </c>
      <c r="K166" s="44">
        <f t="shared" si="5"/>
        <v>6500</v>
      </c>
      <c r="L166" s="43" t="s">
        <v>608</v>
      </c>
      <c r="M166" s="48">
        <v>8502</v>
      </c>
      <c r="N166" s="48" t="s">
        <v>1297</v>
      </c>
      <c r="O166" s="48">
        <v>21</v>
      </c>
    </row>
    <row r="167" spans="2:15" x14ac:dyDescent="0.2">
      <c r="B167" s="180" t="s">
        <v>736</v>
      </c>
      <c r="C167" s="46" t="s">
        <v>737</v>
      </c>
      <c r="D167" s="46" t="s">
        <v>152</v>
      </c>
      <c r="E167" s="45">
        <v>0.18754999999999999</v>
      </c>
      <c r="F167" s="45">
        <v>0.36899999999999999</v>
      </c>
      <c r="G167" s="46">
        <v>1</v>
      </c>
      <c r="H167" s="46">
        <v>1</v>
      </c>
      <c r="I167" s="44">
        <v>5980</v>
      </c>
      <c r="J167" s="44">
        <f t="shared" si="4"/>
        <v>5980</v>
      </c>
      <c r="K167" s="44">
        <f t="shared" si="5"/>
        <v>5980</v>
      </c>
      <c r="L167" s="43" t="s">
        <v>153</v>
      </c>
      <c r="M167" s="48">
        <v>8398</v>
      </c>
      <c r="N167" s="48" t="s">
        <v>1297</v>
      </c>
      <c r="O167" s="48">
        <v>21</v>
      </c>
    </row>
    <row r="168" spans="2:15" x14ac:dyDescent="0.2">
      <c r="B168" s="180" t="s">
        <v>738</v>
      </c>
      <c r="C168" s="46" t="s">
        <v>739</v>
      </c>
      <c r="D168" s="46" t="s">
        <v>152</v>
      </c>
      <c r="E168" s="45">
        <v>0.18754999999999999</v>
      </c>
      <c r="F168" s="45">
        <v>0.36899999999999999</v>
      </c>
      <c r="G168" s="46">
        <v>3</v>
      </c>
      <c r="H168" s="46">
        <v>3</v>
      </c>
      <c r="I168" s="44">
        <v>1950</v>
      </c>
      <c r="J168" s="44">
        <f t="shared" si="4"/>
        <v>5850</v>
      </c>
      <c r="K168" s="44">
        <f t="shared" si="5"/>
        <v>5850</v>
      </c>
      <c r="L168" s="43" t="s">
        <v>230</v>
      </c>
      <c r="M168" s="48">
        <v>3760</v>
      </c>
      <c r="N168" s="48" t="s">
        <v>1297</v>
      </c>
      <c r="O168" s="48">
        <v>21</v>
      </c>
    </row>
    <row r="169" spans="2:15" x14ac:dyDescent="0.2">
      <c r="B169" s="180" t="s">
        <v>708</v>
      </c>
      <c r="C169" s="46" t="s">
        <v>709</v>
      </c>
      <c r="D169" s="46" t="s">
        <v>152</v>
      </c>
      <c r="E169" s="45">
        <v>0.18754999999999999</v>
      </c>
      <c r="F169" s="45">
        <v>0.36899999999999999</v>
      </c>
      <c r="G169" s="46">
        <v>4</v>
      </c>
      <c r="H169" s="46">
        <v>4</v>
      </c>
      <c r="I169" s="44">
        <v>1420.25</v>
      </c>
      <c r="J169" s="44">
        <f t="shared" si="4"/>
        <v>5681</v>
      </c>
      <c r="K169" s="44">
        <f t="shared" si="5"/>
        <v>5681</v>
      </c>
      <c r="L169" s="43" t="s">
        <v>153</v>
      </c>
      <c r="M169" s="48">
        <v>3618</v>
      </c>
      <c r="N169" s="48" t="s">
        <v>1297</v>
      </c>
      <c r="O169" s="48">
        <v>21</v>
      </c>
    </row>
    <row r="170" spans="2:15" x14ac:dyDescent="0.2">
      <c r="B170" s="180" t="s">
        <v>745</v>
      </c>
      <c r="C170" s="46" t="s">
        <v>746</v>
      </c>
      <c r="D170" s="46" t="s">
        <v>508</v>
      </c>
      <c r="E170" s="45">
        <v>0.18754999999999999</v>
      </c>
      <c r="F170" s="45">
        <v>0.36899999999999999</v>
      </c>
      <c r="G170" s="46">
        <v>2</v>
      </c>
      <c r="H170" s="46">
        <v>2</v>
      </c>
      <c r="I170" s="44">
        <v>2828.29</v>
      </c>
      <c r="J170" s="44">
        <f t="shared" si="4"/>
        <v>5656.58</v>
      </c>
      <c r="K170" s="44">
        <f t="shared" si="5"/>
        <v>5656.58</v>
      </c>
      <c r="L170" s="43" t="s">
        <v>153</v>
      </c>
      <c r="M170" s="48">
        <v>4832</v>
      </c>
      <c r="N170" s="48" t="s">
        <v>1297</v>
      </c>
      <c r="O170" s="48">
        <v>21</v>
      </c>
    </row>
    <row r="171" spans="2:15" x14ac:dyDescent="0.2">
      <c r="B171" s="180" t="s">
        <v>284</v>
      </c>
      <c r="C171" s="46" t="s">
        <v>285</v>
      </c>
      <c r="D171" s="46" t="s">
        <v>152</v>
      </c>
      <c r="E171" s="45">
        <v>0.18754999999999999</v>
      </c>
      <c r="F171" s="45">
        <v>0.36899999999999999</v>
      </c>
      <c r="G171" s="46">
        <v>1</v>
      </c>
      <c r="H171" s="46">
        <v>1</v>
      </c>
      <c r="I171" s="44">
        <v>5525.01</v>
      </c>
      <c r="J171" s="44">
        <f t="shared" si="4"/>
        <v>5525.01</v>
      </c>
      <c r="K171" s="44">
        <f t="shared" si="5"/>
        <v>5525.01</v>
      </c>
      <c r="L171" s="43" t="s">
        <v>153</v>
      </c>
      <c r="M171" s="48">
        <v>3696</v>
      </c>
      <c r="N171" s="48" t="s">
        <v>1297</v>
      </c>
      <c r="O171" s="48">
        <v>21</v>
      </c>
    </row>
    <row r="172" spans="2:15" x14ac:dyDescent="0.2">
      <c r="B172" s="180" t="s">
        <v>751</v>
      </c>
      <c r="C172" s="46" t="s">
        <v>752</v>
      </c>
      <c r="D172" s="46" t="s">
        <v>753</v>
      </c>
      <c r="E172" s="45">
        <v>0.15306500000000001</v>
      </c>
      <c r="F172" s="45">
        <v>0.36899999999999999</v>
      </c>
      <c r="G172" s="46">
        <v>1</v>
      </c>
      <c r="H172" s="46">
        <v>1</v>
      </c>
      <c r="I172" s="44">
        <v>5525.01</v>
      </c>
      <c r="J172" s="44">
        <f t="shared" si="4"/>
        <v>5525.01</v>
      </c>
      <c r="K172" s="44">
        <f t="shared" si="5"/>
        <v>5525.01</v>
      </c>
      <c r="L172" s="43" t="s">
        <v>168</v>
      </c>
      <c r="M172" s="48">
        <v>7499</v>
      </c>
      <c r="N172" s="48" t="s">
        <v>1297</v>
      </c>
      <c r="O172" s="48">
        <v>21</v>
      </c>
    </row>
    <row r="173" spans="2:15" x14ac:dyDescent="0.2">
      <c r="B173" s="180" t="s">
        <v>938</v>
      </c>
      <c r="C173" s="46" t="s">
        <v>939</v>
      </c>
      <c r="D173" s="46" t="s">
        <v>152</v>
      </c>
      <c r="E173" s="45">
        <v>0.18754999999999999</v>
      </c>
      <c r="F173" s="45">
        <v>0.36899999999999999</v>
      </c>
      <c r="G173" s="46">
        <v>4</v>
      </c>
      <c r="H173" s="46">
        <v>4</v>
      </c>
      <c r="I173" s="44">
        <v>1300</v>
      </c>
      <c r="J173" s="44">
        <f t="shared" si="4"/>
        <v>5200</v>
      </c>
      <c r="K173" s="44">
        <f t="shared" si="5"/>
        <v>5200</v>
      </c>
      <c r="L173" s="43" t="s">
        <v>153</v>
      </c>
      <c r="M173" s="48">
        <v>3625</v>
      </c>
      <c r="N173" s="48" t="s">
        <v>1297</v>
      </c>
      <c r="O173" s="48">
        <v>21</v>
      </c>
    </row>
    <row r="174" spans="2:15" x14ac:dyDescent="0.2">
      <c r="B174" s="180" t="s">
        <v>465</v>
      </c>
      <c r="C174" s="46" t="s">
        <v>466</v>
      </c>
      <c r="D174" s="46" t="s">
        <v>216</v>
      </c>
      <c r="E174" s="45">
        <v>0.18754999999999999</v>
      </c>
      <c r="F174" s="45">
        <v>0.36899999999999999</v>
      </c>
      <c r="G174" s="46">
        <v>1</v>
      </c>
      <c r="H174" s="46">
        <v>1</v>
      </c>
      <c r="I174" s="44">
        <v>5200</v>
      </c>
      <c r="J174" s="44">
        <f t="shared" si="4"/>
        <v>5200</v>
      </c>
      <c r="K174" s="44">
        <f t="shared" si="5"/>
        <v>5200</v>
      </c>
      <c r="L174" s="43" t="s">
        <v>230</v>
      </c>
      <c r="M174" s="48">
        <v>8286</v>
      </c>
      <c r="N174" s="48" t="s">
        <v>1298</v>
      </c>
      <c r="O174" s="48">
        <v>21</v>
      </c>
    </row>
    <row r="175" spans="2:15" x14ac:dyDescent="0.2">
      <c r="B175" s="180" t="s">
        <v>770</v>
      </c>
      <c r="C175" s="46" t="s">
        <v>771</v>
      </c>
      <c r="D175" s="46" t="s">
        <v>152</v>
      </c>
      <c r="E175" s="45">
        <v>0.18754999999999999</v>
      </c>
      <c r="F175" s="45">
        <v>0.36899999999999999</v>
      </c>
      <c r="G175" s="46">
        <v>1</v>
      </c>
      <c r="H175" s="46">
        <v>1</v>
      </c>
      <c r="I175" s="44">
        <v>4810</v>
      </c>
      <c r="J175" s="44">
        <f t="shared" si="4"/>
        <v>4810</v>
      </c>
      <c r="K175" s="44">
        <f t="shared" si="5"/>
        <v>4810</v>
      </c>
      <c r="L175" s="43" t="s">
        <v>168</v>
      </c>
      <c r="M175" s="48">
        <v>3595</v>
      </c>
      <c r="N175" s="48" t="s">
        <v>1297</v>
      </c>
      <c r="O175" s="48">
        <v>21</v>
      </c>
    </row>
    <row r="176" spans="2:15" x14ac:dyDescent="0.2">
      <c r="B176" s="180" t="s">
        <v>774</v>
      </c>
      <c r="C176" s="46" t="s">
        <v>775</v>
      </c>
      <c r="D176" s="46" t="s">
        <v>508</v>
      </c>
      <c r="E176" s="45">
        <v>0.18754999999999999</v>
      </c>
      <c r="F176" s="45">
        <v>0.36899999999999999</v>
      </c>
      <c r="G176" s="46">
        <v>2</v>
      </c>
      <c r="H176" s="46">
        <v>2</v>
      </c>
      <c r="I176" s="44">
        <v>2275.0100000000002</v>
      </c>
      <c r="J176" s="44">
        <f t="shared" si="4"/>
        <v>4550.0200000000004</v>
      </c>
      <c r="K176" s="44">
        <f t="shared" si="5"/>
        <v>4550.0200000000004</v>
      </c>
      <c r="L176" s="43" t="s">
        <v>348</v>
      </c>
      <c r="M176" s="48">
        <v>2756</v>
      </c>
      <c r="N176" s="48" t="s">
        <v>1297</v>
      </c>
      <c r="O176" s="48">
        <v>21</v>
      </c>
    </row>
    <row r="177" spans="2:15" x14ac:dyDescent="0.2">
      <c r="B177" s="180" t="s">
        <v>776</v>
      </c>
      <c r="C177" s="46" t="s">
        <v>777</v>
      </c>
      <c r="D177" s="46" t="s">
        <v>152</v>
      </c>
      <c r="E177" s="45">
        <v>0.18754999999999999</v>
      </c>
      <c r="F177" s="45">
        <v>0.36899999999999999</v>
      </c>
      <c r="G177" s="46">
        <v>2</v>
      </c>
      <c r="H177" s="46">
        <v>2</v>
      </c>
      <c r="I177" s="44">
        <v>2275.0100000000002</v>
      </c>
      <c r="J177" s="44">
        <f t="shared" si="4"/>
        <v>4550.0200000000004</v>
      </c>
      <c r="K177" s="44">
        <f t="shared" si="5"/>
        <v>4550.0200000000004</v>
      </c>
      <c r="L177" s="43" t="s">
        <v>778</v>
      </c>
      <c r="M177" s="48">
        <v>2731</v>
      </c>
      <c r="N177" s="48" t="s">
        <v>1297</v>
      </c>
      <c r="O177" s="48">
        <v>21</v>
      </c>
    </row>
    <row r="178" spans="2:15" x14ac:dyDescent="0.2">
      <c r="B178" s="180" t="s">
        <v>779</v>
      </c>
      <c r="C178" s="46" t="s">
        <v>780</v>
      </c>
      <c r="D178" s="46" t="s">
        <v>216</v>
      </c>
      <c r="E178" s="45">
        <v>0.18754999999999999</v>
      </c>
      <c r="F178" s="45">
        <v>0.36899999999999999</v>
      </c>
      <c r="G178" s="46">
        <v>1</v>
      </c>
      <c r="H178" s="46">
        <v>1</v>
      </c>
      <c r="I178" s="44">
        <v>4550</v>
      </c>
      <c r="J178" s="44">
        <f t="shared" si="4"/>
        <v>4550</v>
      </c>
      <c r="K178" s="44">
        <f t="shared" si="5"/>
        <v>4550</v>
      </c>
      <c r="L178" s="43" t="s">
        <v>153</v>
      </c>
      <c r="M178" s="48">
        <v>6327</v>
      </c>
      <c r="N178" s="48" t="s">
        <v>1298</v>
      </c>
      <c r="O178" s="48">
        <v>21</v>
      </c>
    </row>
    <row r="179" spans="2:15" x14ac:dyDescent="0.2">
      <c r="B179" s="180" t="s">
        <v>781</v>
      </c>
      <c r="C179" s="46" t="s">
        <v>782</v>
      </c>
      <c r="D179" s="46" t="s">
        <v>229</v>
      </c>
      <c r="E179" s="45">
        <v>0.18754999999999999</v>
      </c>
      <c r="F179" s="45">
        <v>0.36899999999999999</v>
      </c>
      <c r="G179" s="46">
        <v>1</v>
      </c>
      <c r="H179" s="46">
        <v>1</v>
      </c>
      <c r="I179" s="44">
        <v>4485</v>
      </c>
      <c r="J179" s="44">
        <f t="shared" si="4"/>
        <v>4485</v>
      </c>
      <c r="K179" s="44">
        <f t="shared" si="5"/>
        <v>4485</v>
      </c>
      <c r="L179" s="43" t="s">
        <v>230</v>
      </c>
      <c r="M179" s="48">
        <v>9766</v>
      </c>
      <c r="N179" s="48" t="s">
        <v>1295</v>
      </c>
      <c r="O179" s="48">
        <v>21</v>
      </c>
    </row>
    <row r="180" spans="2:15" x14ac:dyDescent="0.2">
      <c r="B180" s="180" t="s">
        <v>361</v>
      </c>
      <c r="C180" s="46" t="s">
        <v>362</v>
      </c>
      <c r="D180" s="46" t="s">
        <v>229</v>
      </c>
      <c r="E180" s="45">
        <v>0.18754999999999999</v>
      </c>
      <c r="F180" s="45">
        <v>0.36899999999999999</v>
      </c>
      <c r="G180" s="46">
        <v>2</v>
      </c>
      <c r="H180" s="46">
        <v>2</v>
      </c>
      <c r="I180" s="44">
        <v>2210</v>
      </c>
      <c r="J180" s="44">
        <f t="shared" si="4"/>
        <v>4420</v>
      </c>
      <c r="K180" s="44">
        <f t="shared" si="5"/>
        <v>4420</v>
      </c>
      <c r="L180" s="43" t="s">
        <v>230</v>
      </c>
      <c r="M180" s="48">
        <v>9626</v>
      </c>
      <c r="N180" s="48" t="s">
        <v>1295</v>
      </c>
      <c r="O180" s="48">
        <v>21</v>
      </c>
    </row>
    <row r="181" spans="2:15" x14ac:dyDescent="0.2">
      <c r="B181" s="180" t="s">
        <v>592</v>
      </c>
      <c r="C181" s="46" t="s">
        <v>593</v>
      </c>
      <c r="D181" s="46" t="s">
        <v>482</v>
      </c>
      <c r="E181" s="45">
        <v>0.19964999999999999</v>
      </c>
      <c r="F181" s="45">
        <v>0.36899999999999999</v>
      </c>
      <c r="G181" s="46">
        <v>1</v>
      </c>
      <c r="H181" s="46">
        <v>1</v>
      </c>
      <c r="I181" s="44">
        <v>3900</v>
      </c>
      <c r="J181" s="44">
        <f t="shared" si="4"/>
        <v>3900</v>
      </c>
      <c r="K181" s="44">
        <f t="shared" si="5"/>
        <v>3900</v>
      </c>
      <c r="L181" s="43" t="s">
        <v>230</v>
      </c>
      <c r="M181" s="48">
        <v>5141</v>
      </c>
      <c r="N181" s="48" t="s">
        <v>1298</v>
      </c>
      <c r="O181" s="48">
        <v>21</v>
      </c>
    </row>
    <row r="182" spans="2:15" x14ac:dyDescent="0.2">
      <c r="B182" s="180" t="s">
        <v>800</v>
      </c>
      <c r="C182" s="46" t="s">
        <v>801</v>
      </c>
      <c r="D182" s="46" t="s">
        <v>508</v>
      </c>
      <c r="E182" s="45">
        <v>0.18754999999999999</v>
      </c>
      <c r="F182" s="45">
        <v>0.36899999999999999</v>
      </c>
      <c r="G182" s="46">
        <v>2</v>
      </c>
      <c r="H182" s="46">
        <v>2</v>
      </c>
      <c r="I182" s="44">
        <v>1852.5</v>
      </c>
      <c r="J182" s="44">
        <f t="shared" si="4"/>
        <v>3705</v>
      </c>
      <c r="K182" s="44">
        <f t="shared" si="5"/>
        <v>3705</v>
      </c>
      <c r="L182" s="43" t="s">
        <v>348</v>
      </c>
      <c r="M182" s="48">
        <v>2727</v>
      </c>
      <c r="N182" s="48" t="s">
        <v>1297</v>
      </c>
      <c r="O182" s="48">
        <v>21</v>
      </c>
    </row>
    <row r="183" spans="2:15" x14ac:dyDescent="0.2">
      <c r="B183" s="180" t="s">
        <v>401</v>
      </c>
      <c r="C183" s="46" t="s">
        <v>1030</v>
      </c>
      <c r="D183" s="46" t="s">
        <v>216</v>
      </c>
      <c r="E183" s="45">
        <v>0.18754999999999999</v>
      </c>
      <c r="F183" s="45">
        <v>0.36899999999999999</v>
      </c>
      <c r="G183" s="46">
        <v>1</v>
      </c>
      <c r="H183" s="46">
        <v>1</v>
      </c>
      <c r="I183" s="44">
        <v>3500</v>
      </c>
      <c r="J183" s="44">
        <f t="shared" si="4"/>
        <v>3500</v>
      </c>
      <c r="K183" s="44">
        <f t="shared" si="5"/>
        <v>3500</v>
      </c>
      <c r="L183" s="43" t="s">
        <v>153</v>
      </c>
      <c r="M183" s="48">
        <v>9584</v>
      </c>
      <c r="N183" s="48" t="s">
        <v>1298</v>
      </c>
      <c r="O183" s="48">
        <v>21</v>
      </c>
    </row>
    <row r="184" spans="2:15" x14ac:dyDescent="0.2">
      <c r="B184" s="180" t="s">
        <v>896</v>
      </c>
      <c r="C184" s="46" t="s">
        <v>897</v>
      </c>
      <c r="D184" s="46" t="s">
        <v>482</v>
      </c>
      <c r="E184" s="45">
        <v>0.19964999999999999</v>
      </c>
      <c r="F184" s="45">
        <v>0.36899999999999999</v>
      </c>
      <c r="G184" s="46">
        <v>2</v>
      </c>
      <c r="H184" s="46">
        <v>2</v>
      </c>
      <c r="I184" s="44">
        <v>1430</v>
      </c>
      <c r="J184" s="44">
        <f t="shared" si="4"/>
        <v>2860</v>
      </c>
      <c r="K184" s="44">
        <f t="shared" si="5"/>
        <v>2860</v>
      </c>
      <c r="L184" s="43" t="s">
        <v>299</v>
      </c>
      <c r="M184" s="48">
        <v>8176</v>
      </c>
      <c r="N184" s="48" t="s">
        <v>1296</v>
      </c>
      <c r="O184" s="48">
        <v>21</v>
      </c>
    </row>
    <row r="185" spans="2:15" x14ac:dyDescent="0.2">
      <c r="B185" s="180" t="s">
        <v>898</v>
      </c>
      <c r="C185" s="46" t="s">
        <v>899</v>
      </c>
      <c r="D185" s="46" t="s">
        <v>482</v>
      </c>
      <c r="E185" s="45">
        <v>0.19964999999999999</v>
      </c>
      <c r="F185" s="45">
        <v>0.36899999999999999</v>
      </c>
      <c r="G185" s="46">
        <v>2</v>
      </c>
      <c r="H185" s="46">
        <v>2</v>
      </c>
      <c r="I185" s="44">
        <v>1430</v>
      </c>
      <c r="J185" s="44">
        <f t="shared" si="4"/>
        <v>2860</v>
      </c>
      <c r="K185" s="44">
        <f t="shared" si="5"/>
        <v>2860</v>
      </c>
      <c r="L185" s="43" t="s">
        <v>299</v>
      </c>
      <c r="M185" s="48">
        <v>8182</v>
      </c>
      <c r="N185" s="48" t="s">
        <v>1296</v>
      </c>
      <c r="O185" s="48">
        <v>21</v>
      </c>
    </row>
    <row r="186" spans="2:15" x14ac:dyDescent="0.2">
      <c r="B186" s="180" t="s">
        <v>653</v>
      </c>
      <c r="C186" s="46" t="s">
        <v>654</v>
      </c>
      <c r="D186" s="46" t="s">
        <v>482</v>
      </c>
      <c r="E186" s="45">
        <v>0.19964999999999999</v>
      </c>
      <c r="F186" s="45">
        <v>0.36899999999999999</v>
      </c>
      <c r="G186" s="46">
        <v>1</v>
      </c>
      <c r="H186" s="46">
        <v>1</v>
      </c>
      <c r="I186" s="44">
        <v>2800</v>
      </c>
      <c r="J186" s="44">
        <f t="shared" si="4"/>
        <v>2800</v>
      </c>
      <c r="K186" s="44">
        <f t="shared" si="5"/>
        <v>2800</v>
      </c>
      <c r="L186" s="43" t="s">
        <v>230</v>
      </c>
      <c r="M186" s="48">
        <v>5158</v>
      </c>
      <c r="N186" s="48" t="s">
        <v>1298</v>
      </c>
      <c r="O186" s="48">
        <v>21</v>
      </c>
    </row>
    <row r="187" spans="2:15" x14ac:dyDescent="0.2">
      <c r="B187" s="180" t="s">
        <v>820</v>
      </c>
      <c r="C187" s="46" t="s">
        <v>821</v>
      </c>
      <c r="D187" s="46" t="s">
        <v>229</v>
      </c>
      <c r="E187" s="45">
        <v>0.18754999999999999</v>
      </c>
      <c r="F187" s="45">
        <v>0.36899999999999999</v>
      </c>
      <c r="G187" s="46">
        <v>1</v>
      </c>
      <c r="H187" s="46">
        <v>1</v>
      </c>
      <c r="I187" s="44">
        <v>2600</v>
      </c>
      <c r="J187" s="44">
        <f t="shared" si="4"/>
        <v>2600</v>
      </c>
      <c r="K187" s="44">
        <f t="shared" si="5"/>
        <v>2600</v>
      </c>
      <c r="L187" s="43" t="s">
        <v>153</v>
      </c>
      <c r="M187" s="48">
        <v>3255</v>
      </c>
      <c r="N187" s="48" t="s">
        <v>1295</v>
      </c>
      <c r="O187" s="48">
        <v>21</v>
      </c>
    </row>
    <row r="188" spans="2:15" x14ac:dyDescent="0.2">
      <c r="B188" s="180" t="s">
        <v>826</v>
      </c>
      <c r="C188" s="46" t="s">
        <v>827</v>
      </c>
      <c r="D188" s="46" t="s">
        <v>152</v>
      </c>
      <c r="E188" s="45">
        <v>0.18754999999999999</v>
      </c>
      <c r="F188" s="45">
        <v>0.36899999999999999</v>
      </c>
      <c r="G188" s="46">
        <v>1</v>
      </c>
      <c r="H188" s="46">
        <v>1</v>
      </c>
      <c r="I188" s="44">
        <v>2600</v>
      </c>
      <c r="J188" s="44">
        <f t="shared" si="4"/>
        <v>2600</v>
      </c>
      <c r="K188" s="44">
        <f t="shared" si="5"/>
        <v>2600</v>
      </c>
      <c r="L188" s="43" t="s">
        <v>168</v>
      </c>
      <c r="M188" s="48">
        <v>3787</v>
      </c>
      <c r="N188" s="48" t="s">
        <v>1297</v>
      </c>
      <c r="O188" s="48">
        <v>21</v>
      </c>
    </row>
    <row r="189" spans="2:15" x14ac:dyDescent="0.2">
      <c r="B189" s="180" t="s">
        <v>403</v>
      </c>
      <c r="C189" s="46" t="s">
        <v>404</v>
      </c>
      <c r="D189" s="46" t="s">
        <v>216</v>
      </c>
      <c r="E189" s="45">
        <v>0.18754999999999999</v>
      </c>
      <c r="F189" s="45">
        <v>0.36899999999999999</v>
      </c>
      <c r="G189" s="46">
        <v>1</v>
      </c>
      <c r="H189" s="46">
        <v>1</v>
      </c>
      <c r="I189" s="44">
        <v>2390.46</v>
      </c>
      <c r="J189" s="44">
        <f t="shared" si="4"/>
        <v>2390.46</v>
      </c>
      <c r="K189" s="44">
        <f t="shared" si="5"/>
        <v>2390.46</v>
      </c>
      <c r="L189" s="43" t="s">
        <v>153</v>
      </c>
      <c r="M189" s="48">
        <v>6318</v>
      </c>
      <c r="N189" s="48" t="s">
        <v>1298</v>
      </c>
      <c r="O189" s="48">
        <v>21</v>
      </c>
    </row>
    <row r="190" spans="2:15" x14ac:dyDescent="0.2">
      <c r="B190" s="180" t="s">
        <v>940</v>
      </c>
      <c r="C190" s="46" t="s">
        <v>941</v>
      </c>
      <c r="D190" s="46" t="s">
        <v>152</v>
      </c>
      <c r="E190" s="45">
        <v>0.18754999999999999</v>
      </c>
      <c r="F190" s="45">
        <v>0.36899999999999999</v>
      </c>
      <c r="G190" s="46">
        <v>1</v>
      </c>
      <c r="H190" s="46">
        <v>1</v>
      </c>
      <c r="I190" s="44">
        <v>2339.9899999999998</v>
      </c>
      <c r="J190" s="44">
        <f t="shared" si="4"/>
        <v>2339.9899999999998</v>
      </c>
      <c r="K190" s="44">
        <f t="shared" si="5"/>
        <v>2339.9899999999998</v>
      </c>
      <c r="L190" s="43" t="s">
        <v>153</v>
      </c>
      <c r="M190" s="48">
        <v>3722</v>
      </c>
      <c r="N190" s="48" t="s">
        <v>1297</v>
      </c>
      <c r="O190" s="48">
        <v>21</v>
      </c>
    </row>
    <row r="191" spans="2:15" x14ac:dyDescent="0.2">
      <c r="B191" s="180" t="s">
        <v>712</v>
      </c>
      <c r="C191" s="46" t="s">
        <v>713</v>
      </c>
      <c r="D191" s="46" t="s">
        <v>216</v>
      </c>
      <c r="E191" s="45">
        <v>0.18754999999999999</v>
      </c>
      <c r="F191" s="45">
        <v>0.36899999999999999</v>
      </c>
      <c r="G191" s="46">
        <v>1</v>
      </c>
      <c r="H191" s="46">
        <v>1</v>
      </c>
      <c r="I191" s="44">
        <v>2266.69</v>
      </c>
      <c r="J191" s="44">
        <f t="shared" si="4"/>
        <v>2266.69</v>
      </c>
      <c r="K191" s="44">
        <f t="shared" si="5"/>
        <v>2266.69</v>
      </c>
      <c r="L191" s="43" t="s">
        <v>230</v>
      </c>
      <c r="M191" s="48">
        <v>6302</v>
      </c>
      <c r="N191" s="48" t="s">
        <v>1298</v>
      </c>
      <c r="O191" s="48">
        <v>21</v>
      </c>
    </row>
    <row r="192" spans="2:15" x14ac:dyDescent="0.2">
      <c r="B192" s="180" t="s">
        <v>836</v>
      </c>
      <c r="C192" s="46" t="s">
        <v>837</v>
      </c>
      <c r="D192" s="46" t="s">
        <v>152</v>
      </c>
      <c r="E192" s="45">
        <v>0.18754999999999999</v>
      </c>
      <c r="F192" s="45">
        <v>0.36899999999999999</v>
      </c>
      <c r="G192" s="46">
        <v>1</v>
      </c>
      <c r="H192" s="46">
        <v>1</v>
      </c>
      <c r="I192" s="44">
        <v>1989</v>
      </c>
      <c r="J192" s="44">
        <f t="shared" si="4"/>
        <v>1989</v>
      </c>
      <c r="K192" s="44">
        <f t="shared" si="5"/>
        <v>1989</v>
      </c>
      <c r="L192" s="43" t="s">
        <v>153</v>
      </c>
      <c r="M192" s="48">
        <v>3660</v>
      </c>
      <c r="N192" s="48" t="s">
        <v>1297</v>
      </c>
      <c r="O192" s="48">
        <v>21</v>
      </c>
    </row>
    <row r="193" spans="2:15" x14ac:dyDescent="0.2">
      <c r="B193" s="180" t="s">
        <v>838</v>
      </c>
      <c r="C193" s="46" t="s">
        <v>839</v>
      </c>
      <c r="D193" s="46" t="s">
        <v>152</v>
      </c>
      <c r="E193" s="45">
        <v>0.18754999999999999</v>
      </c>
      <c r="F193" s="45">
        <v>0.36899999999999999</v>
      </c>
      <c r="G193" s="46">
        <v>1</v>
      </c>
      <c r="H193" s="46">
        <v>1</v>
      </c>
      <c r="I193" s="44">
        <v>1729.01</v>
      </c>
      <c r="J193" s="44">
        <f t="shared" si="4"/>
        <v>1729.01</v>
      </c>
      <c r="K193" s="44">
        <f t="shared" si="5"/>
        <v>1729.01</v>
      </c>
      <c r="L193" s="43" t="s">
        <v>153</v>
      </c>
      <c r="M193" s="48">
        <v>8539</v>
      </c>
      <c r="N193" s="48" t="s">
        <v>1297</v>
      </c>
      <c r="O193" s="48">
        <v>21</v>
      </c>
    </row>
    <row r="194" spans="2:15" x14ac:dyDescent="0.2">
      <c r="B194" s="176" t="s">
        <v>840</v>
      </c>
      <c r="C194" s="41" t="s">
        <v>841</v>
      </c>
      <c r="D194" s="41" t="s">
        <v>233</v>
      </c>
      <c r="E194" s="40">
        <v>0.19359999999999999</v>
      </c>
      <c r="F194" s="40">
        <v>0.37509999999999999</v>
      </c>
      <c r="G194" s="41">
        <v>2</v>
      </c>
      <c r="H194" s="41">
        <v>2</v>
      </c>
      <c r="I194" s="39">
        <v>858</v>
      </c>
      <c r="J194" s="39">
        <f t="shared" si="4"/>
        <v>1716</v>
      </c>
      <c r="K194" s="39">
        <f t="shared" si="5"/>
        <v>1716</v>
      </c>
      <c r="L194" s="38" t="s">
        <v>503</v>
      </c>
      <c r="M194" s="48">
        <v>4957</v>
      </c>
      <c r="N194" s="48" t="s">
        <v>1298</v>
      </c>
      <c r="O194" s="48">
        <v>21</v>
      </c>
    </row>
  </sheetData>
  <autoFilter ref="A2:L233">
    <filterColumn colId="6">
      <filters blank="1">
        <filter val="1"/>
        <filter val="10"/>
        <filter val="12"/>
        <filter val="122"/>
        <filter val="13"/>
        <filter val="133"/>
        <filter val="137"/>
        <filter val="14"/>
        <filter val="143"/>
        <filter val="15"/>
        <filter val="151"/>
        <filter val="155"/>
        <filter val="16"/>
        <filter val="17"/>
        <filter val="174"/>
        <filter val="1745"/>
        <filter val="18"/>
        <filter val="184"/>
        <filter val="19"/>
        <filter val="190"/>
        <filter val="2"/>
        <filter val="22"/>
        <filter val="23"/>
        <filter val="236"/>
        <filter val="25"/>
        <filter val="256"/>
        <filter val="3"/>
        <filter val="30"/>
        <filter val="31"/>
        <filter val="32"/>
        <filter val="324"/>
        <filter val="33"/>
        <filter val="351"/>
        <filter val="36"/>
        <filter val="37"/>
        <filter val="38"/>
        <filter val="39"/>
        <filter val="4"/>
        <filter val="439"/>
        <filter val="5"/>
        <filter val="52"/>
        <filter val="54"/>
        <filter val="56"/>
        <filter val="57"/>
        <filter val="58"/>
        <filter val="6"/>
        <filter val="60"/>
        <filter val="62"/>
        <filter val="64"/>
        <filter val="68"/>
        <filter val="69"/>
        <filter val="7"/>
        <filter val="71"/>
        <filter val="72"/>
        <filter val="75"/>
        <filter val="76"/>
        <filter val="8"/>
        <filter val="9"/>
        <filter val="90"/>
      </filters>
    </filterColumn>
    <sortState ref="B3:L213">
      <sortCondition descending="1" ref="G2:G233"/>
    </sortState>
  </autoFilter>
  <sortState ref="B3:N180">
    <sortCondition ref="M11"/>
  </sortState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V553"/>
  <sheetViews>
    <sheetView tabSelected="1" workbookViewId="0">
      <pane ySplit="5" topLeftCell="A6" activePane="bottomLeft" state="frozen"/>
      <selection pane="bottomLeft" activeCell="AU194" sqref="AU194"/>
    </sheetView>
  </sheetViews>
  <sheetFormatPr baseColWidth="10" defaultRowHeight="15" x14ac:dyDescent="0.25"/>
  <cols>
    <col min="1" max="1" width="5" bestFit="1" customWidth="1"/>
    <col min="2" max="2" width="11.5703125" bestFit="1" customWidth="1"/>
    <col min="3" max="3" width="35.85546875" customWidth="1"/>
    <col min="4" max="4" width="14" style="126" bestFit="1" customWidth="1"/>
    <col min="5" max="5" width="14" style="5" bestFit="1" customWidth="1"/>
    <col min="6" max="6" width="13.28515625" hidden="1" customWidth="1"/>
    <col min="7" max="8" width="11.140625" hidden="1" customWidth="1"/>
    <col min="9" max="9" width="11.7109375" hidden="1" customWidth="1"/>
    <col min="10" max="10" width="12" hidden="1" customWidth="1"/>
    <col min="11" max="11" width="13.5703125" hidden="1" customWidth="1"/>
    <col min="12" max="12" width="16.7109375" style="31" bestFit="1" customWidth="1"/>
    <col min="13" max="13" width="13.28515625" hidden="1" customWidth="1"/>
    <col min="14" max="15" width="11.140625" hidden="1" customWidth="1"/>
    <col min="16" max="16" width="11.7109375" hidden="1" customWidth="1"/>
    <col min="17" max="17" width="10.140625" hidden="1" customWidth="1"/>
    <col min="18" max="18" width="12.140625" hidden="1" customWidth="1"/>
    <col min="19" max="19" width="13.5703125" hidden="1" customWidth="1"/>
    <col min="20" max="20" width="16.7109375" style="27" bestFit="1" customWidth="1"/>
    <col min="21" max="21" width="13.28515625" hidden="1" customWidth="1"/>
    <col min="22" max="23" width="11.140625" hidden="1" customWidth="1"/>
    <col min="24" max="24" width="11.7109375" hidden="1" customWidth="1"/>
    <col min="25" max="25" width="11.140625" hidden="1" customWidth="1"/>
    <col min="26" max="26" width="12.140625" hidden="1" customWidth="1"/>
    <col min="27" max="27" width="13.5703125" hidden="1" customWidth="1"/>
    <col min="28" max="28" width="15.5703125" style="23" bestFit="1" customWidth="1"/>
    <col min="29" max="29" width="13.28515625" hidden="1" customWidth="1"/>
    <col min="30" max="30" width="12.140625" hidden="1" customWidth="1"/>
    <col min="31" max="31" width="11.140625" hidden="1" customWidth="1"/>
    <col min="32" max="32" width="11.7109375" hidden="1" customWidth="1"/>
    <col min="33" max="33" width="11.140625" hidden="1" customWidth="1"/>
    <col min="34" max="35" width="13.5703125" hidden="1" customWidth="1"/>
    <col min="36" max="36" width="16.7109375" style="19" bestFit="1" customWidth="1"/>
    <col min="37" max="37" width="13.28515625" hidden="1" customWidth="1"/>
    <col min="38" max="38" width="12.140625" hidden="1" customWidth="1"/>
    <col min="39" max="39" width="11.140625" hidden="1" customWidth="1"/>
    <col min="40" max="40" width="11.7109375" hidden="1" customWidth="1"/>
    <col min="41" max="41" width="11.140625" hidden="1" customWidth="1"/>
    <col min="42" max="43" width="13.5703125" hidden="1" customWidth="1"/>
    <col min="44" max="44" width="16.7109375" style="123" bestFit="1" customWidth="1"/>
    <col min="45" max="45" width="13.5703125" bestFit="1" customWidth="1"/>
    <col min="46" max="46" width="10.7109375" bestFit="1" customWidth="1"/>
    <col min="47" max="47" width="17.28515625" customWidth="1"/>
    <col min="48" max="48" width="7.42578125" bestFit="1" customWidth="1"/>
  </cols>
  <sheetData>
    <row r="1" spans="1:48" ht="15.75" thickBot="1" x14ac:dyDescent="0.3">
      <c r="B1">
        <v>100</v>
      </c>
      <c r="C1">
        <v>0.08</v>
      </c>
      <c r="D1" s="127"/>
      <c r="E1" s="9" t="s">
        <v>1043</v>
      </c>
      <c r="J1">
        <v>1.08283588662349</v>
      </c>
      <c r="L1" s="34" t="s">
        <v>1043</v>
      </c>
      <c r="S1">
        <v>1.31027108554213</v>
      </c>
      <c r="T1" s="30" t="s">
        <v>1043</v>
      </c>
      <c r="AA1">
        <v>1.5144614614507801</v>
      </c>
      <c r="AB1" s="26" t="s">
        <v>1043</v>
      </c>
      <c r="AI1">
        <v>1.7937199978423899</v>
      </c>
      <c r="AJ1" s="22" t="s">
        <v>1043</v>
      </c>
      <c r="AQ1">
        <v>2.0964344404753001</v>
      </c>
      <c r="AR1" s="124" t="s">
        <v>1043</v>
      </c>
    </row>
    <row r="2" spans="1:48" x14ac:dyDescent="0.25">
      <c r="B2" t="s">
        <v>1042</v>
      </c>
      <c r="C2" s="150">
        <v>10</v>
      </c>
      <c r="E2" s="8" t="s">
        <v>1270</v>
      </c>
      <c r="F2" s="150">
        <v>3.39E-2</v>
      </c>
      <c r="G2" s="150">
        <v>2.5000000000000001E-2</v>
      </c>
      <c r="H2" s="150">
        <v>1.2E-2</v>
      </c>
      <c r="I2" s="150">
        <v>1.5E-3</v>
      </c>
      <c r="J2" s="150">
        <v>3.0000000000000001E-3</v>
      </c>
      <c r="K2" s="150"/>
      <c r="L2" s="16" t="s">
        <v>1288</v>
      </c>
      <c r="M2" s="150">
        <v>3.39E-2</v>
      </c>
      <c r="N2" s="150">
        <v>2.5000000000000001E-2</v>
      </c>
      <c r="O2" s="150">
        <v>1.2E-2</v>
      </c>
      <c r="P2" s="150">
        <v>1.5E-3</v>
      </c>
      <c r="Q2" s="150">
        <v>3.0000000000000001E-3</v>
      </c>
      <c r="R2" s="150">
        <v>0.13250000000000001</v>
      </c>
      <c r="S2" s="150"/>
      <c r="T2" s="15" t="s">
        <v>1272</v>
      </c>
      <c r="U2" s="150">
        <v>3.39E-2</v>
      </c>
      <c r="V2" s="150">
        <v>2.5000000000000001E-2</v>
      </c>
      <c r="W2" s="150">
        <v>1.2E-2</v>
      </c>
      <c r="X2" s="150">
        <v>1.5E-3</v>
      </c>
      <c r="Y2" s="150">
        <v>3.0000000000000001E-3</v>
      </c>
      <c r="Z2" s="150">
        <v>0.2175</v>
      </c>
      <c r="AA2" s="150"/>
      <c r="AB2" s="14" t="s">
        <v>1275</v>
      </c>
      <c r="AC2" s="150">
        <v>3.39E-2</v>
      </c>
      <c r="AD2" s="150">
        <v>2.5000000000000001E-2</v>
      </c>
      <c r="AE2" s="150">
        <v>1.2E-2</v>
      </c>
      <c r="AF2" s="150">
        <v>1.5E-3</v>
      </c>
      <c r="AG2" s="150">
        <v>3.0000000000000001E-3</v>
      </c>
      <c r="AH2" s="150">
        <v>0.30249999999999999</v>
      </c>
      <c r="AI2" s="150"/>
      <c r="AJ2" s="13" t="s">
        <v>1276</v>
      </c>
      <c r="AK2" s="150">
        <v>3.39E-2</v>
      </c>
      <c r="AL2" s="150">
        <v>2.5000000000000001E-2</v>
      </c>
      <c r="AM2" s="150">
        <v>1.2E-2</v>
      </c>
      <c r="AN2" s="150">
        <v>1.5E-3</v>
      </c>
      <c r="AO2" s="150">
        <v>3.0000000000000001E-3</v>
      </c>
      <c r="AP2" s="150">
        <v>0.36899999999999999</v>
      </c>
      <c r="AQ2" s="150"/>
      <c r="AR2" s="12" t="s">
        <v>1281</v>
      </c>
      <c r="AS2" s="11" t="s">
        <v>1674</v>
      </c>
    </row>
    <row r="3" spans="1:48" x14ac:dyDescent="0.25">
      <c r="E3" s="8" t="s">
        <v>1271</v>
      </c>
      <c r="F3" s="150">
        <f>F2*1.21</f>
        <v>4.1019E-2</v>
      </c>
      <c r="G3" s="150">
        <f>G2*1.21</f>
        <v>3.0249999999999999E-2</v>
      </c>
      <c r="H3" s="150">
        <f>H2*1.21</f>
        <v>1.452E-2</v>
      </c>
      <c r="I3" s="150">
        <f>I2*1.21</f>
        <v>1.815E-3</v>
      </c>
      <c r="J3" s="150">
        <f>J2*1.21</f>
        <v>3.63E-3</v>
      </c>
      <c r="K3" s="150"/>
      <c r="L3" s="16" t="s">
        <v>1285</v>
      </c>
      <c r="M3" s="150">
        <f t="shared" ref="M3:R3" si="0">M2*1.21</f>
        <v>4.1019E-2</v>
      </c>
      <c r="N3" s="150">
        <f t="shared" si="0"/>
        <v>3.0249999999999999E-2</v>
      </c>
      <c r="O3" s="150">
        <f t="shared" si="0"/>
        <v>1.452E-2</v>
      </c>
      <c r="P3" s="150">
        <f t="shared" si="0"/>
        <v>1.815E-3</v>
      </c>
      <c r="Q3" s="150">
        <f t="shared" si="0"/>
        <v>3.63E-3</v>
      </c>
      <c r="R3" s="150">
        <f t="shared" si="0"/>
        <v>0.160325</v>
      </c>
      <c r="S3" s="150"/>
      <c r="T3" s="29" t="s">
        <v>1273</v>
      </c>
      <c r="U3" s="150">
        <f t="shared" ref="U3:Z3" si="1">U2*1.21</f>
        <v>4.1019E-2</v>
      </c>
      <c r="V3" s="150">
        <f t="shared" si="1"/>
        <v>3.0249999999999999E-2</v>
      </c>
      <c r="W3" s="150">
        <f t="shared" si="1"/>
        <v>1.452E-2</v>
      </c>
      <c r="X3" s="150">
        <f t="shared" si="1"/>
        <v>1.815E-3</v>
      </c>
      <c r="Y3" s="150">
        <f t="shared" si="1"/>
        <v>3.63E-3</v>
      </c>
      <c r="Z3" s="150">
        <f t="shared" si="1"/>
        <v>0.26317499999999999</v>
      </c>
      <c r="AA3" s="150"/>
      <c r="AB3" s="25" t="s">
        <v>1273</v>
      </c>
      <c r="AC3" s="150">
        <f t="shared" ref="AC3:AH3" si="2">AC2*1.21</f>
        <v>4.1019E-2</v>
      </c>
      <c r="AD3" s="150">
        <f t="shared" si="2"/>
        <v>3.0249999999999999E-2</v>
      </c>
      <c r="AE3" s="150">
        <f t="shared" si="2"/>
        <v>1.452E-2</v>
      </c>
      <c r="AF3" s="150">
        <f t="shared" si="2"/>
        <v>1.815E-3</v>
      </c>
      <c r="AG3" s="150">
        <f t="shared" si="2"/>
        <v>3.63E-3</v>
      </c>
      <c r="AH3" s="150">
        <f t="shared" si="2"/>
        <v>0.36602499999999999</v>
      </c>
      <c r="AI3" s="150"/>
      <c r="AJ3" s="21" t="s">
        <v>1273</v>
      </c>
      <c r="AK3" s="150">
        <f t="shared" ref="AK3:AP3" si="3">AK2*1.21</f>
        <v>4.1019E-2</v>
      </c>
      <c r="AL3" s="150">
        <f t="shared" si="3"/>
        <v>3.0249999999999999E-2</v>
      </c>
      <c r="AM3" s="150">
        <f t="shared" si="3"/>
        <v>1.452E-2</v>
      </c>
      <c r="AN3" s="150">
        <f t="shared" si="3"/>
        <v>1.815E-3</v>
      </c>
      <c r="AO3" s="150">
        <f t="shared" si="3"/>
        <v>3.63E-3</v>
      </c>
      <c r="AP3" s="150">
        <f t="shared" si="3"/>
        <v>0.44649</v>
      </c>
      <c r="AQ3" s="150"/>
      <c r="AR3" s="18" t="s">
        <v>1273</v>
      </c>
      <c r="AS3" s="35" t="s">
        <v>1075</v>
      </c>
    </row>
    <row r="4" spans="1:48" ht="15.75" thickBot="1" x14ac:dyDescent="0.3">
      <c r="C4" s="147">
        <v>106831.70731707316</v>
      </c>
      <c r="E4" s="8" t="s">
        <v>1279</v>
      </c>
      <c r="F4" s="150"/>
      <c r="G4" s="150"/>
      <c r="H4" s="150"/>
      <c r="I4" s="150"/>
      <c r="J4" s="150"/>
      <c r="K4" s="150"/>
      <c r="L4" s="16" t="s">
        <v>1277</v>
      </c>
      <c r="M4" s="150"/>
      <c r="N4" s="150"/>
      <c r="O4" s="150"/>
      <c r="P4" s="150"/>
      <c r="Q4" s="150"/>
      <c r="R4" s="150"/>
      <c r="S4" s="150"/>
      <c r="T4" s="29" t="s">
        <v>1274</v>
      </c>
      <c r="U4" s="150"/>
      <c r="V4" s="150"/>
      <c r="W4" s="150"/>
      <c r="X4" s="150"/>
      <c r="Y4" s="150"/>
      <c r="Z4" s="150"/>
      <c r="AA4" s="150"/>
      <c r="AB4" s="25" t="s">
        <v>1274</v>
      </c>
      <c r="AC4" s="150"/>
      <c r="AD4" s="150"/>
      <c r="AE4" s="150"/>
      <c r="AF4" s="150"/>
      <c r="AG4" s="150"/>
      <c r="AH4" s="150"/>
      <c r="AI4" s="150"/>
      <c r="AJ4" s="21" t="s">
        <v>1274</v>
      </c>
      <c r="AK4" s="150"/>
      <c r="AL4" s="150"/>
      <c r="AM4" s="150"/>
      <c r="AN4" s="150"/>
      <c r="AO4" s="150"/>
      <c r="AP4" s="150"/>
      <c r="AQ4" s="150"/>
      <c r="AR4" s="18" t="s">
        <v>1274</v>
      </c>
      <c r="AS4" s="35" t="s">
        <v>1076</v>
      </c>
    </row>
    <row r="5" spans="1:48" ht="15.75" thickBot="1" x14ac:dyDescent="0.3">
      <c r="A5" t="s">
        <v>1089</v>
      </c>
      <c r="B5" t="s">
        <v>0</v>
      </c>
      <c r="C5" t="s">
        <v>1</v>
      </c>
      <c r="D5" s="35" t="s">
        <v>918</v>
      </c>
      <c r="E5" s="7" t="s">
        <v>1278</v>
      </c>
      <c r="F5" s="150" t="s">
        <v>1041</v>
      </c>
      <c r="G5" s="150" t="s">
        <v>1037</v>
      </c>
      <c r="H5" s="150" t="s">
        <v>1038</v>
      </c>
      <c r="I5" s="150" t="s">
        <v>1039</v>
      </c>
      <c r="J5" s="150" t="s">
        <v>1040</v>
      </c>
      <c r="K5" s="150" t="s">
        <v>1046</v>
      </c>
      <c r="L5" s="33">
        <f ca="1">L6/D6</f>
        <v>1.3284811396686389</v>
      </c>
      <c r="M5" s="150" t="s">
        <v>1041</v>
      </c>
      <c r="N5" s="150" t="s">
        <v>1037</v>
      </c>
      <c r="O5" s="150" t="s">
        <v>1038</v>
      </c>
      <c r="P5" s="150" t="s">
        <v>1039</v>
      </c>
      <c r="Q5" s="150" t="s">
        <v>1040</v>
      </c>
      <c r="R5" s="150" t="s">
        <v>1269</v>
      </c>
      <c r="S5" s="150" t="s">
        <v>1047</v>
      </c>
      <c r="T5" s="29">
        <f ca="1">T6/D6</f>
        <v>1.6075505749968206</v>
      </c>
      <c r="U5" s="150" t="s">
        <v>1041</v>
      </c>
      <c r="V5" s="150" t="s">
        <v>1037</v>
      </c>
      <c r="W5" s="150" t="s">
        <v>1038</v>
      </c>
      <c r="X5" s="150" t="s">
        <v>1039</v>
      </c>
      <c r="Y5" s="150" t="s">
        <v>1040</v>
      </c>
      <c r="Z5" s="150" t="s">
        <v>1268</v>
      </c>
      <c r="AA5" s="150" t="s">
        <v>1048</v>
      </c>
      <c r="AB5" s="25">
        <f ca="1">AB6/D6</f>
        <v>1.8740716732820848</v>
      </c>
      <c r="AC5" s="150" t="s">
        <v>1041</v>
      </c>
      <c r="AD5" s="150" t="s">
        <v>1037</v>
      </c>
      <c r="AE5" s="150" t="s">
        <v>1038</v>
      </c>
      <c r="AF5" s="150" t="s">
        <v>1039</v>
      </c>
      <c r="AG5" s="150" t="s">
        <v>1040</v>
      </c>
      <c r="AH5" s="150" t="s">
        <v>1267</v>
      </c>
      <c r="AI5" s="150" t="s">
        <v>1049</v>
      </c>
      <c r="AJ5" s="21">
        <f ca="1">AJ6/D6</f>
        <v>2.219749527430992</v>
      </c>
      <c r="AK5" s="150" t="s">
        <v>1041</v>
      </c>
      <c r="AL5" s="150" t="s">
        <v>1037</v>
      </c>
      <c r="AM5" s="150" t="s">
        <v>1038</v>
      </c>
      <c r="AN5" s="150" t="s">
        <v>1039</v>
      </c>
      <c r="AO5" s="150" t="s">
        <v>1040</v>
      </c>
      <c r="AP5" s="150" t="s">
        <v>1280</v>
      </c>
      <c r="AQ5" s="150" t="s">
        <v>1266</v>
      </c>
      <c r="AR5" s="18">
        <f ca="1">AR6/D6</f>
        <v>2.5942720891099267</v>
      </c>
      <c r="AS5" s="10" t="s">
        <v>1074</v>
      </c>
      <c r="AT5" t="s">
        <v>2</v>
      </c>
      <c r="AU5" t="s">
        <v>1088</v>
      </c>
      <c r="AV5" t="s">
        <v>3</v>
      </c>
    </row>
    <row r="6" spans="1:48" x14ac:dyDescent="0.25">
      <c r="A6" s="48">
        <f>INDEX('stock fisico '!M:M, MATCH(B6, 'stock fisico '!B:B, 0))</f>
        <v>9839</v>
      </c>
      <c r="B6" s="47" t="s">
        <v>1174</v>
      </c>
      <c r="C6" s="46" t="str">
        <f>INDEX('stock fisico '!C:C, MATCH(B6, 'stock fisico '!B:B, 0))</f>
        <v>AIRE ACONDICIONADO ALASKA 2650W ASE26WCAU EAN 7796885016238</v>
      </c>
      <c r="D6" s="44">
        <f>INDEX('stock fisico '!I:I, MATCH(B6, 'stock fisico '!B:B, 0))</f>
        <v>483500</v>
      </c>
      <c r="E6" s="6">
        <f ca="1">PrecioConMargen(D6,B6, AV6, AU6, AT6)</f>
        <v>589634.14634146343</v>
      </c>
      <c r="F6" s="148">
        <f t="shared" ref="F6:F69" ca="1" si="4">K6*$F$3</f>
        <v>26189.688622381975</v>
      </c>
      <c r="G6" s="148">
        <f t="shared" ref="G6:G69" ca="1" si="5">K6*$G$2</f>
        <v>15961.925340928581</v>
      </c>
      <c r="H6" s="148">
        <f t="shared" ref="H6:H69" ca="1" si="6">K6*$H$2</f>
        <v>7661.7241636457184</v>
      </c>
      <c r="I6" s="148">
        <f t="shared" ref="I6:I69" ca="1" si="7">K6*$I$2</f>
        <v>957.7155204557148</v>
      </c>
      <c r="J6" s="148">
        <f t="shared" ref="J6:J69" ca="1" si="8">K6*$J$2</f>
        <v>1915.4310409114296</v>
      </c>
      <c r="K6" s="148">
        <f t="shared" ref="K6:K69" ca="1" si="9">E6*$J$1</f>
        <v>638477.01363714319</v>
      </c>
      <c r="L6" s="32">
        <f ca="1">F6+H6+J6+E6+G6+I6</f>
        <v>642320.63102978689</v>
      </c>
      <c r="M6" s="148">
        <f t="shared" ref="M6:M69" ca="1" si="10">S6*$M$3</f>
        <v>31690.482523867984</v>
      </c>
      <c r="N6" s="148">
        <f t="shared" ref="N6:N69" ca="1" si="11">S6*$N$2</f>
        <v>19314.514324988409</v>
      </c>
      <c r="O6" s="148">
        <f t="shared" ref="O6:O69" ca="1" si="12">S6*$O$2</f>
        <v>9270.9668759944379</v>
      </c>
      <c r="P6" s="148">
        <f t="shared" ref="P6:P69" ca="1" si="13">S6*$P$2</f>
        <v>1158.8708594993047</v>
      </c>
      <c r="Q6" s="148">
        <f t="shared" ref="Q6:Q69" ca="1" si="14">S6*$Q$2</f>
        <v>2317.7417189986095</v>
      </c>
      <c r="R6" s="148">
        <f t="shared" ref="R6:R69" ca="1" si="15">S6*$R$3</f>
        <v>123863.98036615067</v>
      </c>
      <c r="S6" s="148">
        <f t="shared" ref="S6:S69" ca="1" si="16">E6*$S$1</f>
        <v>772580.57299953641</v>
      </c>
      <c r="T6" s="28">
        <f ca="1">R6+Q6+O6+M6+E6+N6+P6</f>
        <v>777250.70301096281</v>
      </c>
      <c r="U6" s="148">
        <f t="shared" ref="U6:U69" ca="1" si="17">AA6*$U$3</f>
        <v>36629.072416201408</v>
      </c>
      <c r="V6" s="148">
        <f t="shared" ref="V6:V69" ca="1" si="18">AA6*$V$3</f>
        <v>27012.590277434669</v>
      </c>
      <c r="W6" s="148">
        <f t="shared" ref="W6:W69" ca="1" si="19">AA6*$W$3</f>
        <v>12966.04333316864</v>
      </c>
      <c r="X6" s="148">
        <f t="shared" ref="X6:X69" ca="1" si="20">AA6*$X$3</f>
        <v>1620.75541664608</v>
      </c>
      <c r="Y6" s="148">
        <f t="shared" ref="Y6:Y69" ca="1" si="21">AA6*$Y$3</f>
        <v>3241.51083329216</v>
      </c>
      <c r="Z6" s="148">
        <f t="shared" ref="Z6:Z69" ca="1" si="22">AA6*$Z$3</f>
        <v>235009.53541368162</v>
      </c>
      <c r="AA6" s="148">
        <f t="shared" ref="AA6:AA69" ca="1" si="23">E6*$AA$1</f>
        <v>892978.19098957581</v>
      </c>
      <c r="AB6" s="24">
        <f ca="1">U6+W6+Y6+Z6+E6+X6+V6</f>
        <v>906113.654031888</v>
      </c>
      <c r="AC6" s="148">
        <f t="shared" ref="AC6:AC69" ca="1" si="24">AI6*$AC$3</f>
        <v>43383.276080474141</v>
      </c>
      <c r="AD6" s="148">
        <f t="shared" ref="AD6:AD69" ca="1" si="25">AI6*$AD$3</f>
        <v>31993.566431028128</v>
      </c>
      <c r="AE6" s="148">
        <f t="shared" ref="AE6:AE69" ca="1" si="26">AI6*$AE$3</f>
        <v>15356.911886893502</v>
      </c>
      <c r="AF6" s="148">
        <f t="shared" ref="AF6:AF69" ca="1" si="27">AI6*$AF$3</f>
        <v>1919.6139858616878</v>
      </c>
      <c r="AG6" s="148">
        <f t="shared" ref="AG6:AG69" ca="1" si="28">AI6*$AG$3</f>
        <v>3839.2279717233755</v>
      </c>
      <c r="AH6" s="148">
        <f t="shared" ref="AH6:AH69" ca="1" si="29">AI6*$AH$3</f>
        <v>387122.15381544037</v>
      </c>
      <c r="AI6" s="148">
        <f t="shared" ref="AI6:AI69" ca="1" si="30">E6*$AI$1</f>
        <v>1057638.5597034092</v>
      </c>
      <c r="AJ6" s="20">
        <f ca="1">AC6+AE6+AG6+AH6+E6+AD6+AF6</f>
        <v>1073248.8965128846</v>
      </c>
      <c r="AK6" s="148">
        <f t="shared" ref="AK6:AK69" ca="1" si="31">AQ6*$AK$3</f>
        <v>50704.78905579212</v>
      </c>
      <c r="AL6" s="148">
        <f t="shared" ref="AL6:AL69" ca="1" si="32">AQ6*$AL$3</f>
        <v>37392.912283032536</v>
      </c>
      <c r="AM6" s="148">
        <f t="shared" ref="AM6:AM69" ca="1" si="33">AQ6*$AM$3</f>
        <v>17948.597895855619</v>
      </c>
      <c r="AN6" s="148">
        <f t="shared" ref="AN6:AN69" ca="1" si="34">AQ6*$AN$3</f>
        <v>2243.5747369819524</v>
      </c>
      <c r="AO6" s="148">
        <f t="shared" ref="AO6:AO69" ca="1" si="35">AQ6*$AO$3</f>
        <v>4487.1494739639047</v>
      </c>
      <c r="AP6" s="148">
        <f t="shared" ref="AP6:AP69" ca="1" si="36">AQ6*$AP$3</f>
        <v>551919.38529756025</v>
      </c>
      <c r="AQ6" s="148">
        <f t="shared" ref="AQ6:AQ69" ca="1" si="37">E6*$AQ$1</f>
        <v>1236129.3316704971</v>
      </c>
      <c r="AR6" s="17">
        <f ca="1">AK6+AM6+AO6+AP6+E6+AL6+AN6</f>
        <v>1254330.5550846495</v>
      </c>
      <c r="AS6" s="148">
        <f t="shared" ref="AS6:AS69" ca="1" si="38">L6/1.21</f>
        <v>530843.49671883218</v>
      </c>
      <c r="AT6" s="48" t="str">
        <f>INDEX('stock fisico '!N:N, MATCH(B6, 'stock fisico '!B:B, 0))</f>
        <v>ELECTRODOMESTICOS Y AIRES ACOND</v>
      </c>
      <c r="AU6" s="46" t="str">
        <f>INDEX('stock fisico '!D:D, MATCH(B6, 'stock fisico '!B:B, 0))</f>
        <v>Aires acondicionados</v>
      </c>
      <c r="AV6" s="43" t="str">
        <f>INDEX('stock fisico '!L:L, MATCH(B6, 'stock fisico '!B:B, 0))</f>
        <v>Alaska</v>
      </c>
    </row>
    <row r="7" spans="1:48" x14ac:dyDescent="0.25">
      <c r="A7" s="48">
        <f>INDEX('stock fisico '!M:M, MATCH(B7, 'stock fisico '!B:B, 0))</f>
        <v>9977</v>
      </c>
      <c r="B7" s="47" t="s">
        <v>1629</v>
      </c>
      <c r="C7" s="46" t="str">
        <f>INDEX('stock fisico '!C:C, MATCH(B7, 'stock fisico '!B:B, 0))</f>
        <v>LAVARROPAS PHILCO 94PHLF8014PI2 – 8 KG CARGA FRONTAL GRIS INVERTER</v>
      </c>
      <c r="D7" s="44">
        <f>INDEX('stock fisico '!I:I, MATCH(B7, 'stock fisico '!B:B, 0))</f>
        <v>457296</v>
      </c>
      <c r="E7" s="6">
        <f t="shared" ref="E7:E70" ca="1" si="39">PrecioConMargen(D7,B7, AV7, AU7, AT7)</f>
        <v>557678.04878048785</v>
      </c>
      <c r="F7" s="148">
        <f t="shared" ca="1" si="4"/>
        <v>24770.299582752406</v>
      </c>
      <c r="G7" s="148">
        <f t="shared" ca="1" si="5"/>
        <v>15096.845110041937</v>
      </c>
      <c r="H7" s="148">
        <f t="shared" ca="1" si="6"/>
        <v>7246.4856528201299</v>
      </c>
      <c r="I7" s="148">
        <f t="shared" ca="1" si="7"/>
        <v>905.81070660251623</v>
      </c>
      <c r="J7" s="148">
        <f t="shared" ca="1" si="8"/>
        <v>1811.6214132050325</v>
      </c>
      <c r="K7" s="148">
        <f t="shared" ca="1" si="9"/>
        <v>603873.80440167745</v>
      </c>
      <c r="L7" s="32">
        <f t="shared" ref="L7:L69" ca="1" si="40">F7+H7+J7+E7</f>
        <v>591506.45542926539</v>
      </c>
      <c r="M7" s="148">
        <f t="shared" ca="1" si="10"/>
        <v>29972.96979572851</v>
      </c>
      <c r="N7" s="148">
        <f t="shared" ca="1" si="11"/>
        <v>18267.735558965669</v>
      </c>
      <c r="O7" s="148">
        <f t="shared" ca="1" si="12"/>
        <v>8768.5130683035204</v>
      </c>
      <c r="P7" s="148">
        <f t="shared" ca="1" si="13"/>
        <v>1096.0641335379401</v>
      </c>
      <c r="Q7" s="148">
        <f t="shared" ca="1" si="14"/>
        <v>2192.1282670758801</v>
      </c>
      <c r="R7" s="148">
        <f t="shared" ca="1" si="15"/>
        <v>117150.98813964683</v>
      </c>
      <c r="S7" s="148">
        <f t="shared" ca="1" si="16"/>
        <v>730709.42235862673</v>
      </c>
      <c r="T7" s="28">
        <f t="shared" ref="T7:T69" ca="1" si="41">R7+Q7+O7+M7+E7</f>
        <v>715762.64805124258</v>
      </c>
      <c r="U7" s="148">
        <f t="shared" ca="1" si="17"/>
        <v>34643.905480122528</v>
      </c>
      <c r="V7" s="148">
        <f t="shared" ca="1" si="18"/>
        <v>25548.602861447293</v>
      </c>
      <c r="W7" s="148">
        <f t="shared" ca="1" si="19"/>
        <v>12263.3293734947</v>
      </c>
      <c r="X7" s="148">
        <f t="shared" ca="1" si="20"/>
        <v>1532.9161716868375</v>
      </c>
      <c r="Y7" s="148">
        <f t="shared" ca="1" si="21"/>
        <v>3065.832343373675</v>
      </c>
      <c r="Z7" s="148">
        <f t="shared" ca="1" si="22"/>
        <v>222272.84489459143</v>
      </c>
      <c r="AA7" s="148">
        <f t="shared" ca="1" si="23"/>
        <v>844581.91277511709</v>
      </c>
      <c r="AB7" s="24">
        <f t="shared" ref="AB7:AB69" ca="1" si="42">U7+W7+Y7+Z7+E7</f>
        <v>829923.96087207017</v>
      </c>
      <c r="AC7" s="148">
        <f t="shared" ca="1" si="24"/>
        <v>41032.055053767333</v>
      </c>
      <c r="AD7" s="148">
        <f t="shared" ca="1" si="25"/>
        <v>30259.627620772368</v>
      </c>
      <c r="AE7" s="148">
        <f t="shared" ca="1" si="26"/>
        <v>14524.621257970737</v>
      </c>
      <c r="AF7" s="148">
        <f t="shared" ca="1" si="27"/>
        <v>1815.5776572463421</v>
      </c>
      <c r="AG7" s="148">
        <f t="shared" ca="1" si="28"/>
        <v>3631.1553144926843</v>
      </c>
      <c r="AH7" s="148">
        <f t="shared" ca="1" si="29"/>
        <v>366141.49421134562</v>
      </c>
      <c r="AI7" s="148">
        <f t="shared" ca="1" si="30"/>
        <v>1000318.2684552849</v>
      </c>
      <c r="AJ7" s="20">
        <f t="shared" ref="AJ7:AJ69" ca="1" si="43">AC7+AE7+AG7+AH7+E7</f>
        <v>983007.37461806415</v>
      </c>
      <c r="AK7" s="148">
        <f t="shared" ca="1" si="31"/>
        <v>47956.767768474689</v>
      </c>
      <c r="AL7" s="148">
        <f t="shared" ca="1" si="32"/>
        <v>35366.347911854493</v>
      </c>
      <c r="AM7" s="148">
        <f t="shared" ca="1" si="33"/>
        <v>16975.846997690158</v>
      </c>
      <c r="AN7" s="148">
        <f t="shared" ca="1" si="34"/>
        <v>2121.9808747112697</v>
      </c>
      <c r="AO7" s="148">
        <f t="shared" ca="1" si="35"/>
        <v>4243.9617494225395</v>
      </c>
      <c r="AP7" s="148">
        <f t="shared" ca="1" si="36"/>
        <v>522007.2951789723</v>
      </c>
      <c r="AQ7" s="148">
        <f t="shared" ca="1" si="37"/>
        <v>1169135.4681604791</v>
      </c>
      <c r="AR7" s="17">
        <f t="shared" ref="AR7:AR69" ca="1" si="44">AK7+AM7+AO7+AP7+E7</f>
        <v>1148861.9204750475</v>
      </c>
      <c r="AS7" s="148">
        <f t="shared" ca="1" si="38"/>
        <v>488848.31027212017</v>
      </c>
      <c r="AT7" s="48" t="str">
        <f>INDEX('stock fisico '!N:N, MATCH(B7, 'stock fisico '!B:B, 0))</f>
        <v>ELECTRODOMESTICOS Y AIRES ACOND</v>
      </c>
      <c r="AU7" s="46" t="str">
        <f>INDEX('stock fisico '!D:D, MATCH(B7, 'stock fisico '!B:B, 0))</f>
        <v>Lavarropas</v>
      </c>
      <c r="AV7" s="43" t="str">
        <f>INDEX('stock fisico '!L:L, MATCH(B7, 'stock fisico '!B:B, 0))</f>
        <v>Philco</v>
      </c>
    </row>
    <row r="8" spans="1:48" x14ac:dyDescent="0.25">
      <c r="A8" s="48">
        <f>INDEX('stock fisico '!M:M, MATCH(B8, 'stock fisico '!B:B, 0))</f>
        <v>2820</v>
      </c>
      <c r="B8" s="47" t="s">
        <v>1022</v>
      </c>
      <c r="C8" s="46" t="str">
        <f>INDEX('stock fisico '!C:C, MATCH(B8, 'stock fisico '!B:B, 0))</f>
        <v>AIRE ACONDICIONADO SPLIT 2700W F/C ALASKA ASE26WCCS/ ACS26WWCCS  EAN:  7796885455242</v>
      </c>
      <c r="D8" s="44">
        <f>INDEX('stock fisico '!I:I, MATCH(B8, 'stock fisico '!B:B, 0))</f>
        <v>483500</v>
      </c>
      <c r="E8" s="6">
        <f t="shared" ca="1" si="39"/>
        <v>589634.14634146343</v>
      </c>
      <c r="F8" s="148">
        <f t="shared" ca="1" si="4"/>
        <v>26189.688622381975</v>
      </c>
      <c r="G8" s="148">
        <f t="shared" ca="1" si="5"/>
        <v>15961.925340928581</v>
      </c>
      <c r="H8" s="148">
        <f t="shared" ca="1" si="6"/>
        <v>7661.7241636457184</v>
      </c>
      <c r="I8" s="148">
        <f t="shared" ca="1" si="7"/>
        <v>957.7155204557148</v>
      </c>
      <c r="J8" s="148">
        <f t="shared" ca="1" si="8"/>
        <v>1915.4310409114296</v>
      </c>
      <c r="K8" s="148">
        <f t="shared" ca="1" si="9"/>
        <v>638477.01363714319</v>
      </c>
      <c r="L8" s="32">
        <f t="shared" ca="1" si="40"/>
        <v>625400.99016840255</v>
      </c>
      <c r="M8" s="148">
        <f t="shared" ca="1" si="10"/>
        <v>31690.482523867984</v>
      </c>
      <c r="N8" s="148">
        <f t="shared" ca="1" si="11"/>
        <v>19314.514324988409</v>
      </c>
      <c r="O8" s="148">
        <f t="shared" ca="1" si="12"/>
        <v>9270.9668759944379</v>
      </c>
      <c r="P8" s="148">
        <f t="shared" ca="1" si="13"/>
        <v>1158.8708594993047</v>
      </c>
      <c r="Q8" s="148">
        <f t="shared" ca="1" si="14"/>
        <v>2317.7417189986095</v>
      </c>
      <c r="R8" s="148">
        <f t="shared" ca="1" si="15"/>
        <v>123863.98036615067</v>
      </c>
      <c r="S8" s="148">
        <f t="shared" ca="1" si="16"/>
        <v>772580.57299953641</v>
      </c>
      <c r="T8" s="28">
        <f t="shared" ca="1" si="41"/>
        <v>756777.31782647513</v>
      </c>
      <c r="U8" s="148">
        <f t="shared" ca="1" si="17"/>
        <v>36629.072416201408</v>
      </c>
      <c r="V8" s="148">
        <f t="shared" ca="1" si="18"/>
        <v>27012.590277434669</v>
      </c>
      <c r="W8" s="148">
        <f t="shared" ca="1" si="19"/>
        <v>12966.04333316864</v>
      </c>
      <c r="X8" s="148">
        <f t="shared" ca="1" si="20"/>
        <v>1620.75541664608</v>
      </c>
      <c r="Y8" s="148">
        <f t="shared" ca="1" si="21"/>
        <v>3241.51083329216</v>
      </c>
      <c r="Z8" s="148">
        <f t="shared" ca="1" si="22"/>
        <v>235009.53541368162</v>
      </c>
      <c r="AA8" s="148">
        <f t="shared" ca="1" si="23"/>
        <v>892978.19098957581</v>
      </c>
      <c r="AB8" s="24">
        <f t="shared" ca="1" si="42"/>
        <v>877480.30833780719</v>
      </c>
      <c r="AC8" s="148">
        <f t="shared" ca="1" si="24"/>
        <v>43383.276080474141</v>
      </c>
      <c r="AD8" s="148">
        <f t="shared" ca="1" si="25"/>
        <v>31993.566431028128</v>
      </c>
      <c r="AE8" s="148">
        <f t="shared" ca="1" si="26"/>
        <v>15356.911886893502</v>
      </c>
      <c r="AF8" s="148">
        <f t="shared" ca="1" si="27"/>
        <v>1919.6139858616878</v>
      </c>
      <c r="AG8" s="148">
        <f t="shared" ca="1" si="28"/>
        <v>3839.2279717233755</v>
      </c>
      <c r="AH8" s="148">
        <f t="shared" ca="1" si="29"/>
        <v>387122.15381544037</v>
      </c>
      <c r="AI8" s="148">
        <f t="shared" ca="1" si="30"/>
        <v>1057638.5597034092</v>
      </c>
      <c r="AJ8" s="20">
        <f t="shared" ca="1" si="43"/>
        <v>1039335.7160959948</v>
      </c>
      <c r="AK8" s="148">
        <f t="shared" ca="1" si="31"/>
        <v>50704.78905579212</v>
      </c>
      <c r="AL8" s="148">
        <f t="shared" ca="1" si="32"/>
        <v>37392.912283032536</v>
      </c>
      <c r="AM8" s="148">
        <f t="shared" ca="1" si="33"/>
        <v>17948.597895855619</v>
      </c>
      <c r="AN8" s="148">
        <f t="shared" ca="1" si="34"/>
        <v>2243.5747369819524</v>
      </c>
      <c r="AO8" s="148">
        <f t="shared" ca="1" si="35"/>
        <v>4487.1494739639047</v>
      </c>
      <c r="AP8" s="148">
        <f t="shared" ca="1" si="36"/>
        <v>551919.38529756025</v>
      </c>
      <c r="AQ8" s="148">
        <f t="shared" ca="1" si="37"/>
        <v>1236129.3316704971</v>
      </c>
      <c r="AR8" s="17">
        <f t="shared" ca="1" si="44"/>
        <v>1214694.0680646352</v>
      </c>
      <c r="AS8" s="148">
        <f t="shared" ca="1" si="38"/>
        <v>516860.32245322526</v>
      </c>
      <c r="AT8" s="48" t="str">
        <f>INDEX('stock fisico '!N:N, MATCH(B8, 'stock fisico '!B:B, 0))</f>
        <v>ELECTRODOMESTICOS Y AIRES ACOND</v>
      </c>
      <c r="AU8" s="46" t="str">
        <f>INDEX('stock fisico '!D:D, MATCH(B8, 'stock fisico '!B:B, 0))</f>
        <v>Aires acondicionados</v>
      </c>
      <c r="AV8" s="43" t="str">
        <f>INDEX('stock fisico '!L:L, MATCH(B8, 'stock fisico '!B:B, 0))</f>
        <v>Alaska</v>
      </c>
    </row>
    <row r="9" spans="1:48" x14ac:dyDescent="0.25">
      <c r="A9" s="48">
        <f>INDEX('stock fisico '!M:M, MATCH(B9, 'stock fisico '!B:B, 0))</f>
        <v>9962</v>
      </c>
      <c r="B9" s="47" t="s">
        <v>1536</v>
      </c>
      <c r="C9" s="46" t="str">
        <f>INDEX('stock fisico '!C:C, MATCH(B9, 'stock fisico '!B:B, 0))</f>
        <v>LAVASECARROPAS BGH BWDN10W25AR 10KG 1400 RPM INVERTER BLANCO</v>
      </c>
      <c r="D9" s="44">
        <f>INDEX('stock fisico '!I:I, MATCH(B9, 'stock fisico '!B:B, 0))</f>
        <v>685000</v>
      </c>
      <c r="E9" s="6">
        <f t="shared" ca="1" si="39"/>
        <v>835365.85365853657</v>
      </c>
      <c r="F9" s="148">
        <f t="shared" ca="1" si="4"/>
        <v>37104.31583522576</v>
      </c>
      <c r="G9" s="148">
        <f t="shared" ca="1" si="5"/>
        <v>22614.103120033251</v>
      </c>
      <c r="H9" s="148">
        <f t="shared" ca="1" si="6"/>
        <v>10854.76949761596</v>
      </c>
      <c r="I9" s="148">
        <f t="shared" ca="1" si="7"/>
        <v>1356.846187201995</v>
      </c>
      <c r="J9" s="148">
        <f t="shared" ca="1" si="8"/>
        <v>2713.69237440399</v>
      </c>
      <c r="K9" s="148">
        <f t="shared" ca="1" si="9"/>
        <v>904564.12480133004</v>
      </c>
      <c r="L9" s="32">
        <f t="shared" ca="1" si="40"/>
        <v>886038.63136578223</v>
      </c>
      <c r="M9" s="148">
        <f t="shared" ca="1" si="10"/>
        <v>44897.58123857202</v>
      </c>
      <c r="N9" s="148">
        <f t="shared" ca="1" si="11"/>
        <v>27363.893097449974</v>
      </c>
      <c r="O9" s="148">
        <f t="shared" ca="1" si="12"/>
        <v>13134.668686775987</v>
      </c>
      <c r="P9" s="148">
        <f t="shared" ca="1" si="13"/>
        <v>1641.8335858469984</v>
      </c>
      <c r="Q9" s="148">
        <f t="shared" ca="1" si="14"/>
        <v>3283.6671716939968</v>
      </c>
      <c r="R9" s="148">
        <f t="shared" ca="1" si="15"/>
        <v>175484.64643394668</v>
      </c>
      <c r="S9" s="148">
        <f t="shared" ca="1" si="16"/>
        <v>1094555.7238979989</v>
      </c>
      <c r="T9" s="28">
        <f t="shared" ca="1" si="41"/>
        <v>1072166.4171895252</v>
      </c>
      <c r="U9" s="148">
        <f t="shared" ca="1" si="17"/>
        <v>51894.342513129195</v>
      </c>
      <c r="V9" s="148">
        <f t="shared" ca="1" si="18"/>
        <v>38270.164095228021</v>
      </c>
      <c r="W9" s="148">
        <f t="shared" ca="1" si="19"/>
        <v>18369.67876570945</v>
      </c>
      <c r="X9" s="148">
        <f t="shared" ca="1" si="20"/>
        <v>2296.2098457136813</v>
      </c>
      <c r="Y9" s="148">
        <f t="shared" ca="1" si="21"/>
        <v>4592.4196914273625</v>
      </c>
      <c r="Z9" s="148">
        <f t="shared" ca="1" si="22"/>
        <v>332950.4276284838</v>
      </c>
      <c r="AA9" s="148">
        <f t="shared" ca="1" si="23"/>
        <v>1265129.3915777858</v>
      </c>
      <c r="AB9" s="169">
        <f t="shared" ca="1" si="42"/>
        <v>1243172.7222572863</v>
      </c>
      <c r="AC9" s="148">
        <f t="shared" ca="1" si="24"/>
        <v>61463.379762409073</v>
      </c>
      <c r="AD9" s="148">
        <f t="shared" ca="1" si="25"/>
        <v>45326.976225965394</v>
      </c>
      <c r="AE9" s="148">
        <f t="shared" ca="1" si="26"/>
        <v>21756.94858846339</v>
      </c>
      <c r="AF9" s="148">
        <f t="shared" ca="1" si="27"/>
        <v>2719.6185735579238</v>
      </c>
      <c r="AG9" s="148">
        <f t="shared" ca="1" si="28"/>
        <v>5439.2371471158476</v>
      </c>
      <c r="AH9" s="148">
        <f t="shared" ca="1" si="29"/>
        <v>548456.41233418125</v>
      </c>
      <c r="AI9" s="148">
        <f t="shared" ca="1" si="30"/>
        <v>1498412.4372219965</v>
      </c>
      <c r="AJ9" s="20">
        <f t="shared" ca="1" si="43"/>
        <v>1472481.8314907062</v>
      </c>
      <c r="AK9" s="148">
        <f t="shared" ca="1" si="31"/>
        <v>71836.154091453151</v>
      </c>
      <c r="AL9" s="148">
        <f t="shared" ca="1" si="32"/>
        <v>52976.514816705865</v>
      </c>
      <c r="AM9" s="148">
        <f t="shared" ca="1" si="33"/>
        <v>25428.727112018816</v>
      </c>
      <c r="AN9" s="148">
        <f t="shared" ca="1" si="34"/>
        <v>3178.590889002352</v>
      </c>
      <c r="AO9" s="148">
        <f t="shared" ca="1" si="35"/>
        <v>6357.181778004704</v>
      </c>
      <c r="AP9" s="148">
        <f t="shared" ca="1" si="36"/>
        <v>781933.35869457852</v>
      </c>
      <c r="AQ9" s="148">
        <f t="shared" ca="1" si="37"/>
        <v>1751289.7460068054</v>
      </c>
      <c r="AR9" s="17">
        <f t="shared" ca="1" si="44"/>
        <v>1720921.2753345917</v>
      </c>
      <c r="AS9" s="148">
        <f t="shared" ca="1" si="38"/>
        <v>732263.33170725801</v>
      </c>
      <c r="AT9" s="48" t="str">
        <f>INDEX('stock fisico '!N:N, MATCH(B9, 'stock fisico '!B:B, 0))</f>
        <v>ELECTRODOMESTICOS Y AIRES ACOND</v>
      </c>
      <c r="AU9" s="46" t="str">
        <f>INDEX('stock fisico '!D:D, MATCH(B9, 'stock fisico '!B:B, 0))</f>
        <v>Lavasecarropas</v>
      </c>
      <c r="AV9" s="43" t="str">
        <f>INDEX('stock fisico '!L:L, MATCH(B9, 'stock fisico '!B:B, 0))</f>
        <v>Bgh</v>
      </c>
    </row>
    <row r="10" spans="1:48" x14ac:dyDescent="0.25">
      <c r="A10" s="48">
        <f>INDEX('stock fisico '!M:M, MATCH(B10, 'stock fisico '!B:B, 0))</f>
        <v>8674</v>
      </c>
      <c r="B10" s="47" t="s">
        <v>1334</v>
      </c>
      <c r="C10" s="46" t="str">
        <f>INDEX('stock fisico '!C:C, MATCH(B10, 'stock fisico '!B:B, 0))</f>
        <v>LAVARROPAS BGH INVERTER BWFE08W24AR 8K -1400 RPM -BLANCO PIH034058</v>
      </c>
      <c r="D10" s="44">
        <f>INDEX('stock fisico '!I:I, MATCH(B10, 'stock fisico '!B:B, 0))</f>
        <v>481990</v>
      </c>
      <c r="E10" s="6">
        <f t="shared" ca="1" si="39"/>
        <v>587792.68292682932</v>
      </c>
      <c r="F10" s="148">
        <f t="shared" ca="1" si="4"/>
        <v>26107.89662689119</v>
      </c>
      <c r="G10" s="148">
        <f t="shared" ca="1" si="5"/>
        <v>15912.07527419683</v>
      </c>
      <c r="H10" s="148">
        <f t="shared" ca="1" si="6"/>
        <v>7637.7961316144783</v>
      </c>
      <c r="I10" s="148">
        <f t="shared" ca="1" si="7"/>
        <v>954.72451645180979</v>
      </c>
      <c r="J10" s="148">
        <f t="shared" ca="1" si="8"/>
        <v>1909.4490329036196</v>
      </c>
      <c r="K10" s="148">
        <f t="shared" ca="1" si="9"/>
        <v>636483.01096787315</v>
      </c>
      <c r="L10" s="32">
        <f t="shared" ca="1" si="40"/>
        <v>623447.82471823855</v>
      </c>
      <c r="M10" s="148">
        <f t="shared" ca="1" si="10"/>
        <v>31591.511213400478</v>
      </c>
      <c r="N10" s="148">
        <f t="shared" ca="1" si="11"/>
        <v>19254.193918306442</v>
      </c>
      <c r="O10" s="148">
        <f t="shared" ca="1" si="12"/>
        <v>9242.0130807870919</v>
      </c>
      <c r="P10" s="148">
        <f t="shared" ca="1" si="13"/>
        <v>1155.2516350983865</v>
      </c>
      <c r="Q10" s="148">
        <f t="shared" ca="1" si="14"/>
        <v>2310.503270196773</v>
      </c>
      <c r="R10" s="148">
        <f t="shared" ca="1" si="15"/>
        <v>123477.1455980992</v>
      </c>
      <c r="S10" s="148">
        <f t="shared" ca="1" si="16"/>
        <v>770167.75673225767</v>
      </c>
      <c r="T10" s="28">
        <f t="shared" ca="1" si="41"/>
        <v>754413.85608931282</v>
      </c>
      <c r="U10" s="148">
        <f t="shared" ca="1" si="17"/>
        <v>36514.677588179773</v>
      </c>
      <c r="V10" s="148">
        <f t="shared" ca="1" si="18"/>
        <v>26928.228309867085</v>
      </c>
      <c r="W10" s="148">
        <f t="shared" ca="1" si="19"/>
        <v>12925.549588736201</v>
      </c>
      <c r="X10" s="148">
        <f t="shared" ca="1" si="20"/>
        <v>1615.6936985920252</v>
      </c>
      <c r="Y10" s="148">
        <f t="shared" ca="1" si="21"/>
        <v>3231.3873971840503</v>
      </c>
      <c r="Z10" s="148">
        <f t="shared" ca="1" si="22"/>
        <v>234275.58629584365</v>
      </c>
      <c r="AA10" s="148">
        <f t="shared" ca="1" si="23"/>
        <v>890189.36561544088</v>
      </c>
      <c r="AB10" s="169">
        <f t="shared" ca="1" si="42"/>
        <v>874739.88379677292</v>
      </c>
      <c r="AC10" s="148">
        <f t="shared" ca="1" si="24"/>
        <v>43247.787462311753</v>
      </c>
      <c r="AD10" s="148">
        <f t="shared" ca="1" si="25"/>
        <v>31893.648571026366</v>
      </c>
      <c r="AE10" s="148">
        <f t="shared" ca="1" si="26"/>
        <v>15308.951314092656</v>
      </c>
      <c r="AF10" s="148">
        <f t="shared" ca="1" si="27"/>
        <v>1913.6189142615819</v>
      </c>
      <c r="AG10" s="148">
        <f t="shared" ca="1" si="28"/>
        <v>3827.2378285231639</v>
      </c>
      <c r="AH10" s="148">
        <f t="shared" ca="1" si="29"/>
        <v>385913.14770941902</v>
      </c>
      <c r="AI10" s="148">
        <f t="shared" ca="1" si="30"/>
        <v>1054335.4899512848</v>
      </c>
      <c r="AJ10" s="20">
        <f t="shared" ca="1" si="43"/>
        <v>1036089.8072411759</v>
      </c>
      <c r="AK10" s="148">
        <f t="shared" ca="1" si="31"/>
        <v>50546.434905897091</v>
      </c>
      <c r="AL10" s="148">
        <f t="shared" ca="1" si="32"/>
        <v>37276.131936502279</v>
      </c>
      <c r="AM10" s="148">
        <f t="shared" ca="1" si="33"/>
        <v>17892.543329521097</v>
      </c>
      <c r="AN10" s="148">
        <f t="shared" ca="1" si="34"/>
        <v>2236.5679161901371</v>
      </c>
      <c r="AO10" s="148">
        <f t="shared" ca="1" si="35"/>
        <v>4473.1358323802742</v>
      </c>
      <c r="AP10" s="148">
        <f t="shared" ca="1" si="36"/>
        <v>550195.70738277363</v>
      </c>
      <c r="AQ10" s="148">
        <f t="shared" ca="1" si="37"/>
        <v>1232268.8243471829</v>
      </c>
      <c r="AR10" s="17">
        <f t="shared" ca="1" si="44"/>
        <v>1210900.5043774014</v>
      </c>
      <c r="AS10" s="148">
        <f t="shared" ca="1" si="38"/>
        <v>515246.13613077567</v>
      </c>
      <c r="AT10" s="48" t="str">
        <f>INDEX('stock fisico '!N:N, MATCH(B10, 'stock fisico '!B:B, 0))</f>
        <v>ELECTRODOMESTICOS Y AIRES ACOND</v>
      </c>
      <c r="AU10" s="46" t="str">
        <f>INDEX('stock fisico '!D:D, MATCH(B10, 'stock fisico '!B:B, 0))</f>
        <v>Lavarropas</v>
      </c>
      <c r="AV10" s="43" t="str">
        <f>INDEX('stock fisico '!L:L, MATCH(B10, 'stock fisico '!B:B, 0))</f>
        <v>Bgh</v>
      </c>
    </row>
    <row r="11" spans="1:48" x14ac:dyDescent="0.25">
      <c r="A11" s="48">
        <f>INDEX('stock fisico '!M:M, MATCH(B11, 'stock fisico '!B:B, 0))</f>
        <v>8749</v>
      </c>
      <c r="B11" s="47" t="s">
        <v>984</v>
      </c>
      <c r="C11" s="46" t="str">
        <f>INDEX('stock fisico '!C:C, MATCH(B11, 'stock fisico '!B:B, 0))</f>
        <v>SMART TV 32" PHILIPS GOOGLE TV 32PHD6918/77 EAN 8718863037515</v>
      </c>
      <c r="D11" s="44">
        <f>INDEX('stock fisico '!I:I, MATCH(B11, 'stock fisico '!B:B, 0))</f>
        <v>229990</v>
      </c>
      <c r="E11" s="6">
        <f t="shared" ca="1" si="39"/>
        <v>280475.60975609755</v>
      </c>
      <c r="F11" s="148">
        <f t="shared" ca="1" si="4"/>
        <v>12457.841750282585</v>
      </c>
      <c r="G11" s="148">
        <f t="shared" ca="1" si="5"/>
        <v>7592.7263891626972</v>
      </c>
      <c r="H11" s="148">
        <f t="shared" ca="1" si="6"/>
        <v>3644.5086667980945</v>
      </c>
      <c r="I11" s="148">
        <f t="shared" ca="1" si="7"/>
        <v>455.56358334976181</v>
      </c>
      <c r="J11" s="148">
        <f t="shared" ca="1" si="8"/>
        <v>911.12716669952363</v>
      </c>
      <c r="K11" s="148">
        <f t="shared" ca="1" si="9"/>
        <v>303709.05556650786</v>
      </c>
      <c r="L11" s="32">
        <f t="shared" ca="1" si="40"/>
        <v>297489.08733987773</v>
      </c>
      <c r="M11" s="148">
        <f t="shared" ca="1" si="10"/>
        <v>15074.444830743323</v>
      </c>
      <c r="N11" s="148">
        <f t="shared" ca="1" si="11"/>
        <v>9187.4770415803196</v>
      </c>
      <c r="O11" s="148">
        <f t="shared" ca="1" si="12"/>
        <v>4409.9889799585526</v>
      </c>
      <c r="P11" s="148">
        <f t="shared" ca="1" si="13"/>
        <v>551.24862249481907</v>
      </c>
      <c r="Q11" s="148">
        <f t="shared" ca="1" si="14"/>
        <v>1102.4972449896381</v>
      </c>
      <c r="R11" s="148">
        <f t="shared" ca="1" si="15"/>
        <v>58919.290267654578</v>
      </c>
      <c r="S11" s="148">
        <f t="shared" ca="1" si="16"/>
        <v>367499.08166321274</v>
      </c>
      <c r="T11" s="28">
        <f t="shared" ca="1" si="41"/>
        <v>359981.83107944363</v>
      </c>
      <c r="U11" s="148">
        <f t="shared" ca="1" si="17"/>
        <v>17423.620196488442</v>
      </c>
      <c r="V11" s="148">
        <f t="shared" ca="1" si="18"/>
        <v>12849.277431038674</v>
      </c>
      <c r="W11" s="148">
        <f t="shared" ca="1" si="19"/>
        <v>6167.6531668985635</v>
      </c>
      <c r="X11" s="148">
        <f t="shared" ca="1" si="20"/>
        <v>770.95664586232044</v>
      </c>
      <c r="Y11" s="148">
        <f t="shared" ca="1" si="21"/>
        <v>1541.9132917246409</v>
      </c>
      <c r="Z11" s="148">
        <f t="shared" ca="1" si="22"/>
        <v>111788.71365003647</v>
      </c>
      <c r="AA11" s="148">
        <f t="shared" ca="1" si="23"/>
        <v>424769.50185251818</v>
      </c>
      <c r="AB11" s="169">
        <f t="shared" ca="1" si="42"/>
        <v>417397.51006124564</v>
      </c>
      <c r="AC11" s="148">
        <f t="shared" ca="1" si="24"/>
        <v>20636.441914680967</v>
      </c>
      <c r="AD11" s="148">
        <f t="shared" ca="1" si="25"/>
        <v>15218.614981328146</v>
      </c>
      <c r="AE11" s="148">
        <f t="shared" ca="1" si="26"/>
        <v>7304.9351910375099</v>
      </c>
      <c r="AF11" s="148">
        <f t="shared" ca="1" si="27"/>
        <v>913.11689887968873</v>
      </c>
      <c r="AG11" s="148">
        <f t="shared" ca="1" si="28"/>
        <v>1826.2337977593775</v>
      </c>
      <c r="AH11" s="148">
        <f t="shared" ca="1" si="29"/>
        <v>184145.24127407058</v>
      </c>
      <c r="AI11" s="148">
        <f t="shared" ca="1" si="30"/>
        <v>503094.71012655029</v>
      </c>
      <c r="AJ11" s="20">
        <f t="shared" ca="1" si="43"/>
        <v>494388.461933646</v>
      </c>
      <c r="AK11" s="148">
        <f t="shared" ca="1" si="31"/>
        <v>24119.119824077825</v>
      </c>
      <c r="AL11" s="148">
        <f t="shared" ca="1" si="32"/>
        <v>17786.961522181286</v>
      </c>
      <c r="AM11" s="148">
        <f t="shared" ca="1" si="33"/>
        <v>8537.7415306470175</v>
      </c>
      <c r="AN11" s="148">
        <f t="shared" ca="1" si="34"/>
        <v>1067.2176913308772</v>
      </c>
      <c r="AO11" s="148">
        <f t="shared" ca="1" si="35"/>
        <v>2134.4353826617544</v>
      </c>
      <c r="AP11" s="148">
        <f t="shared" ca="1" si="36"/>
        <v>262535.55206739577</v>
      </c>
      <c r="AQ11" s="148">
        <f t="shared" ca="1" si="37"/>
        <v>587998.72800599295</v>
      </c>
      <c r="AR11" s="17">
        <f t="shared" ca="1" si="44"/>
        <v>577802.45856087992</v>
      </c>
      <c r="AS11" s="148">
        <f t="shared" ca="1" si="38"/>
        <v>245858.74986766756</v>
      </c>
      <c r="AT11" s="48" t="str">
        <f>INDEX('stock fisico '!N:N, MATCH(B11, 'stock fisico '!B:B, 0))</f>
        <v>TV-AUDIO-VIDEO</v>
      </c>
      <c r="AU11" s="46" t="str">
        <f>INDEX('stock fisico '!D:D, MATCH(B11, 'stock fisico '!B:B, 0))</f>
        <v>Televisores</v>
      </c>
      <c r="AV11" s="43" t="str">
        <f>INDEX('stock fisico '!L:L, MATCH(B11, 'stock fisico '!B:B, 0))</f>
        <v>PHILIPS</v>
      </c>
    </row>
    <row r="12" spans="1:48" x14ac:dyDescent="0.25">
      <c r="A12" s="48">
        <f>INDEX('stock fisico '!M:M, MATCH(B12, 'stock fisico '!B:B, 0))</f>
        <v>6016</v>
      </c>
      <c r="B12" s="47" t="s">
        <v>1126</v>
      </c>
      <c r="C12" s="46" t="str">
        <f>INDEX('stock fisico '!C:C, MATCH(B12, 'stock fisico '!B:B, 0))</f>
        <v>MICROONDAS BGH B223DS20 SILVER 23L PIH049510 EAN</v>
      </c>
      <c r="D12" s="44">
        <f>INDEX('stock fisico '!I:I, MATCH(B12, 'stock fisico '!B:B, 0))</f>
        <v>160600</v>
      </c>
      <c r="E12" s="6">
        <f t="shared" ca="1" si="39"/>
        <v>195853.65853658537</v>
      </c>
      <c r="F12" s="148">
        <f t="shared" ca="1" si="4"/>
        <v>8699.2016396164327</v>
      </c>
      <c r="G12" s="148">
        <f t="shared" ca="1" si="5"/>
        <v>5301.934249747942</v>
      </c>
      <c r="H12" s="148">
        <f t="shared" ca="1" si="6"/>
        <v>2544.9284398790123</v>
      </c>
      <c r="I12" s="148">
        <f t="shared" ca="1" si="7"/>
        <v>318.11605498487654</v>
      </c>
      <c r="J12" s="148">
        <f t="shared" ca="1" si="8"/>
        <v>636.23210996975308</v>
      </c>
      <c r="K12" s="148">
        <f t="shared" ca="1" si="9"/>
        <v>212077.36998991767</v>
      </c>
      <c r="L12" s="32">
        <f t="shared" ca="1" si="40"/>
        <v>207734.02072605057</v>
      </c>
      <c r="M12" s="148">
        <f t="shared" ca="1" si="10"/>
        <v>10526.352623233088</v>
      </c>
      <c r="N12" s="148">
        <f t="shared" ca="1" si="11"/>
        <v>6415.5346444532343</v>
      </c>
      <c r="O12" s="148">
        <f t="shared" ca="1" si="12"/>
        <v>3079.4566293375524</v>
      </c>
      <c r="P12" s="148">
        <f t="shared" ca="1" si="13"/>
        <v>384.93207866719405</v>
      </c>
      <c r="Q12" s="148">
        <f t="shared" ca="1" si="14"/>
        <v>769.8641573343881</v>
      </c>
      <c r="R12" s="148">
        <f t="shared" ca="1" si="15"/>
        <v>41142.823674878586</v>
      </c>
      <c r="S12" s="148">
        <f t="shared" ca="1" si="16"/>
        <v>256621.38577812936</v>
      </c>
      <c r="T12" s="28">
        <f t="shared" ca="1" si="41"/>
        <v>251372.15562136896</v>
      </c>
      <c r="U12" s="148">
        <f t="shared" ca="1" si="17"/>
        <v>12166.761178990584</v>
      </c>
      <c r="V12" s="148">
        <f t="shared" ca="1" si="18"/>
        <v>8972.5377426184241</v>
      </c>
      <c r="W12" s="148">
        <f t="shared" ca="1" si="19"/>
        <v>4306.8181164568432</v>
      </c>
      <c r="X12" s="148">
        <f t="shared" ca="1" si="20"/>
        <v>538.3522645571054</v>
      </c>
      <c r="Y12" s="148">
        <f t="shared" ca="1" si="21"/>
        <v>1076.7045291142108</v>
      </c>
      <c r="Z12" s="148">
        <f t="shared" ca="1" si="22"/>
        <v>78061.078360780288</v>
      </c>
      <c r="AA12" s="148">
        <f t="shared" ca="1" si="23"/>
        <v>296612.81793779915</v>
      </c>
      <c r="AB12" s="169">
        <f t="shared" ca="1" si="42"/>
        <v>291465.02072192729</v>
      </c>
      <c r="AC12" s="148">
        <f t="shared" ca="1" si="24"/>
        <v>14410.246408529778</v>
      </c>
      <c r="AD12" s="148">
        <f t="shared" ca="1" si="25"/>
        <v>10627.02537502196</v>
      </c>
      <c r="AE12" s="148">
        <f t="shared" ca="1" si="26"/>
        <v>5100.9721800105408</v>
      </c>
      <c r="AF12" s="148">
        <f t="shared" ca="1" si="27"/>
        <v>637.6215225013176</v>
      </c>
      <c r="AG12" s="148">
        <f t="shared" ca="1" si="28"/>
        <v>1275.2430450026352</v>
      </c>
      <c r="AH12" s="148">
        <f t="shared" ca="1" si="29"/>
        <v>128587.00703776571</v>
      </c>
      <c r="AI12" s="148">
        <f t="shared" ca="1" si="30"/>
        <v>351306.6239676681</v>
      </c>
      <c r="AJ12" s="20">
        <f t="shared" ca="1" si="43"/>
        <v>345227.12720789399</v>
      </c>
      <c r="AK12" s="148">
        <f t="shared" ca="1" si="31"/>
        <v>16842.169849762595</v>
      </c>
      <c r="AL12" s="148">
        <f t="shared" ca="1" si="32"/>
        <v>12420.479240237903</v>
      </c>
      <c r="AM12" s="148">
        <f t="shared" ca="1" si="33"/>
        <v>5961.8300353141931</v>
      </c>
      <c r="AN12" s="148">
        <f t="shared" ca="1" si="34"/>
        <v>745.22875441427414</v>
      </c>
      <c r="AO12" s="148">
        <f t="shared" ca="1" si="35"/>
        <v>1490.4575088285483</v>
      </c>
      <c r="AP12" s="148">
        <f t="shared" ca="1" si="36"/>
        <v>183326.27358591143</v>
      </c>
      <c r="AQ12" s="148">
        <f t="shared" ca="1" si="37"/>
        <v>410594.35504918685</v>
      </c>
      <c r="AR12" s="17">
        <f t="shared" ca="1" si="44"/>
        <v>403474.38951640215</v>
      </c>
      <c r="AS12" s="148">
        <f t="shared" ca="1" si="38"/>
        <v>171681.00886450461</v>
      </c>
      <c r="AT12" s="48" t="str">
        <f>INDEX('stock fisico '!N:N, MATCH(B12, 'stock fisico '!B:B, 0))</f>
        <v>ELECTRODOMESTICOS Y AIRES ACOND</v>
      </c>
      <c r="AU12" s="46" t="str">
        <f>INDEX('stock fisico '!D:D, MATCH(B12, 'stock fisico '!B:B, 0))</f>
        <v>Microondas</v>
      </c>
      <c r="AV12" s="43" t="str">
        <f>INDEX('stock fisico '!L:L, MATCH(B12, 'stock fisico '!B:B, 0))</f>
        <v>Bgh</v>
      </c>
    </row>
    <row r="13" spans="1:48" s="171" customFormat="1" x14ac:dyDescent="0.25">
      <c r="A13" s="48">
        <f>INDEX('stock fisico '!M:M, MATCH(B13, 'stock fisico '!B:B, 0))</f>
        <v>9884</v>
      </c>
      <c r="B13" s="47" t="s">
        <v>1307</v>
      </c>
      <c r="C13" s="46" t="str">
        <f>INDEX('stock fisico '!C:C, MATCH(B13, 'stock fisico '!B:B, 0))</f>
        <v>HELADERA PHILCO NO FROST TOP MOUNT INOX 94PHNT367XD</v>
      </c>
      <c r="D13" s="44">
        <f>INDEX('stock fisico '!I:I, MATCH(B13, 'stock fisico '!B:B, 0))</f>
        <v>660436</v>
      </c>
      <c r="E13" s="6">
        <f t="shared" ca="1" si="39"/>
        <v>805409.75609756098</v>
      </c>
      <c r="F13" s="170">
        <f t="shared" ca="1" si="4"/>
        <v>35773.760486063002</v>
      </c>
      <c r="G13" s="170">
        <f t="shared" ca="1" si="5"/>
        <v>21803.164683477782</v>
      </c>
      <c r="H13" s="170">
        <f t="shared" ca="1" si="6"/>
        <v>10465.519048069335</v>
      </c>
      <c r="I13" s="170">
        <f t="shared" ca="1" si="7"/>
        <v>1308.1898810086668</v>
      </c>
      <c r="J13" s="170">
        <f t="shared" ca="1" si="8"/>
        <v>2616.3797620173336</v>
      </c>
      <c r="K13" s="170">
        <f t="shared" ca="1" si="9"/>
        <v>872126.58733911125</v>
      </c>
      <c r="L13" s="32">
        <f t="shared" ca="1" si="40"/>
        <v>854265.4153937106</v>
      </c>
      <c r="M13" s="170">
        <f t="shared" ca="1" si="10"/>
        <v>43287.560529748247</v>
      </c>
      <c r="N13" s="170">
        <f t="shared" ca="1" si="11"/>
        <v>26382.627885704336</v>
      </c>
      <c r="O13" s="170">
        <f t="shared" ca="1" si="12"/>
        <v>12663.661385138083</v>
      </c>
      <c r="P13" s="170">
        <f t="shared" ca="1" si="13"/>
        <v>1582.9576731422603</v>
      </c>
      <c r="Q13" s="170">
        <f t="shared" ca="1" si="14"/>
        <v>3165.9153462845206</v>
      </c>
      <c r="R13" s="170">
        <f t="shared" ca="1" si="15"/>
        <v>169191.7926310219</v>
      </c>
      <c r="S13" s="170">
        <f t="shared" ca="1" si="16"/>
        <v>1055305.1154281734</v>
      </c>
      <c r="T13" s="28">
        <f t="shared" ca="1" si="41"/>
        <v>1033718.6859897537</v>
      </c>
      <c r="U13" s="170">
        <f t="shared" ca="1" si="17"/>
        <v>50033.418966424812</v>
      </c>
      <c r="V13" s="170">
        <f t="shared" ca="1" si="18"/>
        <v>36897.801597658414</v>
      </c>
      <c r="W13" s="170">
        <f t="shared" ca="1" si="19"/>
        <v>17710.94476687604</v>
      </c>
      <c r="X13" s="170">
        <f t="shared" ca="1" si="20"/>
        <v>2213.868095859505</v>
      </c>
      <c r="Y13" s="170">
        <f t="shared" ca="1" si="21"/>
        <v>4427.7361917190101</v>
      </c>
      <c r="Z13" s="170">
        <f t="shared" ca="1" si="22"/>
        <v>321010.87389962818</v>
      </c>
      <c r="AA13" s="170">
        <f t="shared" ca="1" si="23"/>
        <v>1219762.0362862286</v>
      </c>
      <c r="AB13" s="169">
        <f t="shared" ca="1" si="42"/>
        <v>1198592.7299222089</v>
      </c>
      <c r="AC13" s="170">
        <f t="shared" ca="1" si="24"/>
        <v>59259.311936885249</v>
      </c>
      <c r="AD13" s="170">
        <f t="shared" ca="1" si="25"/>
        <v>43701.557475579095</v>
      </c>
      <c r="AE13" s="170">
        <f t="shared" ca="1" si="26"/>
        <v>20976.747588277965</v>
      </c>
      <c r="AF13" s="170">
        <f t="shared" ca="1" si="27"/>
        <v>2622.0934485347457</v>
      </c>
      <c r="AG13" s="170">
        <f t="shared" ca="1" si="28"/>
        <v>5244.1868970694914</v>
      </c>
      <c r="AH13" s="170">
        <f t="shared" ca="1" si="29"/>
        <v>528788.84545450704</v>
      </c>
      <c r="AI13" s="170">
        <f t="shared" ca="1" si="30"/>
        <v>1444679.5859695568</v>
      </c>
      <c r="AJ13" s="20">
        <f t="shared" ca="1" si="43"/>
        <v>1419678.8479743009</v>
      </c>
      <c r="AK13" s="170">
        <f t="shared" ca="1" si="31"/>
        <v>69260.120092763449</v>
      </c>
      <c r="AL13" s="170">
        <f t="shared" ca="1" si="32"/>
        <v>51076.784729176579</v>
      </c>
      <c r="AM13" s="170">
        <f t="shared" ca="1" si="33"/>
        <v>24516.85667000476</v>
      </c>
      <c r="AN13" s="170">
        <f t="shared" ca="1" si="34"/>
        <v>3064.6070837505949</v>
      </c>
      <c r="AO13" s="170">
        <f t="shared" ca="1" si="35"/>
        <v>6129.2141675011899</v>
      </c>
      <c r="AP13" s="170">
        <f t="shared" ca="1" si="36"/>
        <v>753893.34260264633</v>
      </c>
      <c r="AQ13" s="170">
        <f t="shared" ca="1" si="37"/>
        <v>1688488.7513777383</v>
      </c>
      <c r="AR13" s="17">
        <f t="shared" ca="1" si="44"/>
        <v>1659209.2896304769</v>
      </c>
      <c r="AS13" s="170">
        <f t="shared" ca="1" si="38"/>
        <v>706004.47553199227</v>
      </c>
      <c r="AT13" s="48" t="str">
        <f>INDEX('stock fisico '!N:N, MATCH(B13, 'stock fisico '!B:B, 0))</f>
        <v>ELECTRODOMESTICOS Y AIRES ACOND</v>
      </c>
      <c r="AU13" s="46" t="str">
        <f>INDEX('stock fisico '!D:D, MATCH(B13, 'stock fisico '!B:B, 0))</f>
        <v>Heladeras</v>
      </c>
      <c r="AV13" s="43" t="str">
        <f>INDEX('stock fisico '!L:L, MATCH(B13, 'stock fisico '!B:B, 0))</f>
        <v>Philco</v>
      </c>
    </row>
    <row r="14" spans="1:48" s="171" customFormat="1" ht="13.5" customHeight="1" x14ac:dyDescent="0.25">
      <c r="A14" s="48">
        <f>INDEX('stock fisico '!M:M, MATCH(B14, 'stock fisico '!B:B, 0))</f>
        <v>9985</v>
      </c>
      <c r="B14" s="47" t="s">
        <v>1647</v>
      </c>
      <c r="C14" s="46" t="str">
        <f>INDEX('stock fisico '!C:C, MATCH(B14, 'stock fisico '!B:B, 0))</f>
        <v>MICROONDAS PHILCO DIGITAL BLANCO 20 LTS MPHDW20UAP EAN 07799111674523</v>
      </c>
      <c r="D14" s="44">
        <f>INDEX('stock fisico '!I:I, MATCH(B14, 'stock fisico '!B:B, 0))</f>
        <v>108922</v>
      </c>
      <c r="E14" s="6">
        <f t="shared" ca="1" si="39"/>
        <v>132831.70731707316</v>
      </c>
      <c r="F14" s="170">
        <f t="shared" ca="1" si="4"/>
        <v>5899.9653859919108</v>
      </c>
      <c r="G14" s="170">
        <f t="shared" ca="1" si="5"/>
        <v>3595.8734891098707</v>
      </c>
      <c r="H14" s="170">
        <f t="shared" ca="1" si="6"/>
        <v>1726.0192747727378</v>
      </c>
      <c r="I14" s="170">
        <f t="shared" ca="1" si="7"/>
        <v>215.75240934659223</v>
      </c>
      <c r="J14" s="170">
        <f t="shared" ca="1" si="8"/>
        <v>431.50481869318446</v>
      </c>
      <c r="K14" s="170">
        <f t="shared" ca="1" si="9"/>
        <v>143834.93956439482</v>
      </c>
      <c r="L14" s="32">
        <f t="shared" ca="1" si="40"/>
        <v>140889.196796531</v>
      </c>
      <c r="M14" s="170">
        <f t="shared" ca="1" si="10"/>
        <v>7139.1742243324688</v>
      </c>
      <c r="N14" s="170">
        <f t="shared" ca="1" si="11"/>
        <v>4351.138633518899</v>
      </c>
      <c r="O14" s="170">
        <f t="shared" ca="1" si="12"/>
        <v>2088.5465440890716</v>
      </c>
      <c r="P14" s="170">
        <f t="shared" ca="1" si="13"/>
        <v>261.06831801113395</v>
      </c>
      <c r="Q14" s="170">
        <f t="shared" ca="1" si="14"/>
        <v>522.13663602226791</v>
      </c>
      <c r="R14" s="170">
        <f t="shared" ca="1" si="15"/>
        <v>27903.852056756699</v>
      </c>
      <c r="S14" s="170">
        <f t="shared" ca="1" si="16"/>
        <v>174045.54534075595</v>
      </c>
      <c r="T14" s="28">
        <f t="shared" ca="1" si="41"/>
        <v>170485.41677827368</v>
      </c>
      <c r="U14" s="170">
        <f t="shared" ca="1" si="17"/>
        <v>8251.7307667373098</v>
      </c>
      <c r="V14" s="170">
        <f t="shared" ca="1" si="18"/>
        <v>6085.3471731101108</v>
      </c>
      <c r="W14" s="170">
        <f t="shared" ca="1" si="19"/>
        <v>2920.9666430928532</v>
      </c>
      <c r="X14" s="170">
        <f t="shared" ca="1" si="20"/>
        <v>365.12083038660666</v>
      </c>
      <c r="Y14" s="170">
        <f t="shared" ca="1" si="21"/>
        <v>730.24166077321331</v>
      </c>
      <c r="Z14" s="170">
        <f t="shared" ca="1" si="22"/>
        <v>52942.520406057964</v>
      </c>
      <c r="AA14" s="170">
        <f t="shared" ca="1" si="23"/>
        <v>201168.50159041688</v>
      </c>
      <c r="AB14" s="169">
        <f t="shared" ca="1" si="42"/>
        <v>197677.1667937345</v>
      </c>
      <c r="AC14" s="170">
        <f t="shared" ca="1" si="24"/>
        <v>9773.3054751549207</v>
      </c>
      <c r="AD14" s="170">
        <f t="shared" ca="1" si="25"/>
        <v>7207.4524153059883</v>
      </c>
      <c r="AE14" s="170">
        <f t="shared" ca="1" si="26"/>
        <v>3459.5771593468744</v>
      </c>
      <c r="AF14" s="170">
        <f t="shared" ca="1" si="27"/>
        <v>432.4471449183593</v>
      </c>
      <c r="AG14" s="170">
        <f t="shared" ca="1" si="28"/>
        <v>864.8942898367186</v>
      </c>
      <c r="AH14" s="170">
        <f t="shared" ca="1" si="29"/>
        <v>87210.174225202456</v>
      </c>
      <c r="AI14" s="170">
        <f t="shared" ca="1" si="30"/>
        <v>238262.88976218144</v>
      </c>
      <c r="AJ14" s="20">
        <f t="shared" ca="1" si="43"/>
        <v>234139.65846661414</v>
      </c>
      <c r="AK14" s="170">
        <f t="shared" ca="1" si="31"/>
        <v>11422.682592626657</v>
      </c>
      <c r="AL14" s="170">
        <f t="shared" ca="1" si="32"/>
        <v>8423.807221701074</v>
      </c>
      <c r="AM14" s="170">
        <f t="shared" ca="1" si="33"/>
        <v>4043.4274664165159</v>
      </c>
      <c r="AN14" s="170">
        <f t="shared" ca="1" si="34"/>
        <v>505.42843330206449</v>
      </c>
      <c r="AO14" s="170">
        <f t="shared" ca="1" si="35"/>
        <v>1010.856866604129</v>
      </c>
      <c r="AP14" s="170">
        <f t="shared" ca="1" si="36"/>
        <v>124335.39459230786</v>
      </c>
      <c r="AQ14" s="170">
        <f t="shared" ca="1" si="37"/>
        <v>278472.9660066471</v>
      </c>
      <c r="AR14" s="17">
        <f t="shared" ca="1" si="44"/>
        <v>273644.06883502833</v>
      </c>
      <c r="AS14" s="170">
        <f t="shared" ca="1" si="38"/>
        <v>116437.35272440579</v>
      </c>
      <c r="AT14" s="48" t="str">
        <f>INDEX('stock fisico '!N:N, MATCH(B14, 'stock fisico '!B:B, 0))</f>
        <v>ELECTRODOMESTICOS Y AIRES ACOND</v>
      </c>
      <c r="AU14" s="46" t="str">
        <f>INDEX('stock fisico '!D:D, MATCH(B14, 'stock fisico '!B:B, 0))</f>
        <v>Microondas</v>
      </c>
      <c r="AV14" s="43" t="str">
        <f>INDEX('stock fisico '!L:L, MATCH(B14, 'stock fisico '!B:B, 0))</f>
        <v>Philco</v>
      </c>
    </row>
    <row r="15" spans="1:48" x14ac:dyDescent="0.25">
      <c r="A15" s="48">
        <f>INDEX('stock fisico '!M:M, MATCH(B15, 'stock fisico '!B:B, 0))</f>
        <v>9964</v>
      </c>
      <c r="B15" s="47" t="s">
        <v>1552</v>
      </c>
      <c r="C15" s="46" t="str">
        <f>INDEX('stock fisico '!C:C, MATCH(B15, 'stock fisico '!B:B, 0))</f>
        <v xml:space="preserve"> FREIDORA DE AIRE SMART TEK AF 2065 6LT</v>
      </c>
      <c r="D15" s="44">
        <f>INDEX('stock fisico '!I:I, MATCH(B15, 'stock fisico '!B:B, 0))</f>
        <v>56639</v>
      </c>
      <c r="E15" s="6">
        <f t="shared" ca="1" si="39"/>
        <v>69071.951219512193</v>
      </c>
      <c r="F15" s="148">
        <f t="shared" ca="1" si="4"/>
        <v>3067.9581672866448</v>
      </c>
      <c r="G15" s="148">
        <f t="shared" ca="1" si="5"/>
        <v>1869.8396884898737</v>
      </c>
      <c r="H15" s="148">
        <f t="shared" ca="1" si="6"/>
        <v>897.52305047513926</v>
      </c>
      <c r="I15" s="148">
        <f t="shared" ca="1" si="7"/>
        <v>112.19038130939241</v>
      </c>
      <c r="J15" s="148">
        <f t="shared" ca="1" si="8"/>
        <v>224.38076261878481</v>
      </c>
      <c r="K15" s="148">
        <f t="shared" ca="1" si="9"/>
        <v>74793.587539594941</v>
      </c>
      <c r="L15" s="32">
        <f t="shared" ca="1" si="40"/>
        <v>73261.813199892757</v>
      </c>
      <c r="M15" s="148">
        <f t="shared" ca="1" si="10"/>
        <v>3712.3417573306278</v>
      </c>
      <c r="N15" s="148">
        <f t="shared" ca="1" si="11"/>
        <v>2262.5745126225825</v>
      </c>
      <c r="O15" s="148">
        <f t="shared" ca="1" si="12"/>
        <v>1086.0357660588395</v>
      </c>
      <c r="P15" s="148">
        <f t="shared" ca="1" si="13"/>
        <v>135.75447075735494</v>
      </c>
      <c r="Q15" s="148">
        <f t="shared" ca="1" si="14"/>
        <v>271.50894151470987</v>
      </c>
      <c r="R15" s="148">
        <f t="shared" ca="1" si="15"/>
        <v>14509.890349448619</v>
      </c>
      <c r="S15" s="148">
        <f t="shared" ca="1" si="16"/>
        <v>90502.980504903288</v>
      </c>
      <c r="T15" s="28">
        <f t="shared" ca="1" si="41"/>
        <v>88651.728033864987</v>
      </c>
      <c r="U15" s="148">
        <f t="shared" ca="1" si="17"/>
        <v>4290.8666651111307</v>
      </c>
      <c r="V15" s="148">
        <f t="shared" ca="1" si="18"/>
        <v>3164.3559477220729</v>
      </c>
      <c r="W15" s="148">
        <f t="shared" ca="1" si="19"/>
        <v>1518.890854906595</v>
      </c>
      <c r="X15" s="148">
        <f t="shared" ca="1" si="20"/>
        <v>189.86135686332437</v>
      </c>
      <c r="Y15" s="148">
        <f t="shared" ca="1" si="21"/>
        <v>379.72271372664875</v>
      </c>
      <c r="Z15" s="148">
        <f t="shared" ca="1" si="22"/>
        <v>27529.896745182032</v>
      </c>
      <c r="AA15" s="148">
        <f t="shared" ca="1" si="23"/>
        <v>104606.80818915943</v>
      </c>
      <c r="AB15" s="169">
        <f t="shared" ca="1" si="42"/>
        <v>102791.3281984386</v>
      </c>
      <c r="AC15" s="148">
        <f t="shared" ca="1" si="24"/>
        <v>5082.0793669534123</v>
      </c>
      <c r="AD15" s="148">
        <f t="shared" ca="1" si="25"/>
        <v>3747.8461408211006</v>
      </c>
      <c r="AE15" s="148">
        <f t="shared" ca="1" si="26"/>
        <v>1798.9661475941282</v>
      </c>
      <c r="AF15" s="148">
        <f t="shared" ca="1" si="27"/>
        <v>224.87076844926602</v>
      </c>
      <c r="AG15" s="148">
        <f t="shared" ca="1" si="28"/>
        <v>449.74153689853205</v>
      </c>
      <c r="AH15" s="148">
        <f t="shared" ca="1" si="29"/>
        <v>45348.938303935312</v>
      </c>
      <c r="AI15" s="148">
        <f t="shared" ca="1" si="30"/>
        <v>123895.74019243308</v>
      </c>
      <c r="AJ15" s="20">
        <f t="shared" ca="1" si="43"/>
        <v>121751.67657489359</v>
      </c>
      <c r="AK15" s="148">
        <f t="shared" ca="1" si="31"/>
        <v>5939.7488052347671</v>
      </c>
      <c r="AL15" s="148">
        <f t="shared" ca="1" si="32"/>
        <v>4380.3457265743118</v>
      </c>
      <c r="AM15" s="148">
        <f t="shared" ca="1" si="33"/>
        <v>2102.56594875567</v>
      </c>
      <c r="AN15" s="148">
        <f t="shared" ca="1" si="34"/>
        <v>262.82074359445875</v>
      </c>
      <c r="AO15" s="148">
        <f t="shared" ca="1" si="35"/>
        <v>525.64148718891749</v>
      </c>
      <c r="AP15" s="148">
        <f t="shared" ca="1" si="36"/>
        <v>64653.902924236849</v>
      </c>
      <c r="AQ15" s="148">
        <f t="shared" ca="1" si="37"/>
        <v>144804.81740741528</v>
      </c>
      <c r="AR15" s="17">
        <f t="shared" ca="1" si="44"/>
        <v>142293.81038492839</v>
      </c>
      <c r="AS15" s="148">
        <f t="shared" ca="1" si="38"/>
        <v>60546.953057762614</v>
      </c>
      <c r="AT15" s="48" t="str">
        <f>INDEX('stock fisico '!N:N, MATCH(B15, 'stock fisico '!B:B, 0))</f>
        <v>ELECTRODOMESTICOS Y AIRES ACOND</v>
      </c>
      <c r="AU15" s="46" t="str">
        <f>INDEX('stock fisico '!D:D, MATCH(B15, 'stock fisico '!B:B, 0))</f>
        <v xml:space="preserve">Pequeños Electrodomesticos </v>
      </c>
      <c r="AV15" s="43" t="str">
        <f>INDEX('stock fisico '!L:L, MATCH(B15, 'stock fisico '!B:B, 0))</f>
        <v>Smart tek</v>
      </c>
    </row>
    <row r="16" spans="1:48" x14ac:dyDescent="0.25">
      <c r="A16" s="48">
        <f>INDEX('stock fisico '!M:M, MATCH(B16, 'stock fisico '!B:B, 0))</f>
        <v>8310</v>
      </c>
      <c r="B16" s="47" t="s">
        <v>1322</v>
      </c>
      <c r="C16" s="46" t="str">
        <f>INDEX('stock fisico '!C:C, MATCH(B16, 'stock fisico '!B:B, 0))</f>
        <v xml:space="preserve">LAVARROPAS ESLABON DE LUJO CARGA SUPERIOR 7KG EWH07BB </v>
      </c>
      <c r="D16" s="44">
        <f>INDEX('stock fisico '!I:I, MATCH(B16, 'stock fisico '!B:B, 0))</f>
        <v>295000</v>
      </c>
      <c r="E16" s="6">
        <f t="shared" ca="1" si="39"/>
        <v>359756.09756097558</v>
      </c>
      <c r="F16" s="148">
        <f t="shared" ca="1" si="4"/>
        <v>15979.230907141016</v>
      </c>
      <c r="G16" s="148">
        <f t="shared" ca="1" si="5"/>
        <v>9738.9203217661434</v>
      </c>
      <c r="H16" s="148">
        <f t="shared" ca="1" si="6"/>
        <v>4674.681754447749</v>
      </c>
      <c r="I16" s="148">
        <f t="shared" ca="1" si="7"/>
        <v>584.33521930596862</v>
      </c>
      <c r="J16" s="148">
        <f t="shared" ca="1" si="8"/>
        <v>1168.6704386119372</v>
      </c>
      <c r="K16" s="148">
        <f t="shared" ca="1" si="9"/>
        <v>389556.81287064572</v>
      </c>
      <c r="L16" s="32">
        <f t="shared" ca="1" si="40"/>
        <v>381578.68066117627</v>
      </c>
      <c r="M16" s="148">
        <f t="shared" ca="1" si="10"/>
        <v>19335.454693983567</v>
      </c>
      <c r="N16" s="148">
        <f t="shared" ca="1" si="11"/>
        <v>11784.450312040499</v>
      </c>
      <c r="O16" s="148">
        <f t="shared" ca="1" si="12"/>
        <v>5656.5361497794393</v>
      </c>
      <c r="P16" s="148">
        <f t="shared" ca="1" si="13"/>
        <v>707.06701872242991</v>
      </c>
      <c r="Q16" s="148">
        <f t="shared" ca="1" si="14"/>
        <v>1414.1340374448598</v>
      </c>
      <c r="R16" s="148">
        <f t="shared" ca="1" si="15"/>
        <v>75573.67985111571</v>
      </c>
      <c r="S16" s="148">
        <f t="shared" ca="1" si="16"/>
        <v>471378.01248161989</v>
      </c>
      <c r="T16" s="28">
        <f t="shared" ca="1" si="41"/>
        <v>461735.90229329915</v>
      </c>
      <c r="U16" s="148">
        <f t="shared" ca="1" si="17"/>
        <v>22348.658454559285</v>
      </c>
      <c r="V16" s="148">
        <f t="shared" ca="1" si="18"/>
        <v>16481.311544660239</v>
      </c>
      <c r="W16" s="148">
        <f t="shared" ca="1" si="19"/>
        <v>7911.0295414369148</v>
      </c>
      <c r="X16" s="148">
        <f t="shared" ca="1" si="20"/>
        <v>988.87869267961435</v>
      </c>
      <c r="Y16" s="148">
        <f t="shared" ca="1" si="21"/>
        <v>1977.7573853592287</v>
      </c>
      <c r="Z16" s="148">
        <f t="shared" ca="1" si="22"/>
        <v>143387.41043854409</v>
      </c>
      <c r="AA16" s="148">
        <f t="shared" ca="1" si="23"/>
        <v>544836.74527802446</v>
      </c>
      <c r="AB16" s="24">
        <f t="shared" ca="1" si="42"/>
        <v>535380.95338087506</v>
      </c>
      <c r="AC16" s="148">
        <f t="shared" ca="1" si="24"/>
        <v>26469.630700599526</v>
      </c>
      <c r="AD16" s="148">
        <f t="shared" ca="1" si="25"/>
        <v>19520.376622861007</v>
      </c>
      <c r="AE16" s="148">
        <f t="shared" ca="1" si="26"/>
        <v>9369.7807789732833</v>
      </c>
      <c r="AF16" s="148">
        <f t="shared" ca="1" si="27"/>
        <v>1171.2225973716604</v>
      </c>
      <c r="AG16" s="148">
        <f t="shared" ca="1" si="28"/>
        <v>2342.4451947433208</v>
      </c>
      <c r="AH16" s="148">
        <f t="shared" ca="1" si="29"/>
        <v>236196.55713661818</v>
      </c>
      <c r="AI16" s="148">
        <f t="shared" ca="1" si="30"/>
        <v>645301.70654085977</v>
      </c>
      <c r="AJ16" s="20">
        <f t="shared" ca="1" si="43"/>
        <v>634134.51137190987</v>
      </c>
      <c r="AK16" s="148">
        <f t="shared" ca="1" si="31"/>
        <v>30936.737893399531</v>
      </c>
      <c r="AL16" s="148">
        <f t="shared" ca="1" si="32"/>
        <v>22814.703461209094</v>
      </c>
      <c r="AM16" s="148">
        <f t="shared" ca="1" si="33"/>
        <v>10951.057661380366</v>
      </c>
      <c r="AN16" s="148">
        <f t="shared" ca="1" si="34"/>
        <v>1368.8822076725457</v>
      </c>
      <c r="AO16" s="148">
        <f t="shared" ca="1" si="35"/>
        <v>2737.7644153450915</v>
      </c>
      <c r="AP16" s="148">
        <f t="shared" ca="1" si="36"/>
        <v>336745.02308744623</v>
      </c>
      <c r="AQ16" s="148">
        <f t="shared" ca="1" si="37"/>
        <v>754205.07309782133</v>
      </c>
      <c r="AR16" s="17">
        <f t="shared" ca="1" si="44"/>
        <v>741126.68061854679</v>
      </c>
      <c r="AS16" s="148">
        <f t="shared" ca="1" si="38"/>
        <v>315354.28153816221</v>
      </c>
      <c r="AT16" s="48" t="str">
        <f>INDEX('stock fisico '!N:N, MATCH(B16, 'stock fisico '!B:B, 0))</f>
        <v>ELECTRODOMESTICOS Y AIRES ACOND</v>
      </c>
      <c r="AU16" s="46" t="str">
        <f>INDEX('stock fisico '!D:D, MATCH(B16, 'stock fisico '!B:B, 0))</f>
        <v>Lavarropas</v>
      </c>
      <c r="AV16" s="43" t="str">
        <f>INDEX('stock fisico '!L:L, MATCH(B16, 'stock fisico '!B:B, 0))</f>
        <v>Eslabon de lujo</v>
      </c>
    </row>
    <row r="17" spans="1:48" x14ac:dyDescent="0.25">
      <c r="A17" s="48">
        <f>INDEX('stock fisico '!M:M, MATCH(B17, 'stock fisico '!B:B, 0))</f>
        <v>9946</v>
      </c>
      <c r="B17" s="47" t="s">
        <v>1469</v>
      </c>
      <c r="C17" s="46" t="str">
        <f>INDEX('stock fisico '!C:C, MATCH(B17, 'stock fisico '!B:B, 0))</f>
        <v>HELADERA CICLICA TOP MOUNT BLANCA PHILCO PHCT225B EAN 7799111675889</v>
      </c>
      <c r="D17" s="44">
        <f>INDEX('stock fisico '!I:I, MATCH(B17, 'stock fisico '!B:B, 0))</f>
        <v>290000.02</v>
      </c>
      <c r="E17" s="6">
        <f t="shared" ca="1" si="39"/>
        <v>353658.56097560975</v>
      </c>
      <c r="F17" s="148">
        <f t="shared" ca="1" si="4"/>
        <v>15708.397568323775</v>
      </c>
      <c r="G17" s="148">
        <f t="shared" ca="1" si="5"/>
        <v>9573.8545359003001</v>
      </c>
      <c r="H17" s="148">
        <f t="shared" ca="1" si="6"/>
        <v>4595.4501772321437</v>
      </c>
      <c r="I17" s="148">
        <f t="shared" ca="1" si="7"/>
        <v>574.43127215401796</v>
      </c>
      <c r="J17" s="148">
        <f t="shared" ca="1" si="8"/>
        <v>1148.8625443080359</v>
      </c>
      <c r="K17" s="148">
        <f t="shared" ca="1" si="9"/>
        <v>382954.18143601198</v>
      </c>
      <c r="L17" s="32">
        <f t="shared" ca="1" si="40"/>
        <v>375111.27126547368</v>
      </c>
      <c r="M17" s="148">
        <f t="shared" ca="1" si="10"/>
        <v>19007.736433777387</v>
      </c>
      <c r="N17" s="148">
        <f t="shared" ca="1" si="11"/>
        <v>11584.714665019495</v>
      </c>
      <c r="O17" s="148">
        <f t="shared" ca="1" si="12"/>
        <v>5560.6630392093575</v>
      </c>
      <c r="P17" s="148">
        <f t="shared" ca="1" si="13"/>
        <v>695.08287990116969</v>
      </c>
      <c r="Q17" s="148">
        <f t="shared" ca="1" si="14"/>
        <v>1390.1657598023394</v>
      </c>
      <c r="R17" s="148">
        <f t="shared" ca="1" si="15"/>
        <v>74292.775146770015</v>
      </c>
      <c r="S17" s="148">
        <f t="shared" ca="1" si="16"/>
        <v>463388.58660077979</v>
      </c>
      <c r="T17" s="28">
        <f t="shared" ca="1" si="41"/>
        <v>453909.90135516884</v>
      </c>
      <c r="U17" s="148">
        <f t="shared" ca="1" si="17"/>
        <v>21969.86914845886</v>
      </c>
      <c r="V17" s="148">
        <f t="shared" ca="1" si="18"/>
        <v>16201.968398568481</v>
      </c>
      <c r="W17" s="148">
        <f t="shared" ca="1" si="19"/>
        <v>7776.9448313128705</v>
      </c>
      <c r="X17" s="148">
        <f t="shared" ca="1" si="20"/>
        <v>972.11810391410881</v>
      </c>
      <c r="Y17" s="148">
        <f t="shared" ca="1" si="21"/>
        <v>1944.2362078282176</v>
      </c>
      <c r="Z17" s="148">
        <f t="shared" ca="1" si="22"/>
        <v>140957.12506754577</v>
      </c>
      <c r="AA17" s="148">
        <f t="shared" ca="1" si="23"/>
        <v>535602.26110970182</v>
      </c>
      <c r="AB17" s="24">
        <f t="shared" ca="1" si="42"/>
        <v>526306.73623075546</v>
      </c>
      <c r="AC17" s="148">
        <f t="shared" ca="1" si="24"/>
        <v>26020.994686666025</v>
      </c>
      <c r="AD17" s="148">
        <f t="shared" ca="1" si="25"/>
        <v>19189.52410521093</v>
      </c>
      <c r="AE17" s="148">
        <f t="shared" ca="1" si="26"/>
        <v>9210.9715705012477</v>
      </c>
      <c r="AF17" s="148">
        <f t="shared" ca="1" si="27"/>
        <v>1151.371446312656</v>
      </c>
      <c r="AG17" s="148">
        <f t="shared" ca="1" si="28"/>
        <v>2302.7428926253119</v>
      </c>
      <c r="AH17" s="148">
        <f t="shared" ca="1" si="29"/>
        <v>232193.24167305228</v>
      </c>
      <c r="AI17" s="148">
        <f t="shared" ca="1" si="30"/>
        <v>634364.43323011347</v>
      </c>
      <c r="AJ17" s="20">
        <f t="shared" ca="1" si="43"/>
        <v>623386.51179845468</v>
      </c>
      <c r="AK17" s="148">
        <f t="shared" ca="1" si="31"/>
        <v>30412.388501086862</v>
      </c>
      <c r="AL17" s="148">
        <f t="shared" ca="1" si="32"/>
        <v>22428.015118795618</v>
      </c>
      <c r="AM17" s="148">
        <f t="shared" ca="1" si="33"/>
        <v>10765.447257021897</v>
      </c>
      <c r="AN17" s="148">
        <f t="shared" ca="1" si="34"/>
        <v>1345.6809071277371</v>
      </c>
      <c r="AO17" s="148">
        <f t="shared" ca="1" si="35"/>
        <v>2691.3618142554742</v>
      </c>
      <c r="AP17" s="148">
        <f t="shared" ca="1" si="36"/>
        <v>331037.50315342337</v>
      </c>
      <c r="AQ17" s="148">
        <f t="shared" ca="1" si="37"/>
        <v>741421.9873982023</v>
      </c>
      <c r="AR17" s="17">
        <f t="shared" ca="1" si="44"/>
        <v>728565.26170139736</v>
      </c>
      <c r="AS17" s="148">
        <f t="shared" ca="1" si="38"/>
        <v>310009.3150954328</v>
      </c>
      <c r="AT17" s="48" t="str">
        <f>INDEX('stock fisico '!N:N, MATCH(B17, 'stock fisico '!B:B, 0))</f>
        <v>ELECTRODOMESTICOS Y AIRES ACOND</v>
      </c>
      <c r="AU17" s="46" t="str">
        <f>INDEX('stock fisico '!D:D, MATCH(B17, 'stock fisico '!B:B, 0))</f>
        <v>Heladeras</v>
      </c>
      <c r="AV17" s="43" t="str">
        <f>INDEX('stock fisico '!L:L, MATCH(B17, 'stock fisico '!B:B, 0))</f>
        <v>Philco</v>
      </c>
    </row>
    <row r="18" spans="1:48" x14ac:dyDescent="0.25">
      <c r="A18" s="48">
        <f>INDEX('stock fisico '!M:M, MATCH(B18, 'stock fisico '!B:B, 0))</f>
        <v>9887</v>
      </c>
      <c r="B18" s="47" t="s">
        <v>1312</v>
      </c>
      <c r="C18" s="46" t="str">
        <f>INDEX('stock fisico '!C:C, MATCH(B18, 'stock fisico '!B:B, 0))</f>
        <v>LAVAVAJILLA PHILCO 14 CUB PHLJ14B BLANCO EAN 7799111672253</v>
      </c>
      <c r="D18" s="44">
        <f>INDEX('stock fisico '!I:I, MATCH(B18, 'stock fisico '!B:B, 0))</f>
        <v>583494</v>
      </c>
      <c r="E18" s="6">
        <f t="shared" ca="1" si="39"/>
        <v>711578.04878048785</v>
      </c>
      <c r="F18" s="148">
        <f t="shared" ca="1" si="4"/>
        <v>31606.052064174044</v>
      </c>
      <c r="G18" s="148">
        <f t="shared" ca="1" si="5"/>
        <v>19263.056183825815</v>
      </c>
      <c r="H18" s="148">
        <f t="shared" ca="1" si="6"/>
        <v>9246.2669682363903</v>
      </c>
      <c r="I18" s="148">
        <f t="shared" ca="1" si="7"/>
        <v>1155.7833710295488</v>
      </c>
      <c r="J18" s="148">
        <f t="shared" ca="1" si="8"/>
        <v>2311.5667420590976</v>
      </c>
      <c r="K18" s="148">
        <f t="shared" ca="1" si="9"/>
        <v>770522.24735303258</v>
      </c>
      <c r="L18" s="32">
        <f t="shared" ca="1" si="40"/>
        <v>754741.93455495744</v>
      </c>
      <c r="M18" s="148">
        <f t="shared" ca="1" si="10"/>
        <v>38244.480682072033</v>
      </c>
      <c r="N18" s="148">
        <f t="shared" ca="1" si="11"/>
        <v>23309.003560589015</v>
      </c>
      <c r="O18" s="148">
        <f t="shared" ca="1" si="12"/>
        <v>11188.321709082727</v>
      </c>
      <c r="P18" s="148">
        <f t="shared" ca="1" si="13"/>
        <v>1398.5402136353409</v>
      </c>
      <c r="Q18" s="148">
        <f t="shared" ca="1" si="14"/>
        <v>2797.0804272706819</v>
      </c>
      <c r="R18" s="148">
        <f t="shared" ca="1" si="15"/>
        <v>149480.63983405734</v>
      </c>
      <c r="S18" s="148">
        <f t="shared" ca="1" si="16"/>
        <v>932360.14242356061</v>
      </c>
      <c r="T18" s="28">
        <f t="shared" ca="1" si="41"/>
        <v>913288.57143297058</v>
      </c>
      <c r="U18" s="148">
        <f t="shared" ca="1" si="17"/>
        <v>44204.434292490238</v>
      </c>
      <c r="V18" s="148">
        <f t="shared" ca="1" si="18"/>
        <v>32599.140333694864</v>
      </c>
      <c r="W18" s="148">
        <f t="shared" ca="1" si="19"/>
        <v>15647.587360173535</v>
      </c>
      <c r="X18" s="148">
        <f t="shared" ca="1" si="20"/>
        <v>1955.9484200216918</v>
      </c>
      <c r="Y18" s="148">
        <f t="shared" ca="1" si="21"/>
        <v>3911.8968400433837</v>
      </c>
      <c r="Z18" s="148">
        <f t="shared" ca="1" si="22"/>
        <v>283612.52090314531</v>
      </c>
      <c r="AA18" s="148">
        <f t="shared" ca="1" si="23"/>
        <v>1077657.5316923922</v>
      </c>
      <c r="AB18" s="24">
        <f t="shared" ca="1" si="42"/>
        <v>1058954.4881763402</v>
      </c>
      <c r="AC18" s="148">
        <f t="shared" ca="1" si="24"/>
        <v>52355.493884798721</v>
      </c>
      <c r="AD18" s="148">
        <f t="shared" ca="1" si="25"/>
        <v>38610.246227727665</v>
      </c>
      <c r="AE18" s="148">
        <f t="shared" ca="1" si="26"/>
        <v>18532.918189309279</v>
      </c>
      <c r="AF18" s="148">
        <f t="shared" ca="1" si="27"/>
        <v>2316.6147736636599</v>
      </c>
      <c r="AG18" s="148">
        <f t="shared" ca="1" si="28"/>
        <v>4633.2295473273198</v>
      </c>
      <c r="AH18" s="148">
        <f t="shared" ca="1" si="29"/>
        <v>467183.97935550479</v>
      </c>
      <c r="AI18" s="148">
        <f t="shared" ca="1" si="30"/>
        <v>1276371.7761232287</v>
      </c>
      <c r="AJ18" s="20">
        <f t="shared" ca="1" si="43"/>
        <v>1254283.6697574281</v>
      </c>
      <c r="AK18" s="148">
        <f t="shared" ca="1" si="31"/>
        <v>61191.189628377186</v>
      </c>
      <c r="AL18" s="148">
        <f t="shared" ca="1" si="32"/>
        <v>45126.246038626239</v>
      </c>
      <c r="AM18" s="148">
        <f t="shared" ca="1" si="33"/>
        <v>21660.598098540595</v>
      </c>
      <c r="AN18" s="148">
        <f t="shared" ca="1" si="34"/>
        <v>2707.5747623175744</v>
      </c>
      <c r="AO18" s="148">
        <f t="shared" ca="1" si="35"/>
        <v>5415.1495246351487</v>
      </c>
      <c r="AP18" s="148">
        <f t="shared" ca="1" si="36"/>
        <v>666063.39153012331</v>
      </c>
      <c r="AQ18" s="148">
        <f t="shared" ca="1" si="37"/>
        <v>1491776.7285496278</v>
      </c>
      <c r="AR18" s="17">
        <f t="shared" ca="1" si="44"/>
        <v>1465908.3775621641</v>
      </c>
      <c r="AS18" s="148">
        <f t="shared" ca="1" si="38"/>
        <v>623753.66492145241</v>
      </c>
      <c r="AT18" s="48" t="str">
        <f>INDEX('stock fisico '!N:N, MATCH(B18, 'stock fisico '!B:B, 0))</f>
        <v>ELECTRODOMESTICOS Y AIRES ACOND</v>
      </c>
      <c r="AU18" s="46" t="str">
        <f>INDEX('stock fisico '!D:D, MATCH(B18, 'stock fisico '!B:B, 0))</f>
        <v>Lavavajillas</v>
      </c>
      <c r="AV18" s="43" t="str">
        <f>INDEX('stock fisico '!L:L, MATCH(B18, 'stock fisico '!B:B, 0))</f>
        <v>Philco</v>
      </c>
    </row>
    <row r="19" spans="1:48" x14ac:dyDescent="0.25">
      <c r="A19" s="48">
        <f>INDEX('stock fisico '!M:M, MATCH(B19, 'stock fisico '!B:B, 0))</f>
        <v>8685</v>
      </c>
      <c r="B19" s="47" t="s">
        <v>140</v>
      </c>
      <c r="C19" s="46" t="str">
        <f>INDEX('stock fisico '!C:C, MATCH(B19, 'stock fisico '!B:B, 0))</f>
        <v>TV LED BGH 50" GOOGLE B5024US6G PNE 040294 EAN 7796885402949</v>
      </c>
      <c r="D19" s="44">
        <f>INDEX('stock fisico '!I:I, MATCH(B19, 'stock fisico '!B:B, 0))</f>
        <v>376980</v>
      </c>
      <c r="E19" s="6">
        <f t="shared" ca="1" si="39"/>
        <v>459731.70731707319</v>
      </c>
      <c r="F19" s="148">
        <f t="shared" ca="1" si="4"/>
        <v>20419.832092793295</v>
      </c>
      <c r="G19" s="148">
        <f t="shared" ca="1" si="5"/>
        <v>12445.349772540343</v>
      </c>
      <c r="H19" s="148">
        <f t="shared" ca="1" si="6"/>
        <v>5973.7678908193648</v>
      </c>
      <c r="I19" s="148">
        <f t="shared" ca="1" si="7"/>
        <v>746.7209863524206</v>
      </c>
      <c r="J19" s="148">
        <f t="shared" ca="1" si="8"/>
        <v>1493.4419727048412</v>
      </c>
      <c r="K19" s="148">
        <f t="shared" ca="1" si="9"/>
        <v>497813.99090161372</v>
      </c>
      <c r="L19" s="32">
        <f t="shared" ca="1" si="40"/>
        <v>487618.74927339068</v>
      </c>
      <c r="M19" s="148">
        <f t="shared" ca="1" si="10"/>
        <v>24708.744781484496</v>
      </c>
      <c r="N19" s="148">
        <f t="shared" ca="1" si="11"/>
        <v>15059.329080111958</v>
      </c>
      <c r="O19" s="148">
        <f t="shared" ca="1" si="12"/>
        <v>7228.47795845374</v>
      </c>
      <c r="P19" s="148">
        <f t="shared" ca="1" si="13"/>
        <v>903.5597448067175</v>
      </c>
      <c r="Q19" s="148">
        <f t="shared" ca="1" si="14"/>
        <v>1807.119489613435</v>
      </c>
      <c r="R19" s="148">
        <f t="shared" ca="1" si="15"/>
        <v>96575.47739075798</v>
      </c>
      <c r="S19" s="148">
        <f t="shared" ca="1" si="16"/>
        <v>602373.16320447833</v>
      </c>
      <c r="T19" s="28">
        <f t="shared" ca="1" si="41"/>
        <v>590051.52693738288</v>
      </c>
      <c r="U19" s="148">
        <f t="shared" ca="1" si="17"/>
        <v>28559.312759999189</v>
      </c>
      <c r="V19" s="148">
        <f t="shared" ca="1" si="18"/>
        <v>21061.440088494975</v>
      </c>
      <c r="W19" s="148">
        <f t="shared" ca="1" si="19"/>
        <v>10109.491242477588</v>
      </c>
      <c r="X19" s="148">
        <f t="shared" ca="1" si="20"/>
        <v>1263.6864053096986</v>
      </c>
      <c r="Y19" s="148">
        <f t="shared" ca="1" si="21"/>
        <v>2527.3728106193971</v>
      </c>
      <c r="Z19" s="148">
        <f t="shared" ca="1" si="22"/>
        <v>183234.52876990629</v>
      </c>
      <c r="AA19" s="148">
        <f t="shared" ca="1" si="23"/>
        <v>696245.95333867695</v>
      </c>
      <c r="AB19" s="24">
        <f t="shared" ca="1" si="42"/>
        <v>684162.41290007567</v>
      </c>
      <c r="AC19" s="148">
        <f t="shared" ca="1" si="24"/>
        <v>33825.496208515287</v>
      </c>
      <c r="AD19" s="148">
        <f t="shared" ca="1" si="25"/>
        <v>24945.056200969975</v>
      </c>
      <c r="AE19" s="148">
        <f t="shared" ca="1" si="26"/>
        <v>11973.626976465588</v>
      </c>
      <c r="AF19" s="148">
        <f t="shared" ca="1" si="27"/>
        <v>1496.7033720581985</v>
      </c>
      <c r="AG19" s="148">
        <f t="shared" ca="1" si="28"/>
        <v>2993.406744116397</v>
      </c>
      <c r="AH19" s="148">
        <f t="shared" ca="1" si="29"/>
        <v>301835.18003173667</v>
      </c>
      <c r="AI19" s="148">
        <f t="shared" ca="1" si="30"/>
        <v>824629.95705685869</v>
      </c>
      <c r="AJ19" s="20">
        <f t="shared" ca="1" si="43"/>
        <v>810359.41727790714</v>
      </c>
      <c r="AK19" s="148">
        <f t="shared" ca="1" si="31"/>
        <v>39534.0049188263</v>
      </c>
      <c r="AL19" s="148">
        <f t="shared" ca="1" si="32"/>
        <v>29154.870884090189</v>
      </c>
      <c r="AM19" s="148">
        <f t="shared" ca="1" si="33"/>
        <v>13994.338024363291</v>
      </c>
      <c r="AN19" s="148">
        <f t="shared" ca="1" si="34"/>
        <v>1749.2922530454114</v>
      </c>
      <c r="AO19" s="148">
        <f t="shared" ca="1" si="35"/>
        <v>3498.5845060908227</v>
      </c>
      <c r="AP19" s="148">
        <f t="shared" ca="1" si="36"/>
        <v>430325.89424917119</v>
      </c>
      <c r="AQ19" s="148">
        <f t="shared" ca="1" si="37"/>
        <v>963797.38459802279</v>
      </c>
      <c r="AR19" s="17">
        <f t="shared" ca="1" si="44"/>
        <v>947084.52901552478</v>
      </c>
      <c r="AS19" s="148">
        <f t="shared" ca="1" si="38"/>
        <v>402990.70187883527</v>
      </c>
      <c r="AT19" s="48" t="str">
        <f>INDEX('stock fisico '!N:N, MATCH(B19, 'stock fisico '!B:B, 0))</f>
        <v>TV-AUDIO-VIDEO</v>
      </c>
      <c r="AU19" s="46" t="str">
        <f>INDEX('stock fisico '!D:D, MATCH(B19, 'stock fisico '!B:B, 0))</f>
        <v>Televisores</v>
      </c>
      <c r="AV19" s="43" t="str">
        <f>INDEX('stock fisico '!L:L, MATCH(B19, 'stock fisico '!B:B, 0))</f>
        <v>Bgh</v>
      </c>
    </row>
    <row r="20" spans="1:48" x14ac:dyDescent="0.25">
      <c r="A20" s="48">
        <f>INDEX('stock fisico '!M:M, MATCH(B20, 'stock fisico '!B:B, 0))</f>
        <v>9976</v>
      </c>
      <c r="B20" s="47" t="s">
        <v>1626</v>
      </c>
      <c r="C20" s="46" t="str">
        <f>INDEX('stock fisico '!C:C, MATCH(B20, 'stock fisico '!B:B, 0))</f>
        <v>MICROONDAS ROTATIVO PHILCO MPHRW20UAP BLANCO 20L EAN 07799111674530</v>
      </c>
      <c r="D20" s="44">
        <f>INDEX('stock fisico '!I:I, MATCH(B20, 'stock fisico '!B:B, 0))</f>
        <v>99240</v>
      </c>
      <c r="E20" s="6">
        <f t="shared" ca="1" si="39"/>
        <v>121024.39024390244</v>
      </c>
      <c r="F20" s="148">
        <f t="shared" ca="1" si="4"/>
        <v>5375.5216109311004</v>
      </c>
      <c r="G20" s="148">
        <f t="shared" ca="1" si="5"/>
        <v>3276.2388228205837</v>
      </c>
      <c r="H20" s="148">
        <f t="shared" ca="1" si="6"/>
        <v>1572.5946349538801</v>
      </c>
      <c r="I20" s="148">
        <f t="shared" ca="1" si="7"/>
        <v>196.57432936923502</v>
      </c>
      <c r="J20" s="148">
        <f t="shared" ca="1" si="8"/>
        <v>393.14865873847003</v>
      </c>
      <c r="K20" s="148">
        <f t="shared" ca="1" si="9"/>
        <v>131049.55291282335</v>
      </c>
      <c r="L20" s="32">
        <f t="shared" ca="1" si="40"/>
        <v>128365.65514852588</v>
      </c>
      <c r="M20" s="148">
        <f t="shared" ca="1" si="10"/>
        <v>6504.5780468845069</v>
      </c>
      <c r="N20" s="148">
        <f t="shared" ca="1" si="11"/>
        <v>3964.3689795488108</v>
      </c>
      <c r="O20" s="148">
        <f t="shared" ca="1" si="12"/>
        <v>1902.897110183429</v>
      </c>
      <c r="P20" s="148">
        <f t="shared" ca="1" si="13"/>
        <v>237.86213877292863</v>
      </c>
      <c r="Q20" s="148">
        <f t="shared" ca="1" si="14"/>
        <v>475.72427754585726</v>
      </c>
      <c r="R20" s="148">
        <f t="shared" ca="1" si="15"/>
        <v>25423.498265846523</v>
      </c>
      <c r="S20" s="148">
        <f t="shared" ca="1" si="16"/>
        <v>158574.75918195242</v>
      </c>
      <c r="T20" s="28">
        <f t="shared" ca="1" si="41"/>
        <v>155331.08794436275</v>
      </c>
      <c r="U20" s="148">
        <f t="shared" ca="1" si="17"/>
        <v>7518.2402204422506</v>
      </c>
      <c r="V20" s="148">
        <f t="shared" ca="1" si="18"/>
        <v>5544.4249413290927</v>
      </c>
      <c r="W20" s="148">
        <f t="shared" ca="1" si="19"/>
        <v>2661.3239718379646</v>
      </c>
      <c r="X20" s="148">
        <f t="shared" ca="1" si="20"/>
        <v>332.66549647974557</v>
      </c>
      <c r="Y20" s="148">
        <f t="shared" ca="1" si="21"/>
        <v>665.33099295949114</v>
      </c>
      <c r="Z20" s="148">
        <f t="shared" ca="1" si="22"/>
        <v>48236.496989563107</v>
      </c>
      <c r="AA20" s="148">
        <f t="shared" ca="1" si="23"/>
        <v>183286.77491997002</v>
      </c>
      <c r="AB20" s="24">
        <f t="shared" ca="1" si="42"/>
        <v>180105.78241870526</v>
      </c>
      <c r="AC20" s="148">
        <f t="shared" ca="1" si="24"/>
        <v>8904.5632228050745</v>
      </c>
      <c r="AD20" s="148">
        <f t="shared" ca="1" si="25"/>
        <v>6566.7870374668692</v>
      </c>
      <c r="AE20" s="148">
        <f t="shared" ca="1" si="26"/>
        <v>3152.0577779840974</v>
      </c>
      <c r="AF20" s="148">
        <f t="shared" ca="1" si="27"/>
        <v>394.00722224801217</v>
      </c>
      <c r="AG20" s="148">
        <f t="shared" ca="1" si="28"/>
        <v>788.01444449602434</v>
      </c>
      <c r="AH20" s="148">
        <f t="shared" ca="1" si="29"/>
        <v>79458.123153349123</v>
      </c>
      <c r="AI20" s="148">
        <f t="shared" ca="1" si="30"/>
        <v>217083.86900716924</v>
      </c>
      <c r="AJ20" s="20">
        <f t="shared" ca="1" si="43"/>
        <v>213327.14884253676</v>
      </c>
      <c r="AK20" s="148">
        <f t="shared" ca="1" si="31"/>
        <v>10407.328367935492</v>
      </c>
      <c r="AL20" s="148">
        <f t="shared" ca="1" si="32"/>
        <v>7675.0209203064096</v>
      </c>
      <c r="AM20" s="148">
        <f t="shared" ca="1" si="33"/>
        <v>3684.0100417470767</v>
      </c>
      <c r="AN20" s="148">
        <f t="shared" ca="1" si="34"/>
        <v>460.50125521838459</v>
      </c>
      <c r="AO20" s="148">
        <f t="shared" ca="1" si="35"/>
        <v>921.00251043676917</v>
      </c>
      <c r="AP20" s="148">
        <f t="shared" ca="1" si="36"/>
        <v>113283.3087837226</v>
      </c>
      <c r="AQ20" s="148">
        <f t="shared" ca="1" si="37"/>
        <v>253719.69984483998</v>
      </c>
      <c r="AR20" s="17">
        <f t="shared" ca="1" si="44"/>
        <v>249320.0399477444</v>
      </c>
      <c r="AS20" s="148">
        <f t="shared" ca="1" si="38"/>
        <v>106087.31830456684</v>
      </c>
      <c r="AT20" s="48" t="str">
        <f>INDEX('stock fisico '!N:N, MATCH(B20, 'stock fisico '!B:B, 0))</f>
        <v>ELECTRODOMESTICOS Y AIRES ACOND</v>
      </c>
      <c r="AU20" s="46" t="str">
        <f>INDEX('stock fisico '!D:D, MATCH(B20, 'stock fisico '!B:B, 0))</f>
        <v>Microondas</v>
      </c>
      <c r="AV20" s="43" t="str">
        <f>INDEX('stock fisico '!L:L, MATCH(B20, 'stock fisico '!B:B, 0))</f>
        <v>Philco</v>
      </c>
    </row>
    <row r="21" spans="1:48" x14ac:dyDescent="0.25">
      <c r="A21" s="48">
        <f>INDEX('stock fisico '!M:M, MATCH(B21, 'stock fisico '!B:B, 0))</f>
        <v>9972</v>
      </c>
      <c r="B21" s="47" t="s">
        <v>1576</v>
      </c>
      <c r="C21" s="46" t="str">
        <f>INDEX('stock fisico '!C:C, MATCH(B21, 'stock fisico '!B:B, 0))</f>
        <v>HELADERA ONE DOOR CON DISPENSER PLATA PHSD179PD2 – PHILCO EAN: 7799111676077</v>
      </c>
      <c r="D21" s="44">
        <f>INDEX('stock fisico '!I:I, MATCH(B21, 'stock fisico '!B:B, 0))</f>
        <v>262032</v>
      </c>
      <c r="E21" s="6">
        <f t="shared" ca="1" si="39"/>
        <v>319551.21951219515</v>
      </c>
      <c r="F21" s="148">
        <f t="shared" ca="1" si="4"/>
        <v>14193.457061220257</v>
      </c>
      <c r="G21" s="148">
        <f t="shared" ca="1" si="5"/>
        <v>8650.5382025526324</v>
      </c>
      <c r="H21" s="148">
        <f t="shared" ca="1" si="6"/>
        <v>4152.2583372252639</v>
      </c>
      <c r="I21" s="148">
        <f t="shared" ca="1" si="7"/>
        <v>519.03229215315798</v>
      </c>
      <c r="J21" s="148">
        <f t="shared" ca="1" si="8"/>
        <v>1038.064584306316</v>
      </c>
      <c r="K21" s="148">
        <f t="shared" ca="1" si="9"/>
        <v>346021.52810210531</v>
      </c>
      <c r="L21" s="32">
        <f t="shared" ca="1" si="40"/>
        <v>338934.99949494697</v>
      </c>
      <c r="M21" s="148">
        <f t="shared" ca="1" si="10"/>
        <v>17174.602930081026</v>
      </c>
      <c r="N21" s="148">
        <f t="shared" ca="1" si="11"/>
        <v>10467.468081913887</v>
      </c>
      <c r="O21" s="148">
        <f t="shared" ca="1" si="12"/>
        <v>5024.3846793186649</v>
      </c>
      <c r="P21" s="148">
        <f t="shared" ca="1" si="13"/>
        <v>628.04808491483311</v>
      </c>
      <c r="Q21" s="148">
        <f t="shared" ca="1" si="14"/>
        <v>1256.0961698296662</v>
      </c>
      <c r="R21" s="148">
        <f t="shared" ca="1" si="15"/>
        <v>67127.872809313747</v>
      </c>
      <c r="S21" s="148">
        <f t="shared" ca="1" si="16"/>
        <v>418698.72327655542</v>
      </c>
      <c r="T21" s="28">
        <f t="shared" ca="1" si="41"/>
        <v>410134.17610073823</v>
      </c>
      <c r="U21" s="148">
        <f t="shared" ca="1" si="17"/>
        <v>19851.063295474847</v>
      </c>
      <c r="V21" s="148">
        <f t="shared" ca="1" si="18"/>
        <v>14639.427209052248</v>
      </c>
      <c r="W21" s="148">
        <f t="shared" ca="1" si="19"/>
        <v>7026.9250603450791</v>
      </c>
      <c r="X21" s="148">
        <f t="shared" ca="1" si="20"/>
        <v>878.36563254313489</v>
      </c>
      <c r="Y21" s="148">
        <f t="shared" ca="1" si="21"/>
        <v>1756.7312650862698</v>
      </c>
      <c r="Z21" s="148">
        <f t="shared" ca="1" si="22"/>
        <v>127363.01671875454</v>
      </c>
      <c r="AA21" s="148">
        <f t="shared" ca="1" si="23"/>
        <v>483948.00691081811</v>
      </c>
      <c r="AB21" s="24">
        <f t="shared" ca="1" si="42"/>
        <v>475548.95585185592</v>
      </c>
      <c r="AC21" s="148">
        <f t="shared" ca="1" si="24"/>
        <v>23511.492446574561</v>
      </c>
      <c r="AD21" s="148">
        <f t="shared" ca="1" si="25"/>
        <v>17338.858736411916</v>
      </c>
      <c r="AE21" s="148">
        <f t="shared" ca="1" si="26"/>
        <v>8322.6521934777211</v>
      </c>
      <c r="AF21" s="148">
        <f t="shared" ca="1" si="27"/>
        <v>1040.3315241847151</v>
      </c>
      <c r="AG21" s="148">
        <f t="shared" ca="1" si="28"/>
        <v>2080.6630483694303</v>
      </c>
      <c r="AH21" s="148">
        <f t="shared" ca="1" si="29"/>
        <v>209800.1907105842</v>
      </c>
      <c r="AI21" s="148">
        <f t="shared" ca="1" si="30"/>
        <v>573185.4127739477</v>
      </c>
      <c r="AJ21" s="20">
        <f t="shared" ca="1" si="43"/>
        <v>563266.21791120106</v>
      </c>
      <c r="AK21" s="148">
        <f t="shared" ca="1" si="31"/>
        <v>27479.373910790735</v>
      </c>
      <c r="AL21" s="148">
        <f t="shared" ca="1" si="32"/>
        <v>20265.025007957771</v>
      </c>
      <c r="AM21" s="148">
        <f t="shared" ca="1" si="33"/>
        <v>9727.2120038197299</v>
      </c>
      <c r="AN21" s="148">
        <f t="shared" ca="1" si="34"/>
        <v>1215.9015004774662</v>
      </c>
      <c r="AO21" s="148">
        <f t="shared" ca="1" si="35"/>
        <v>2431.8030009549325</v>
      </c>
      <c r="AP21" s="148">
        <f t="shared" ca="1" si="36"/>
        <v>299111.76911745669</v>
      </c>
      <c r="AQ21" s="148">
        <f t="shared" ca="1" si="37"/>
        <v>669918.18208124861</v>
      </c>
      <c r="AR21" s="17">
        <f t="shared" ca="1" si="44"/>
        <v>658301.37754521728</v>
      </c>
      <c r="AS21" s="148">
        <f t="shared" ca="1" si="38"/>
        <v>280111.56983053469</v>
      </c>
      <c r="AT21" s="48" t="str">
        <f>INDEX('stock fisico '!N:N, MATCH(B21, 'stock fisico '!B:B, 0))</f>
        <v>ELECTRODOMESTICOS Y AIRES ACOND</v>
      </c>
      <c r="AU21" s="46" t="str">
        <f>INDEX('stock fisico '!D:D, MATCH(B21, 'stock fisico '!B:B, 0))</f>
        <v>Heladeras</v>
      </c>
      <c r="AV21" s="43" t="str">
        <f>INDEX('stock fisico '!L:L, MATCH(B21, 'stock fisico '!B:B, 0))</f>
        <v>Philco</v>
      </c>
    </row>
    <row r="22" spans="1:48" x14ac:dyDescent="0.25">
      <c r="A22" s="48">
        <f>INDEX('stock fisico '!M:M, MATCH(B22, 'stock fisico '!B:B, 0))</f>
        <v>9975</v>
      </c>
      <c r="B22" s="47" t="s">
        <v>1624</v>
      </c>
      <c r="C22" s="46" t="str">
        <f>INDEX('stock fisico '!C:C, MATCH(B22, 'stock fisico '!B:B, 0))</f>
        <v>MICROONDAS DIGITAL BLANCO PHILCO MPHDW23UAP 900W 23L</v>
      </c>
      <c r="D22" s="44">
        <f>INDEX('stock fisico '!I:I, MATCH(B22, 'stock fisico '!B:B, 0))</f>
        <v>144842</v>
      </c>
      <c r="E22" s="6">
        <f t="shared" ca="1" si="39"/>
        <v>176636.58536585365</v>
      </c>
      <c r="F22" s="148">
        <f t="shared" ca="1" si="4"/>
        <v>7845.6398747529474</v>
      </c>
      <c r="G22" s="148">
        <f t="shared" ca="1" si="5"/>
        <v>4781.7108381194985</v>
      </c>
      <c r="H22" s="148">
        <f t="shared" ca="1" si="6"/>
        <v>2295.221202297359</v>
      </c>
      <c r="I22" s="148">
        <f t="shared" ca="1" si="7"/>
        <v>286.90265028716988</v>
      </c>
      <c r="J22" s="148">
        <f t="shared" ca="1" si="8"/>
        <v>573.80530057433975</v>
      </c>
      <c r="K22" s="148">
        <f t="shared" ca="1" si="9"/>
        <v>191268.43352477992</v>
      </c>
      <c r="L22" s="32">
        <f t="shared" ca="1" si="40"/>
        <v>187351.25174347829</v>
      </c>
      <c r="M22" s="148">
        <f t="shared" ca="1" si="10"/>
        <v>9493.51162300328</v>
      </c>
      <c r="N22" s="148">
        <f t="shared" ca="1" si="11"/>
        <v>5786.0452613443049</v>
      </c>
      <c r="O22" s="148">
        <f t="shared" ca="1" si="12"/>
        <v>2777.3017254452661</v>
      </c>
      <c r="P22" s="148">
        <f t="shared" ca="1" si="13"/>
        <v>347.16271568065827</v>
      </c>
      <c r="Q22" s="148">
        <f t="shared" ca="1" si="14"/>
        <v>694.32543136131653</v>
      </c>
      <c r="R22" s="148">
        <f t="shared" ca="1" si="15"/>
        <v>37105.908261001023</v>
      </c>
      <c r="S22" s="148">
        <f t="shared" ca="1" si="16"/>
        <v>231441.81045377217</v>
      </c>
      <c r="T22" s="28">
        <f t="shared" ca="1" si="41"/>
        <v>226707.63240666455</v>
      </c>
      <c r="U22" s="148">
        <f t="shared" ca="1" si="17"/>
        <v>10972.96402669585</v>
      </c>
      <c r="V22" s="148">
        <f t="shared" ca="1" si="18"/>
        <v>8092.1563618700966</v>
      </c>
      <c r="W22" s="148">
        <f t="shared" ca="1" si="19"/>
        <v>3884.2350536976464</v>
      </c>
      <c r="X22" s="148">
        <f t="shared" ca="1" si="20"/>
        <v>485.5293817122058</v>
      </c>
      <c r="Y22" s="148">
        <f t="shared" ca="1" si="21"/>
        <v>971.05876342441161</v>
      </c>
      <c r="Z22" s="148">
        <f t="shared" ca="1" si="22"/>
        <v>70401.760348269832</v>
      </c>
      <c r="AA22" s="148">
        <f t="shared" ca="1" si="23"/>
        <v>267509.30121884617</v>
      </c>
      <c r="AB22" s="24">
        <f t="shared" ca="1" si="42"/>
        <v>262866.60355794139</v>
      </c>
      <c r="AC22" s="148">
        <f t="shared" ca="1" si="24"/>
        <v>12996.319491309276</v>
      </c>
      <c r="AD22" s="148">
        <f t="shared" ca="1" si="25"/>
        <v>9584.3064095201134</v>
      </c>
      <c r="AE22" s="148">
        <f t="shared" ca="1" si="26"/>
        <v>4600.4670765696546</v>
      </c>
      <c r="AF22" s="148">
        <f t="shared" ca="1" si="27"/>
        <v>575.05838457120683</v>
      </c>
      <c r="AG22" s="148">
        <f t="shared" ca="1" si="28"/>
        <v>1150.1167691424137</v>
      </c>
      <c r="AH22" s="148">
        <f t="shared" ca="1" si="29"/>
        <v>115970.10755519338</v>
      </c>
      <c r="AI22" s="148">
        <f t="shared" ca="1" si="30"/>
        <v>316836.5755213261</v>
      </c>
      <c r="AJ22" s="20">
        <f t="shared" ca="1" si="43"/>
        <v>311353.59625806834</v>
      </c>
      <c r="AK22" s="148">
        <f t="shared" ca="1" si="31"/>
        <v>15189.62369476534</v>
      </c>
      <c r="AL22" s="148">
        <f t="shared" ca="1" si="32"/>
        <v>11201.787385520161</v>
      </c>
      <c r="AM22" s="148">
        <f t="shared" ca="1" si="33"/>
        <v>5376.8579450496782</v>
      </c>
      <c r="AN22" s="148">
        <f t="shared" ca="1" si="34"/>
        <v>672.10724313120977</v>
      </c>
      <c r="AO22" s="148">
        <f t="shared" ca="1" si="35"/>
        <v>1344.2144862624195</v>
      </c>
      <c r="AP22" s="148">
        <f t="shared" ca="1" si="36"/>
        <v>165338.38181027758</v>
      </c>
      <c r="AQ22" s="148">
        <f t="shared" ca="1" si="37"/>
        <v>370307.02100893098</v>
      </c>
      <c r="AR22" s="17">
        <f t="shared" ca="1" si="44"/>
        <v>363885.66330220865</v>
      </c>
      <c r="AS22" s="148">
        <f t="shared" ca="1" si="38"/>
        <v>154835.74524254404</v>
      </c>
      <c r="AT22" s="48" t="str">
        <f>INDEX('stock fisico '!N:N, MATCH(B22, 'stock fisico '!B:B, 0))</f>
        <v>ELECTRODOMESTICOS Y AIRES ACOND</v>
      </c>
      <c r="AU22" s="46" t="str">
        <f>INDEX('stock fisico '!D:D, MATCH(B22, 'stock fisico '!B:B, 0))</f>
        <v>Microondas</v>
      </c>
      <c r="AV22" s="43" t="str">
        <f>INDEX('stock fisico '!L:L, MATCH(B22, 'stock fisico '!B:B, 0))</f>
        <v>Philco</v>
      </c>
    </row>
    <row r="23" spans="1:48" x14ac:dyDescent="0.25">
      <c r="A23" s="48">
        <f>INDEX('stock fisico '!M:M, MATCH(B23, 'stock fisico '!B:B, 0))</f>
        <v>9560</v>
      </c>
      <c r="B23" s="47" t="s">
        <v>1060</v>
      </c>
      <c r="C23" s="46" t="str">
        <f>INDEX('stock fisico '!C:C, MATCH(B23, 'stock fisico '!B:B, 0))</f>
        <v>AIRE ACONDICIONADO BGH INVERTER 5300 PNB045571 EAN:  7796885455723</v>
      </c>
      <c r="D23" s="44">
        <f>INDEX('stock fisico '!I:I, MATCH(B23, 'stock fisico '!B:B, 0))</f>
        <v>907469</v>
      </c>
      <c r="E23" s="6">
        <f t="shared" ca="1" si="39"/>
        <v>1106669.512195122</v>
      </c>
      <c r="F23" s="148">
        <f t="shared" ca="1" si="4"/>
        <v>49154.768447702896</v>
      </c>
      <c r="G23" s="148">
        <f t="shared" ca="1" si="5"/>
        <v>29958.536560924753</v>
      </c>
      <c r="H23" s="148">
        <f t="shared" ca="1" si="6"/>
        <v>14380.097549243881</v>
      </c>
      <c r="I23" s="148">
        <f t="shared" ca="1" si="7"/>
        <v>1797.5121936554851</v>
      </c>
      <c r="J23" s="148">
        <f t="shared" ca="1" si="8"/>
        <v>3595.0243873109703</v>
      </c>
      <c r="K23" s="148">
        <f t="shared" ca="1" si="9"/>
        <v>1198341.4624369901</v>
      </c>
      <c r="L23" s="32">
        <f t="shared" ca="1" si="40"/>
        <v>1173799.4025793797</v>
      </c>
      <c r="M23" s="148">
        <f t="shared" ca="1" si="10"/>
        <v>59479.070290490083</v>
      </c>
      <c r="N23" s="148">
        <f t="shared" ca="1" si="11"/>
        <v>36250.926577007049</v>
      </c>
      <c r="O23" s="148">
        <f t="shared" ca="1" si="12"/>
        <v>17400.444756963385</v>
      </c>
      <c r="P23" s="148">
        <f t="shared" ca="1" si="13"/>
        <v>2175.0555946204231</v>
      </c>
      <c r="Q23" s="148">
        <f t="shared" ca="1" si="14"/>
        <v>4350.1111892408462</v>
      </c>
      <c r="R23" s="148">
        <f t="shared" ca="1" si="15"/>
        <v>232477.1921383462</v>
      </c>
      <c r="S23" s="148">
        <f t="shared" ca="1" si="16"/>
        <v>1450037.063080282</v>
      </c>
      <c r="T23" s="28">
        <f t="shared" ca="1" si="41"/>
        <v>1420376.3305701625</v>
      </c>
      <c r="U23" s="148">
        <f t="shared" ca="1" si="17"/>
        <v>68748.185556272758</v>
      </c>
      <c r="V23" s="148">
        <f t="shared" ca="1" si="18"/>
        <v>50699.251885156904</v>
      </c>
      <c r="W23" s="148">
        <f t="shared" ca="1" si="19"/>
        <v>24335.640904875312</v>
      </c>
      <c r="X23" s="148">
        <f t="shared" ca="1" si="20"/>
        <v>3041.955113109414</v>
      </c>
      <c r="Y23" s="148">
        <f t="shared" ca="1" si="21"/>
        <v>6083.910226218828</v>
      </c>
      <c r="Z23" s="148">
        <f t="shared" ca="1" si="22"/>
        <v>441083.49140086502</v>
      </c>
      <c r="AA23" s="148">
        <f t="shared" ca="1" si="23"/>
        <v>1676008.3267820464</v>
      </c>
      <c r="AB23" s="24">
        <f t="shared" ca="1" si="42"/>
        <v>1646920.7402833537</v>
      </c>
      <c r="AC23" s="148">
        <f t="shared" ca="1" si="24"/>
        <v>81424.980685567294</v>
      </c>
      <c r="AD23" s="148">
        <f t="shared" ca="1" si="25"/>
        <v>60047.920859562902</v>
      </c>
      <c r="AE23" s="148">
        <f t="shared" ca="1" si="26"/>
        <v>28823.002012590194</v>
      </c>
      <c r="AF23" s="148">
        <f t="shared" ca="1" si="27"/>
        <v>3602.8752515737742</v>
      </c>
      <c r="AG23" s="148">
        <f t="shared" ca="1" si="28"/>
        <v>7205.7505031475484</v>
      </c>
      <c r="AH23" s="148">
        <f t="shared" ca="1" si="29"/>
        <v>726579.84240071115</v>
      </c>
      <c r="AI23" s="148">
        <f t="shared" ca="1" si="30"/>
        <v>1985055.2350268729</v>
      </c>
      <c r="AJ23" s="20">
        <f t="shared" ca="1" si="43"/>
        <v>1950703.0877971381</v>
      </c>
      <c r="AK23" s="148">
        <f t="shared" ca="1" si="31"/>
        <v>95166.544404696222</v>
      </c>
      <c r="AL23" s="148">
        <f t="shared" ca="1" si="32"/>
        <v>70181.817407593087</v>
      </c>
      <c r="AM23" s="148">
        <f t="shared" ca="1" si="33"/>
        <v>33687.27235564468</v>
      </c>
      <c r="AN23" s="148">
        <f t="shared" ca="1" si="34"/>
        <v>4210.909044455585</v>
      </c>
      <c r="AO23" s="148">
        <f t="shared" ca="1" si="35"/>
        <v>8421.81808891117</v>
      </c>
      <c r="AP23" s="148">
        <f t="shared" ca="1" si="36"/>
        <v>1035883.6249360739</v>
      </c>
      <c r="AQ23" s="148">
        <f t="shared" ca="1" si="37"/>
        <v>2320060.079589854</v>
      </c>
      <c r="AR23" s="17">
        <f t="shared" ca="1" si="44"/>
        <v>2279828.7719804477</v>
      </c>
      <c r="AS23" s="148">
        <f t="shared" ca="1" si="38"/>
        <v>970082.15089204942</v>
      </c>
      <c r="AT23" s="48" t="str">
        <f>INDEX('stock fisico '!N:N, MATCH(B23, 'stock fisico '!B:B, 0))</f>
        <v>ELECTRODOMESTICOS Y AIRES ACOND</v>
      </c>
      <c r="AU23" s="46" t="str">
        <f>INDEX('stock fisico '!D:D, MATCH(B23, 'stock fisico '!B:B, 0))</f>
        <v>Aires acondicionados</v>
      </c>
      <c r="AV23" s="43" t="str">
        <f>INDEX('stock fisico '!L:L, MATCH(B23, 'stock fisico '!B:B, 0))</f>
        <v>Bgh</v>
      </c>
    </row>
    <row r="24" spans="1:48" x14ac:dyDescent="0.25">
      <c r="A24" s="48">
        <f>INDEX('stock fisico '!M:M, MATCH(B24, 'stock fisico '!B:B, 0))</f>
        <v>9814</v>
      </c>
      <c r="B24" s="47" t="s">
        <v>1071</v>
      </c>
      <c r="C24" s="46" t="str">
        <f>INDEX('stock fisico '!C:C, MATCH(B24, 'stock fisico '!B:B, 0))</f>
        <v>MICROONDAS ATMA ROTATIVO 20L BLACK MATRB20UAP EAN 7799111674165</v>
      </c>
      <c r="D24" s="44">
        <f>INDEX('stock fisico '!I:I, MATCH(B24, 'stock fisico '!B:B, 0))</f>
        <v>106501.01</v>
      </c>
      <c r="E24" s="6">
        <f t="shared" ca="1" si="39"/>
        <v>129879.28048780488</v>
      </c>
      <c r="F24" s="148">
        <f t="shared" ca="1" si="4"/>
        <v>5768.8279004533379</v>
      </c>
      <c r="G24" s="148">
        <f t="shared" ca="1" si="5"/>
        <v>3515.9486460258286</v>
      </c>
      <c r="H24" s="148">
        <f t="shared" ca="1" si="6"/>
        <v>1687.6553500923976</v>
      </c>
      <c r="I24" s="148">
        <f t="shared" ca="1" si="7"/>
        <v>210.9569187615497</v>
      </c>
      <c r="J24" s="148">
        <f t="shared" ca="1" si="8"/>
        <v>421.9138375230994</v>
      </c>
      <c r="K24" s="148">
        <f t="shared" ca="1" si="9"/>
        <v>140637.94584103313</v>
      </c>
      <c r="L24" s="32">
        <f t="shared" ca="1" si="40"/>
        <v>137757.67757587371</v>
      </c>
      <c r="M24" s="148">
        <f t="shared" ca="1" si="10"/>
        <v>6980.4930634525117</v>
      </c>
      <c r="N24" s="148">
        <f t="shared" ca="1" si="11"/>
        <v>4254.4266458546726</v>
      </c>
      <c r="O24" s="148">
        <f t="shared" ca="1" si="12"/>
        <v>2042.1247900102426</v>
      </c>
      <c r="P24" s="148">
        <f t="shared" ca="1" si="13"/>
        <v>255.26559875128032</v>
      </c>
      <c r="Q24" s="148">
        <f t="shared" ca="1" si="14"/>
        <v>510.53119750256064</v>
      </c>
      <c r="R24" s="148">
        <f t="shared" ca="1" si="15"/>
        <v>27283.63807986601</v>
      </c>
      <c r="S24" s="148">
        <f t="shared" ca="1" si="16"/>
        <v>170177.06583418688</v>
      </c>
      <c r="T24" s="28">
        <f t="shared" ca="1" si="41"/>
        <v>166696.06761863621</v>
      </c>
      <c r="U24" s="148">
        <f t="shared" ca="1" si="17"/>
        <v>8068.3210086630625</v>
      </c>
      <c r="V24" s="148">
        <f t="shared" ca="1" si="18"/>
        <v>5950.0892394270368</v>
      </c>
      <c r="W24" s="148">
        <f t="shared" ca="1" si="19"/>
        <v>2856.0428349249778</v>
      </c>
      <c r="X24" s="148">
        <f t="shared" ca="1" si="20"/>
        <v>357.00535436562222</v>
      </c>
      <c r="Y24" s="148">
        <f t="shared" ca="1" si="21"/>
        <v>714.01070873124445</v>
      </c>
      <c r="Z24" s="148">
        <f t="shared" ca="1" si="22"/>
        <v>51765.776383015225</v>
      </c>
      <c r="AA24" s="148">
        <f t="shared" ca="1" si="23"/>
        <v>196697.16493973677</v>
      </c>
      <c r="AB24" s="24">
        <f t="shared" ca="1" si="42"/>
        <v>193283.43142313938</v>
      </c>
      <c r="AC24" s="148">
        <f t="shared" ca="1" si="24"/>
        <v>9556.0759455622283</v>
      </c>
      <c r="AD24" s="148">
        <f t="shared" ca="1" si="25"/>
        <v>7047.253647169784</v>
      </c>
      <c r="AE24" s="148">
        <f t="shared" ca="1" si="26"/>
        <v>3382.6817506414964</v>
      </c>
      <c r="AF24" s="148">
        <f t="shared" ca="1" si="27"/>
        <v>422.83521883018705</v>
      </c>
      <c r="AG24" s="148">
        <f t="shared" ca="1" si="28"/>
        <v>845.67043766037409</v>
      </c>
      <c r="AH24" s="148">
        <f t="shared" ca="1" si="29"/>
        <v>85271.769130754386</v>
      </c>
      <c r="AI24" s="148">
        <f t="shared" ca="1" si="30"/>
        <v>232967.06271635651</v>
      </c>
      <c r="AJ24" s="20">
        <f t="shared" ca="1" si="43"/>
        <v>228935.47775242338</v>
      </c>
      <c r="AK24" s="148">
        <f t="shared" ca="1" si="31"/>
        <v>11168.792650007876</v>
      </c>
      <c r="AL24" s="148">
        <f t="shared" ca="1" si="32"/>
        <v>8236.5727507432712</v>
      </c>
      <c r="AM24" s="148">
        <f t="shared" ca="1" si="33"/>
        <v>3953.5549203567698</v>
      </c>
      <c r="AN24" s="148">
        <f t="shared" ca="1" si="34"/>
        <v>494.19436504459622</v>
      </c>
      <c r="AO24" s="148">
        <f t="shared" ca="1" si="35"/>
        <v>988.38873008919245</v>
      </c>
      <c r="AP24" s="148">
        <f t="shared" ca="1" si="36"/>
        <v>121571.81380097067</v>
      </c>
      <c r="AQ24" s="148">
        <f t="shared" ca="1" si="37"/>
        <v>272283.39671878581</v>
      </c>
      <c r="AR24" s="17">
        <f t="shared" ca="1" si="44"/>
        <v>267561.83058922936</v>
      </c>
      <c r="AS24" s="148">
        <f t="shared" ca="1" si="38"/>
        <v>113849.32031063944</v>
      </c>
      <c r="AT24" s="48" t="str">
        <f>INDEX('stock fisico '!N:N, MATCH(B24, 'stock fisico '!B:B, 0))</f>
        <v>ELECTRODOMESTICOS Y AIRES ACOND</v>
      </c>
      <c r="AU24" s="46" t="str">
        <f>INDEX('stock fisico '!D:D, MATCH(B24, 'stock fisico '!B:B, 0))</f>
        <v>Microondas</v>
      </c>
      <c r="AV24" s="43" t="str">
        <f>INDEX('stock fisico '!L:L, MATCH(B24, 'stock fisico '!B:B, 0))</f>
        <v>Atma</v>
      </c>
    </row>
    <row r="25" spans="1:48" x14ac:dyDescent="0.25">
      <c r="A25" s="48">
        <f>INDEX('stock fisico '!M:M, MATCH(B25, 'stock fisico '!B:B, 0))</f>
        <v>9853</v>
      </c>
      <c r="B25" s="47" t="s">
        <v>1195</v>
      </c>
      <c r="C25" s="46" t="str">
        <f>INDEX('stock fisico '!C:C, MATCH(B25, 'stock fisico '!B:B, 0))</f>
        <v>MICROONDAS ATMA DIGITAL 20L NEGRO MATDB20UAP EAN 07799111674080</v>
      </c>
      <c r="D25" s="44">
        <f>INDEX('stock fisico '!I:I, MATCH(B25, 'stock fisico '!B:B, 0))</f>
        <v>114425.01</v>
      </c>
      <c r="E25" s="6">
        <f t="shared" ca="1" si="39"/>
        <v>139542.69512195123</v>
      </c>
      <c r="F25" s="148">
        <f t="shared" ca="1" si="4"/>
        <v>6198.0462926844757</v>
      </c>
      <c r="G25" s="148">
        <f t="shared" ca="1" si="5"/>
        <v>3777.5459498552354</v>
      </c>
      <c r="H25" s="148">
        <f t="shared" ca="1" si="6"/>
        <v>1813.2220559305129</v>
      </c>
      <c r="I25" s="148">
        <f t="shared" ca="1" si="7"/>
        <v>226.65275699131411</v>
      </c>
      <c r="J25" s="148">
        <f t="shared" ca="1" si="8"/>
        <v>453.30551398262821</v>
      </c>
      <c r="K25" s="148">
        <f t="shared" ca="1" si="9"/>
        <v>151101.8379942094</v>
      </c>
      <c r="L25" s="32">
        <f t="shared" ca="1" si="40"/>
        <v>148007.26898454883</v>
      </c>
      <c r="M25" s="148">
        <f t="shared" ca="1" si="10"/>
        <v>7499.8630397071756</v>
      </c>
      <c r="N25" s="148">
        <f t="shared" ca="1" si="11"/>
        <v>4570.9689654228378</v>
      </c>
      <c r="O25" s="148">
        <f t="shared" ca="1" si="12"/>
        <v>2194.0651034029624</v>
      </c>
      <c r="P25" s="148">
        <f t="shared" ca="1" si="13"/>
        <v>274.25813792537031</v>
      </c>
      <c r="Q25" s="148">
        <f t="shared" ca="1" si="14"/>
        <v>548.51627585074061</v>
      </c>
      <c r="R25" s="148">
        <f t="shared" ca="1" si="15"/>
        <v>29313.623975256658</v>
      </c>
      <c r="S25" s="148">
        <f t="shared" ca="1" si="16"/>
        <v>182838.75861691352</v>
      </c>
      <c r="T25" s="28">
        <f t="shared" ca="1" si="41"/>
        <v>179098.76351616875</v>
      </c>
      <c r="U25" s="148">
        <f t="shared" ca="1" si="17"/>
        <v>8668.6287022018005</v>
      </c>
      <c r="V25" s="148">
        <f t="shared" ca="1" si="18"/>
        <v>6392.7940281724195</v>
      </c>
      <c r="W25" s="148">
        <f t="shared" ca="1" si="19"/>
        <v>3068.5411335227614</v>
      </c>
      <c r="X25" s="148">
        <f t="shared" ca="1" si="20"/>
        <v>383.56764169034517</v>
      </c>
      <c r="Y25" s="148">
        <f t="shared" ca="1" si="21"/>
        <v>767.13528338069034</v>
      </c>
      <c r="Z25" s="148">
        <f t="shared" ca="1" si="22"/>
        <v>55617.30804510005</v>
      </c>
      <c r="AA25" s="148">
        <f t="shared" ca="1" si="23"/>
        <v>211332.03398917089</v>
      </c>
      <c r="AB25" s="24">
        <f t="shared" ca="1" si="42"/>
        <v>207664.30828615653</v>
      </c>
      <c r="AC25" s="148">
        <f t="shared" ca="1" si="24"/>
        <v>10267.07714444884</v>
      </c>
      <c r="AD25" s="148">
        <f t="shared" ca="1" si="25"/>
        <v>7571.5908144902951</v>
      </c>
      <c r="AE25" s="148">
        <f t="shared" ca="1" si="26"/>
        <v>3634.3635909553418</v>
      </c>
      <c r="AF25" s="148">
        <f t="shared" ca="1" si="27"/>
        <v>454.29544886941773</v>
      </c>
      <c r="AG25" s="148">
        <f t="shared" ca="1" si="28"/>
        <v>908.59089773883545</v>
      </c>
      <c r="AH25" s="148">
        <f t="shared" ca="1" si="29"/>
        <v>91616.248855332567</v>
      </c>
      <c r="AI25" s="148">
        <f t="shared" ca="1" si="30"/>
        <v>250300.52279306762</v>
      </c>
      <c r="AJ25" s="20">
        <f t="shared" ca="1" si="43"/>
        <v>245968.9756104268</v>
      </c>
      <c r="AK25" s="148">
        <f t="shared" ca="1" si="31"/>
        <v>11999.78489091397</v>
      </c>
      <c r="AL25" s="148">
        <f t="shared" ca="1" si="32"/>
        <v>8849.3988871046968</v>
      </c>
      <c r="AM25" s="148">
        <f t="shared" ca="1" si="33"/>
        <v>4247.7114658102546</v>
      </c>
      <c r="AN25" s="148">
        <f t="shared" ca="1" si="34"/>
        <v>530.96393322628182</v>
      </c>
      <c r="AO25" s="148">
        <f t="shared" ca="1" si="35"/>
        <v>1061.9278664525636</v>
      </c>
      <c r="AP25" s="148">
        <f t="shared" ca="1" si="36"/>
        <v>130617.12757366533</v>
      </c>
      <c r="AQ25" s="148">
        <f t="shared" ca="1" si="37"/>
        <v>292542.11197040323</v>
      </c>
      <c r="AR25" s="17">
        <f t="shared" ca="1" si="44"/>
        <v>287469.24691879336</v>
      </c>
      <c r="AS25" s="148">
        <f t="shared" ca="1" si="38"/>
        <v>122320.05701202384</v>
      </c>
      <c r="AT25" s="48" t="str">
        <f>INDEX('stock fisico '!N:N, MATCH(B25, 'stock fisico '!B:B, 0))</f>
        <v>ELECTRODOMESTICOS Y AIRES ACOND</v>
      </c>
      <c r="AU25" s="46" t="str">
        <f>INDEX('stock fisico '!D:D, MATCH(B25, 'stock fisico '!B:B, 0))</f>
        <v>Microondas</v>
      </c>
      <c r="AV25" s="43" t="str">
        <f>INDEX('stock fisico '!L:L, MATCH(B25, 'stock fisico '!B:B, 0))</f>
        <v>Atma</v>
      </c>
    </row>
    <row r="26" spans="1:48" x14ac:dyDescent="0.25">
      <c r="A26" s="48">
        <f>INDEX('stock fisico '!M:M, MATCH(B26, 'stock fisico '!B:B, 0))</f>
        <v>9249</v>
      </c>
      <c r="B26" s="47" t="s">
        <v>1482</v>
      </c>
      <c r="C26" s="46" t="str">
        <f>INDEX('stock fisico '!C:C, MATCH(B26, 'stock fisico '!B:B, 0))</f>
        <v>CLOUDBOOK CA141-C 4GB 128GB GRIS AIWA  EAN:  7798111354589</v>
      </c>
      <c r="D26" s="44">
        <f>INDEX('stock fisico '!I:I, MATCH(B26, 'stock fisico '!B:B, 0))</f>
        <v>217000</v>
      </c>
      <c r="E26" s="6">
        <f t="shared" ca="1" si="39"/>
        <v>264634.14634146343</v>
      </c>
      <c r="F26" s="148">
        <f t="shared" ca="1" si="4"/>
        <v>11754.213921524073</v>
      </c>
      <c r="G26" s="148">
        <f t="shared" ca="1" si="5"/>
        <v>7163.8837621127241</v>
      </c>
      <c r="H26" s="148">
        <f t="shared" ca="1" si="6"/>
        <v>3438.6642058141078</v>
      </c>
      <c r="I26" s="148">
        <f t="shared" ca="1" si="7"/>
        <v>429.83302572676348</v>
      </c>
      <c r="J26" s="148">
        <f t="shared" ca="1" si="8"/>
        <v>859.66605145352696</v>
      </c>
      <c r="K26" s="148">
        <f t="shared" ca="1" si="9"/>
        <v>286555.35048450896</v>
      </c>
      <c r="L26" s="32">
        <f t="shared" ca="1" si="40"/>
        <v>280686.69052025513</v>
      </c>
      <c r="M26" s="148">
        <f t="shared" ca="1" si="10"/>
        <v>14223.029385065882</v>
      </c>
      <c r="N26" s="148">
        <f t="shared" ca="1" si="11"/>
        <v>8668.5617549586059</v>
      </c>
      <c r="O26" s="148">
        <f t="shared" ca="1" si="12"/>
        <v>4160.9096423801302</v>
      </c>
      <c r="P26" s="148">
        <f t="shared" ca="1" si="13"/>
        <v>520.11370529751628</v>
      </c>
      <c r="Q26" s="148">
        <f t="shared" ca="1" si="14"/>
        <v>1040.2274105950326</v>
      </c>
      <c r="R26" s="148">
        <f t="shared" ca="1" si="15"/>
        <v>55591.486534549535</v>
      </c>
      <c r="S26" s="148">
        <f t="shared" ca="1" si="16"/>
        <v>346742.47019834421</v>
      </c>
      <c r="T26" s="28">
        <f t="shared" ca="1" si="41"/>
        <v>339649.79931405402</v>
      </c>
      <c r="U26" s="148">
        <f t="shared" ca="1" si="17"/>
        <v>16439.52164284531</v>
      </c>
      <c r="V26" s="148">
        <f t="shared" ca="1" si="18"/>
        <v>12123.541034546688</v>
      </c>
      <c r="W26" s="148">
        <f t="shared" ca="1" si="19"/>
        <v>5819.2996965824104</v>
      </c>
      <c r="X26" s="148">
        <f t="shared" ca="1" si="20"/>
        <v>727.4124620728013</v>
      </c>
      <c r="Y26" s="148">
        <f t="shared" ca="1" si="21"/>
        <v>1454.8249241456026</v>
      </c>
      <c r="Z26" s="148">
        <f t="shared" ca="1" si="22"/>
        <v>105474.80700055619</v>
      </c>
      <c r="AA26" s="148">
        <f t="shared" ca="1" si="23"/>
        <v>400778.21601807233</v>
      </c>
      <c r="AB26" s="24">
        <f t="shared" ca="1" si="42"/>
        <v>393822.59960559296</v>
      </c>
      <c r="AC26" s="148">
        <f t="shared" ca="1" si="24"/>
        <v>19470.880888237618</v>
      </c>
      <c r="AD26" s="148">
        <f t="shared" ca="1" si="25"/>
        <v>14359.056702240132</v>
      </c>
      <c r="AE26" s="148">
        <f t="shared" ca="1" si="26"/>
        <v>6892.3472170752639</v>
      </c>
      <c r="AF26" s="148">
        <f t="shared" ca="1" si="27"/>
        <v>861.54340213440798</v>
      </c>
      <c r="AG26" s="148">
        <f t="shared" ca="1" si="28"/>
        <v>1723.086804268816</v>
      </c>
      <c r="AH26" s="148">
        <f t="shared" ca="1" si="29"/>
        <v>173744.58609710561</v>
      </c>
      <c r="AI26" s="148">
        <f t="shared" ca="1" si="30"/>
        <v>474679.56040463247</v>
      </c>
      <c r="AJ26" s="20">
        <f t="shared" ca="1" si="43"/>
        <v>466465.04734815075</v>
      </c>
      <c r="AK26" s="148">
        <f t="shared" ca="1" si="31"/>
        <v>22756.854653788811</v>
      </c>
      <c r="AL26" s="148">
        <f t="shared" ca="1" si="32"/>
        <v>16782.341190109742</v>
      </c>
      <c r="AM26" s="148">
        <f t="shared" ca="1" si="33"/>
        <v>8055.5237712526769</v>
      </c>
      <c r="AN26" s="148">
        <f t="shared" ca="1" si="34"/>
        <v>1006.9404714065846</v>
      </c>
      <c r="AO26" s="148">
        <f t="shared" ca="1" si="35"/>
        <v>2013.8809428131692</v>
      </c>
      <c r="AP26" s="148">
        <f t="shared" ca="1" si="36"/>
        <v>247707.35596601982</v>
      </c>
      <c r="AQ26" s="148">
        <f t="shared" ca="1" si="37"/>
        <v>554788.13851602457</v>
      </c>
      <c r="AR26" s="17">
        <f t="shared" ca="1" si="44"/>
        <v>545167.76167533791</v>
      </c>
      <c r="AS26" s="148">
        <f t="shared" ca="1" si="38"/>
        <v>231972.47150434309</v>
      </c>
      <c r="AT26" s="48" t="str">
        <f>INDEX('stock fisico '!N:N, MATCH(B26, 'stock fisico '!B:B, 0))</f>
        <v>INFORMATICA</v>
      </c>
      <c r="AU26" s="46" t="str">
        <f>INDEX('stock fisico '!D:D, MATCH(B26, 'stock fisico '!B:B, 0))</f>
        <v>Notebooks</v>
      </c>
      <c r="AV26" s="43" t="str">
        <f>INDEX('stock fisico '!L:L, MATCH(B26, 'stock fisico '!B:B, 0))</f>
        <v>AIWA</v>
      </c>
    </row>
    <row r="27" spans="1:48" x14ac:dyDescent="0.25">
      <c r="A27" s="48">
        <f>INDEX('stock fisico '!M:M, MATCH(B27, 'stock fisico '!B:B, 0))</f>
        <v>9986</v>
      </c>
      <c r="B27" s="47" t="s">
        <v>1659</v>
      </c>
      <c r="C27" s="46" t="str">
        <f>INDEX('stock fisico '!C:C, MATCH(B27, 'stock fisico '!B:B, 0))</f>
        <v>SMART TV 55” BGH GOOGLE TV – B5524US6G 4K UHD</v>
      </c>
      <c r="D27" s="44">
        <f>INDEX('stock fisico '!I:I, MATCH(B27, 'stock fisico '!B:B, 0))</f>
        <v>439810</v>
      </c>
      <c r="E27" s="6">
        <f t="shared" ca="1" si="39"/>
        <v>536353.6585365854</v>
      </c>
      <c r="F27" s="148">
        <f t="shared" ca="1" si="4"/>
        <v>23823.137441592175</v>
      </c>
      <c r="G27" s="148">
        <f t="shared" ca="1" si="5"/>
        <v>14519.574734630402</v>
      </c>
      <c r="H27" s="148">
        <f t="shared" ca="1" si="6"/>
        <v>6969.3958726225928</v>
      </c>
      <c r="I27" s="148">
        <f t="shared" ca="1" si="7"/>
        <v>871.1744840778241</v>
      </c>
      <c r="J27" s="148">
        <f t="shared" ca="1" si="8"/>
        <v>1742.3489681556482</v>
      </c>
      <c r="K27" s="148">
        <f t="shared" ca="1" si="9"/>
        <v>580782.98938521603</v>
      </c>
      <c r="L27" s="32">
        <f t="shared" ca="1" si="40"/>
        <v>568888.54081895587</v>
      </c>
      <c r="M27" s="148">
        <f t="shared" ca="1" si="10"/>
        <v>28826.868911731912</v>
      </c>
      <c r="N27" s="148">
        <f t="shared" ca="1" si="11"/>
        <v>17569.217260130619</v>
      </c>
      <c r="O27" s="148">
        <f t="shared" ca="1" si="12"/>
        <v>8433.2242848626956</v>
      </c>
      <c r="P27" s="148">
        <f t="shared" ca="1" si="13"/>
        <v>1054.153035607837</v>
      </c>
      <c r="Q27" s="148">
        <f t="shared" ca="1" si="14"/>
        <v>2108.3060712156739</v>
      </c>
      <c r="R27" s="148">
        <f t="shared" ca="1" si="15"/>
        <v>112671.39028921764</v>
      </c>
      <c r="S27" s="148">
        <f t="shared" ca="1" si="16"/>
        <v>702768.69040522468</v>
      </c>
      <c r="T27" s="28">
        <f t="shared" ca="1" si="41"/>
        <v>688393.44809361338</v>
      </c>
      <c r="U27" s="148">
        <f t="shared" ca="1" si="17"/>
        <v>33319.198219999053</v>
      </c>
      <c r="V27" s="148">
        <f t="shared" ca="1" si="18"/>
        <v>24571.68010324414</v>
      </c>
      <c r="W27" s="148">
        <f t="shared" ca="1" si="19"/>
        <v>11794.406449557187</v>
      </c>
      <c r="X27" s="148">
        <f t="shared" ca="1" si="20"/>
        <v>1474.3008061946484</v>
      </c>
      <c r="Y27" s="148">
        <f t="shared" ca="1" si="21"/>
        <v>2948.6016123892969</v>
      </c>
      <c r="Z27" s="148">
        <f t="shared" ca="1" si="22"/>
        <v>213773.61689822402</v>
      </c>
      <c r="AA27" s="148">
        <f t="shared" ca="1" si="23"/>
        <v>812286.94556178979</v>
      </c>
      <c r="AB27" s="24">
        <f t="shared" ca="1" si="42"/>
        <v>798189.48171675496</v>
      </c>
      <c r="AC27" s="148">
        <f t="shared" ca="1" si="24"/>
        <v>39463.078909934498</v>
      </c>
      <c r="AD27" s="148">
        <f t="shared" ca="1" si="25"/>
        <v>29102.565567798305</v>
      </c>
      <c r="AE27" s="148">
        <f t="shared" ca="1" si="26"/>
        <v>13969.231472543186</v>
      </c>
      <c r="AF27" s="148">
        <f t="shared" ca="1" si="27"/>
        <v>1746.1539340678983</v>
      </c>
      <c r="AG27" s="148">
        <f t="shared" ca="1" si="28"/>
        <v>3492.3078681357965</v>
      </c>
      <c r="AH27" s="148">
        <f t="shared" ca="1" si="29"/>
        <v>352141.04337035946</v>
      </c>
      <c r="AI27" s="148">
        <f t="shared" ca="1" si="30"/>
        <v>962068.28323300183</v>
      </c>
      <c r="AJ27" s="20">
        <f t="shared" ca="1" si="43"/>
        <v>945419.32015755831</v>
      </c>
      <c r="AK27" s="148">
        <f t="shared" ca="1" si="31"/>
        <v>46123.00573863068</v>
      </c>
      <c r="AL27" s="148">
        <f t="shared" ca="1" si="32"/>
        <v>34014.016031438558</v>
      </c>
      <c r="AM27" s="148">
        <f t="shared" ca="1" si="33"/>
        <v>16326.727695090507</v>
      </c>
      <c r="AN27" s="148">
        <f t="shared" ca="1" si="34"/>
        <v>2040.8409618863134</v>
      </c>
      <c r="AO27" s="148">
        <f t="shared" ca="1" si="35"/>
        <v>4081.6819237726268</v>
      </c>
      <c r="AP27" s="148">
        <f t="shared" ca="1" si="36"/>
        <v>502046.87662403309</v>
      </c>
      <c r="AQ27" s="148">
        <f t="shared" ca="1" si="37"/>
        <v>1124430.2820310267</v>
      </c>
      <c r="AR27" s="17">
        <f t="shared" ca="1" si="44"/>
        <v>1104931.9505181122</v>
      </c>
      <c r="AS27" s="148">
        <f t="shared" ca="1" si="38"/>
        <v>470155.8188586412</v>
      </c>
      <c r="AT27" s="48" t="str">
        <f>INDEX('stock fisico '!N:N, MATCH(B27, 'stock fisico '!B:B, 0))</f>
        <v>TV-AUDIO-VIDEO</v>
      </c>
      <c r="AU27" s="46" t="str">
        <f>INDEX('stock fisico '!D:D, MATCH(B27, 'stock fisico '!B:B, 0))</f>
        <v>Televisores</v>
      </c>
      <c r="AV27" s="43" t="str">
        <f>INDEX('stock fisico '!L:L, MATCH(B27, 'stock fisico '!B:B, 0))</f>
        <v>Bgh</v>
      </c>
    </row>
    <row r="28" spans="1:48" x14ac:dyDescent="0.25">
      <c r="A28" s="48">
        <f>INDEX('stock fisico '!M:M, MATCH(B28, 'stock fisico '!B:B, 0))</f>
        <v>9968</v>
      </c>
      <c r="B28" s="47" t="s">
        <v>1639</v>
      </c>
      <c r="C28" s="46" t="str">
        <f>INDEX('stock fisico '!C:C, MATCH(B28, 'stock fisico '!B:B, 0))</f>
        <v>COCINA GAS 56CM BLANCA DREAN CD5603AB0</v>
      </c>
      <c r="D28" s="44">
        <f>INDEX('stock fisico '!I:I, MATCH(B28, 'stock fisico '!B:B, 0))</f>
        <v>398012</v>
      </c>
      <c r="E28" s="6">
        <f t="shared" ca="1" si="39"/>
        <v>485380.48780487804</v>
      </c>
      <c r="F28" s="148">
        <f t="shared" ca="1" si="4"/>
        <v>21559.070006145801</v>
      </c>
      <c r="G28" s="148">
        <f t="shared" ca="1" si="5"/>
        <v>13139.685271548431</v>
      </c>
      <c r="H28" s="148">
        <f t="shared" ca="1" si="6"/>
        <v>6307.0489303432469</v>
      </c>
      <c r="I28" s="148">
        <f t="shared" ca="1" si="7"/>
        <v>788.38111629290586</v>
      </c>
      <c r="J28" s="148">
        <f t="shared" ca="1" si="8"/>
        <v>1576.7622325858117</v>
      </c>
      <c r="K28" s="148">
        <f t="shared" ca="1" si="9"/>
        <v>525587.41086193721</v>
      </c>
      <c r="L28" s="32">
        <f t="shared" ca="1" si="40"/>
        <v>514823.36897395289</v>
      </c>
      <c r="M28" s="148">
        <f t="shared" ca="1" si="10"/>
        <v>26087.264385294198</v>
      </c>
      <c r="N28" s="148">
        <f t="shared" ca="1" si="11"/>
        <v>15899.500466426654</v>
      </c>
      <c r="O28" s="148">
        <f t="shared" ca="1" si="12"/>
        <v>7631.760223884794</v>
      </c>
      <c r="P28" s="148">
        <f t="shared" ca="1" si="13"/>
        <v>953.97002798559924</v>
      </c>
      <c r="Q28" s="148">
        <f t="shared" ca="1" si="14"/>
        <v>1907.9400559711985</v>
      </c>
      <c r="R28" s="148">
        <f t="shared" ca="1" si="15"/>
        <v>101963.49649119414</v>
      </c>
      <c r="S28" s="148">
        <f t="shared" ca="1" si="16"/>
        <v>635980.01865706616</v>
      </c>
      <c r="T28" s="28">
        <f t="shared" ca="1" si="41"/>
        <v>622970.94896122231</v>
      </c>
      <c r="U28" s="148">
        <f t="shared" ca="1" si="17"/>
        <v>30152.658470562885</v>
      </c>
      <c r="V28" s="148">
        <f t="shared" ca="1" si="18"/>
        <v>22236.473798350209</v>
      </c>
      <c r="W28" s="148">
        <f t="shared" ca="1" si="19"/>
        <v>10673.507423208101</v>
      </c>
      <c r="X28" s="148">
        <f t="shared" ca="1" si="20"/>
        <v>1334.1884279010126</v>
      </c>
      <c r="Y28" s="148">
        <f t="shared" ca="1" si="21"/>
        <v>2668.3768558020251</v>
      </c>
      <c r="Z28" s="148">
        <f t="shared" ca="1" si="22"/>
        <v>193457.32204564684</v>
      </c>
      <c r="AA28" s="148">
        <f t="shared" ca="1" si="23"/>
        <v>735090.04292066814</v>
      </c>
      <c r="AB28" s="24">
        <f t="shared" ca="1" si="42"/>
        <v>722332.35260009789</v>
      </c>
      <c r="AC28" s="148">
        <f t="shared" ca="1" si="24"/>
        <v>35712.646286125491</v>
      </c>
      <c r="AD28" s="148">
        <f t="shared" ca="1" si="25"/>
        <v>26336.759798027644</v>
      </c>
      <c r="AE28" s="148">
        <f t="shared" ca="1" si="26"/>
        <v>12641.644703053271</v>
      </c>
      <c r="AF28" s="148">
        <f t="shared" ca="1" si="27"/>
        <v>1580.2055878816589</v>
      </c>
      <c r="AG28" s="148">
        <f t="shared" ca="1" si="28"/>
        <v>3160.4111757633177</v>
      </c>
      <c r="AH28" s="148">
        <f t="shared" ca="1" si="29"/>
        <v>318674.79355613451</v>
      </c>
      <c r="AI28" s="148">
        <f t="shared" ca="1" si="30"/>
        <v>870636.68753810402</v>
      </c>
      <c r="AJ28" s="20">
        <f t="shared" ca="1" si="43"/>
        <v>855569.98352595465</v>
      </c>
      <c r="AK28" s="148">
        <f t="shared" ca="1" si="31"/>
        <v>41739.637025178767</v>
      </c>
      <c r="AL28" s="148">
        <f t="shared" ca="1" si="32"/>
        <v>30781.443233907645</v>
      </c>
      <c r="AM28" s="148">
        <f t="shared" ca="1" si="33"/>
        <v>14775.09275227567</v>
      </c>
      <c r="AN28" s="148">
        <f t="shared" ca="1" si="34"/>
        <v>1846.8865940344588</v>
      </c>
      <c r="AO28" s="148">
        <f t="shared" ca="1" si="35"/>
        <v>3693.7731880689175</v>
      </c>
      <c r="AP28" s="148">
        <f t="shared" ca="1" si="36"/>
        <v>454334.10213247687</v>
      </c>
      <c r="AQ28" s="148">
        <f t="shared" ca="1" si="37"/>
        <v>1017568.3713688478</v>
      </c>
      <c r="AR28" s="17">
        <f t="shared" ca="1" si="44"/>
        <v>999923.0929028783</v>
      </c>
      <c r="AS28" s="148">
        <f t="shared" ca="1" si="38"/>
        <v>425473.85865615943</v>
      </c>
      <c r="AT28" s="48" t="str">
        <f>INDEX('stock fisico '!N:N, MATCH(B28, 'stock fisico '!B:B, 0))</f>
        <v>ELECTRODOMESTICOS Y AIRES ACOND</v>
      </c>
      <c r="AU28" s="46" t="str">
        <f>INDEX('stock fisico '!D:D, MATCH(B28, 'stock fisico '!B:B, 0))</f>
        <v>Cocinas</v>
      </c>
      <c r="AV28" s="43" t="str">
        <f>INDEX('stock fisico '!L:L, MATCH(B28, 'stock fisico '!B:B, 0))</f>
        <v>Drean</v>
      </c>
    </row>
    <row r="29" spans="1:48" x14ac:dyDescent="0.25">
      <c r="A29" s="48">
        <f>INDEX('stock fisico '!M:M, MATCH(B29, 'stock fisico '!B:B, 0))</f>
        <v>9974</v>
      </c>
      <c r="B29" s="47" t="s">
        <v>1581</v>
      </c>
      <c r="C29" s="46" t="str">
        <f>INDEX('stock fisico '!C:C, MATCH(B29, 'stock fisico '!B:B, 0))</f>
        <v>MICROONDAS ATMA MATDGB23UAP DIGITAL 23L NEGRO EAN 7799111674202</v>
      </c>
      <c r="D29" s="44">
        <f>INDEX('stock fisico '!I:I, MATCH(B29, 'stock fisico '!B:B, 0))</f>
        <v>154366</v>
      </c>
      <c r="E29" s="6">
        <f t="shared" ca="1" si="39"/>
        <v>188251.21951219512</v>
      </c>
      <c r="F29" s="148">
        <f t="shared" ca="1" si="4"/>
        <v>8361.5252820736641</v>
      </c>
      <c r="G29" s="148">
        <f t="shared" ca="1" si="5"/>
        <v>5096.1294047110268</v>
      </c>
      <c r="H29" s="148">
        <f t="shared" ca="1" si="6"/>
        <v>2446.1421142612926</v>
      </c>
      <c r="I29" s="148">
        <f t="shared" ca="1" si="7"/>
        <v>305.76776428266157</v>
      </c>
      <c r="J29" s="148">
        <f t="shared" ca="1" si="8"/>
        <v>611.53552856532315</v>
      </c>
      <c r="K29" s="148">
        <f t="shared" ca="1" si="9"/>
        <v>203845.17618844105</v>
      </c>
      <c r="L29" s="32">
        <f t="shared" ca="1" si="40"/>
        <v>199670.4224370954</v>
      </c>
      <c r="M29" s="148">
        <f t="shared" ca="1" si="10"/>
        <v>10117.751862004974</v>
      </c>
      <c r="N29" s="148">
        <f t="shared" ca="1" si="11"/>
        <v>6166.5032436218426</v>
      </c>
      <c r="O29" s="148">
        <f t="shared" ca="1" si="12"/>
        <v>2959.9215569384846</v>
      </c>
      <c r="P29" s="148">
        <f t="shared" ca="1" si="13"/>
        <v>369.99019461731058</v>
      </c>
      <c r="Q29" s="148">
        <f t="shared" ca="1" si="14"/>
        <v>739.98038923462116</v>
      </c>
      <c r="R29" s="148">
        <f t="shared" ca="1" si="15"/>
        <v>39545.785301346878</v>
      </c>
      <c r="S29" s="148">
        <f t="shared" ca="1" si="16"/>
        <v>246660.1297448737</v>
      </c>
      <c r="T29" s="28">
        <f t="shared" ca="1" si="41"/>
        <v>241614.6586217201</v>
      </c>
      <c r="U29" s="148">
        <f t="shared" ca="1" si="17"/>
        <v>11694.484783038979</v>
      </c>
      <c r="V29" s="148">
        <f t="shared" ca="1" si="18"/>
        <v>8624.251314925501</v>
      </c>
      <c r="W29" s="148">
        <f t="shared" ca="1" si="19"/>
        <v>4139.6406311642404</v>
      </c>
      <c r="X29" s="148">
        <f t="shared" ca="1" si="20"/>
        <v>517.45507889553005</v>
      </c>
      <c r="Y29" s="148">
        <f t="shared" ca="1" si="21"/>
        <v>1034.9101577910601</v>
      </c>
      <c r="Z29" s="148">
        <f t="shared" ca="1" si="22"/>
        <v>75030.986439851855</v>
      </c>
      <c r="AA29" s="148">
        <f t="shared" ca="1" si="23"/>
        <v>285099.21702233062</v>
      </c>
      <c r="AB29" s="24">
        <f t="shared" ca="1" si="42"/>
        <v>280151.24152404128</v>
      </c>
      <c r="AC29" s="148">
        <f t="shared" ca="1" si="24"/>
        <v>13850.884788911006</v>
      </c>
      <c r="AD29" s="148">
        <f t="shared" ca="1" si="25"/>
        <v>10214.516805981568</v>
      </c>
      <c r="AE29" s="148">
        <f t="shared" ca="1" si="26"/>
        <v>4902.9680668711526</v>
      </c>
      <c r="AF29" s="148">
        <f t="shared" ca="1" si="27"/>
        <v>612.87100835889407</v>
      </c>
      <c r="AG29" s="148">
        <f t="shared" ca="1" si="28"/>
        <v>1225.7420167177881</v>
      </c>
      <c r="AH29" s="148">
        <f t="shared" ca="1" si="29"/>
        <v>123595.65335237696</v>
      </c>
      <c r="AI29" s="148">
        <f t="shared" ca="1" si="30"/>
        <v>337669.97705724189</v>
      </c>
      <c r="AJ29" s="20">
        <f t="shared" ca="1" si="43"/>
        <v>331826.46773707203</v>
      </c>
      <c r="AK29" s="148">
        <f t="shared" ca="1" si="31"/>
        <v>16188.408412381401</v>
      </c>
      <c r="AL29" s="148">
        <f t="shared" ca="1" si="32"/>
        <v>11938.354286416961</v>
      </c>
      <c r="AM29" s="148">
        <f t="shared" ca="1" si="33"/>
        <v>5730.4100574801414</v>
      </c>
      <c r="AN29" s="148">
        <f t="shared" ca="1" si="34"/>
        <v>716.30125718501768</v>
      </c>
      <c r="AO29" s="148">
        <f t="shared" ca="1" si="35"/>
        <v>1432.6025143700354</v>
      </c>
      <c r="AP29" s="148">
        <f t="shared" ca="1" si="36"/>
        <v>176210.10926751434</v>
      </c>
      <c r="AQ29" s="148">
        <f t="shared" ca="1" si="37"/>
        <v>394656.34004684171</v>
      </c>
      <c r="AR29" s="17">
        <f t="shared" ca="1" si="44"/>
        <v>387812.74976394104</v>
      </c>
      <c r="AS29" s="148">
        <f t="shared" ca="1" si="38"/>
        <v>165016.8780471863</v>
      </c>
      <c r="AT29" s="48" t="str">
        <f>INDEX('stock fisico '!N:N, MATCH(B29, 'stock fisico '!B:B, 0))</f>
        <v>ELECTRODOMESTICOS Y AIRES ACOND</v>
      </c>
      <c r="AU29" s="46" t="str">
        <f>INDEX('stock fisico '!D:D, MATCH(B29, 'stock fisico '!B:B, 0))</f>
        <v>Microondas</v>
      </c>
      <c r="AV29" s="43" t="str">
        <f>INDEX('stock fisico '!L:L, MATCH(B29, 'stock fisico '!B:B, 0))</f>
        <v>Atma</v>
      </c>
    </row>
    <row r="30" spans="1:48" x14ac:dyDescent="0.25">
      <c r="A30" s="48">
        <f>INDEX('stock fisico '!M:M, MATCH(B30, 'stock fisico '!B:B, 0))</f>
        <v>9947</v>
      </c>
      <c r="B30" s="47" t="s">
        <v>1479</v>
      </c>
      <c r="C30" s="46" t="str">
        <f>INDEX('stock fisico '!C:C, MATCH(B30, 'stock fisico '!B:B, 0))</f>
        <v>TV LED SMART 65" RCA C65AND ANDROIDTV 4K EAN</v>
      </c>
      <c r="D30" s="44">
        <f>INDEX('stock fisico '!I:I, MATCH(B30, 'stock fisico '!B:B, 0))</f>
        <v>687790</v>
      </c>
      <c r="E30" s="6">
        <f t="shared" ca="1" si="39"/>
        <v>838768.29268292687</v>
      </c>
      <c r="F30" s="148">
        <f t="shared" ca="1" si="4"/>
        <v>37255.441442788215</v>
      </c>
      <c r="G30" s="148">
        <f t="shared" ca="1" si="5"/>
        <v>22706.210196974702</v>
      </c>
      <c r="H30" s="148">
        <f t="shared" ca="1" si="6"/>
        <v>10898.980894547856</v>
      </c>
      <c r="I30" s="148">
        <f t="shared" ca="1" si="7"/>
        <v>1362.372611818482</v>
      </c>
      <c r="J30" s="148">
        <f t="shared" ca="1" si="8"/>
        <v>2724.7452236369641</v>
      </c>
      <c r="K30" s="148">
        <f t="shared" ca="1" si="9"/>
        <v>908248.40787898807</v>
      </c>
      <c r="L30" s="32">
        <f t="shared" ca="1" si="40"/>
        <v>889647.46024389996</v>
      </c>
      <c r="M30" s="148">
        <f t="shared" ca="1" si="10"/>
        <v>45080.448759237152</v>
      </c>
      <c r="N30" s="148">
        <f t="shared" ca="1" si="11"/>
        <v>27475.346034299444</v>
      </c>
      <c r="O30" s="148">
        <f t="shared" ca="1" si="12"/>
        <v>13188.166096463732</v>
      </c>
      <c r="P30" s="148">
        <f t="shared" ca="1" si="13"/>
        <v>1648.5207620579665</v>
      </c>
      <c r="Q30" s="148">
        <f t="shared" ca="1" si="14"/>
        <v>3297.041524115933</v>
      </c>
      <c r="R30" s="148">
        <f t="shared" ca="1" si="15"/>
        <v>176199.39411796231</v>
      </c>
      <c r="S30" s="148">
        <f t="shared" ca="1" si="16"/>
        <v>1099013.8413719777</v>
      </c>
      <c r="T30" s="28">
        <f t="shared" ca="1" si="41"/>
        <v>1076533.343180706</v>
      </c>
      <c r="U30" s="148">
        <f t="shared" ca="1" si="17"/>
        <v>52105.70779139435</v>
      </c>
      <c r="V30" s="148">
        <f t="shared" ca="1" si="18"/>
        <v>38426.038194243622</v>
      </c>
      <c r="W30" s="148">
        <f t="shared" ca="1" si="19"/>
        <v>18444.498333236937</v>
      </c>
      <c r="X30" s="148">
        <f t="shared" ca="1" si="20"/>
        <v>2305.5622916546172</v>
      </c>
      <c r="Y30" s="148">
        <f t="shared" ca="1" si="21"/>
        <v>4611.1245833092344</v>
      </c>
      <c r="Z30" s="148">
        <f t="shared" ca="1" si="22"/>
        <v>334306.5322899195</v>
      </c>
      <c r="AA30" s="148">
        <f t="shared" ca="1" si="23"/>
        <v>1270282.254355161</v>
      </c>
      <c r="AB30" s="24">
        <f t="shared" ca="1" si="42"/>
        <v>1248236.1556807868</v>
      </c>
      <c r="AC30" s="148">
        <f t="shared" ca="1" si="24"/>
        <v>61713.71965954356</v>
      </c>
      <c r="AD30" s="148">
        <f t="shared" ca="1" si="25"/>
        <v>45511.592669279911</v>
      </c>
      <c r="AE30" s="148">
        <f t="shared" ca="1" si="26"/>
        <v>21845.564481254358</v>
      </c>
      <c r="AF30" s="148">
        <f t="shared" ca="1" si="27"/>
        <v>2730.6955601567947</v>
      </c>
      <c r="AG30" s="148">
        <f t="shared" ca="1" si="28"/>
        <v>5461.3911203135895</v>
      </c>
      <c r="AH30" s="148">
        <f t="shared" ca="1" si="29"/>
        <v>550690.27129828685</v>
      </c>
      <c r="AI30" s="148">
        <f t="shared" ca="1" si="30"/>
        <v>1504515.4601414846</v>
      </c>
      <c r="AJ30" s="20">
        <f t="shared" ca="1" si="43"/>
        <v>1478479.2392423251</v>
      </c>
      <c r="AK30" s="148">
        <f t="shared" ca="1" si="31"/>
        <v>72128.742222716159</v>
      </c>
      <c r="AL30" s="148">
        <f t="shared" ca="1" si="32"/>
        <v>53192.287774864424</v>
      </c>
      <c r="AM30" s="148">
        <f t="shared" ca="1" si="33"/>
        <v>25532.298131934924</v>
      </c>
      <c r="AN30" s="148">
        <f t="shared" ca="1" si="34"/>
        <v>3191.5372664918655</v>
      </c>
      <c r="AO30" s="148">
        <f t="shared" ca="1" si="35"/>
        <v>6383.0745329837309</v>
      </c>
      <c r="AP30" s="148">
        <f t="shared" ca="1" si="36"/>
        <v>785118.1675569989</v>
      </c>
      <c r="AQ30" s="148">
        <f t="shared" ca="1" si="37"/>
        <v>1758422.7363591546</v>
      </c>
      <c r="AR30" s="17">
        <f t="shared" ca="1" si="44"/>
        <v>1727930.5751275606</v>
      </c>
      <c r="AS30" s="148">
        <f t="shared" ca="1" si="38"/>
        <v>735245.83491231408</v>
      </c>
      <c r="AT30" s="48" t="str">
        <f>INDEX('stock fisico '!N:N, MATCH(B30, 'stock fisico '!B:B, 0))</f>
        <v>TV-AUDIO-VIDEO</v>
      </c>
      <c r="AU30" s="46" t="str">
        <f>INDEX('stock fisico '!D:D, MATCH(B30, 'stock fisico '!B:B, 0))</f>
        <v>Televisores</v>
      </c>
      <c r="AV30" s="43" t="str">
        <f>INDEX('stock fisico '!L:L, MATCH(B30, 'stock fisico '!B:B, 0))</f>
        <v>Rca</v>
      </c>
    </row>
    <row r="31" spans="1:48" x14ac:dyDescent="0.25">
      <c r="A31" s="48">
        <f>INDEX('stock fisico '!M:M, MATCH(B31, 'stock fisico '!B:B, 0))</f>
        <v>9824</v>
      </c>
      <c r="B31" s="47" t="s">
        <v>1131</v>
      </c>
      <c r="C31" s="46" t="str">
        <f>INDEX('stock fisico '!C:C, MATCH(B31, 'stock fisico '!B:B, 0))</f>
        <v>MICROONDAS ATMA 94MATDGB28UAP 28 LTS NEGRO EAN 7799111674219</v>
      </c>
      <c r="D31" s="44">
        <f>INDEX('stock fisico '!I:I, MATCH(B31, 'stock fisico '!B:B, 0))</f>
        <v>164081</v>
      </c>
      <c r="E31" s="6">
        <f t="shared" ca="1" si="39"/>
        <v>200098.78048780488</v>
      </c>
      <c r="F31" s="148">
        <f t="shared" ca="1" si="4"/>
        <v>8887.7565643206963</v>
      </c>
      <c r="G31" s="148">
        <f t="shared" ca="1" si="5"/>
        <v>5416.8535095447824</v>
      </c>
      <c r="H31" s="148">
        <f t="shared" ca="1" si="6"/>
        <v>2600.0896845814955</v>
      </c>
      <c r="I31" s="148">
        <f t="shared" ca="1" si="7"/>
        <v>325.01121057268693</v>
      </c>
      <c r="J31" s="148">
        <f t="shared" ca="1" si="8"/>
        <v>650.02242114537387</v>
      </c>
      <c r="K31" s="148">
        <f t="shared" ca="1" si="9"/>
        <v>216674.14038179128</v>
      </c>
      <c r="L31" s="32">
        <f t="shared" ca="1" si="40"/>
        <v>212236.64915785243</v>
      </c>
      <c r="M31" s="148">
        <f t="shared" ca="1" si="10"/>
        <v>10754.510988622094</v>
      </c>
      <c r="N31" s="148">
        <f t="shared" ca="1" si="11"/>
        <v>6554.591158135313</v>
      </c>
      <c r="O31" s="148">
        <f t="shared" ca="1" si="12"/>
        <v>3146.20375590495</v>
      </c>
      <c r="P31" s="148">
        <f t="shared" ca="1" si="13"/>
        <v>393.27546948811874</v>
      </c>
      <c r="Q31" s="148">
        <f t="shared" ca="1" si="14"/>
        <v>786.55093897623749</v>
      </c>
      <c r="R31" s="148">
        <f t="shared" ca="1" si="15"/>
        <v>42034.59309712176</v>
      </c>
      <c r="S31" s="148">
        <f t="shared" ca="1" si="16"/>
        <v>262183.6463254125</v>
      </c>
      <c r="T31" s="28">
        <f t="shared" ca="1" si="41"/>
        <v>256820.63926842992</v>
      </c>
      <c r="U31" s="148">
        <f t="shared" ca="1" si="17"/>
        <v>12430.475348754382</v>
      </c>
      <c r="V31" s="148">
        <f t="shared" ca="1" si="18"/>
        <v>9167.0172188454144</v>
      </c>
      <c r="W31" s="148">
        <f t="shared" ca="1" si="19"/>
        <v>4400.1682650457997</v>
      </c>
      <c r="X31" s="148">
        <f t="shared" ca="1" si="20"/>
        <v>550.02103313072496</v>
      </c>
      <c r="Y31" s="148">
        <f t="shared" ca="1" si="21"/>
        <v>1100.0420662614499</v>
      </c>
      <c r="Z31" s="148">
        <f t="shared" ca="1" si="22"/>
        <v>79753.049803955117</v>
      </c>
      <c r="AA31" s="148">
        <f t="shared" ca="1" si="23"/>
        <v>303041.89153207984</v>
      </c>
      <c r="AB31" s="24">
        <f t="shared" ca="1" si="42"/>
        <v>297782.51597182162</v>
      </c>
      <c r="AC31" s="148">
        <f t="shared" ca="1" si="24"/>
        <v>14722.58805079685</v>
      </c>
      <c r="AD31" s="148">
        <f t="shared" ca="1" si="25"/>
        <v>10857.365819171719</v>
      </c>
      <c r="AE31" s="148">
        <f t="shared" ca="1" si="26"/>
        <v>5211.5355932024249</v>
      </c>
      <c r="AF31" s="148">
        <f t="shared" ca="1" si="27"/>
        <v>651.44194915030312</v>
      </c>
      <c r="AG31" s="148">
        <f t="shared" ca="1" si="28"/>
        <v>1302.8838983006062</v>
      </c>
      <c r="AH31" s="148">
        <f t="shared" ca="1" si="29"/>
        <v>131374.12641197781</v>
      </c>
      <c r="AI31" s="148">
        <f t="shared" ca="1" si="30"/>
        <v>358921.18410485022</v>
      </c>
      <c r="AJ31" s="20">
        <f t="shared" ca="1" si="43"/>
        <v>352709.91444208258</v>
      </c>
      <c r="AK31" s="148">
        <f t="shared" ca="1" si="31"/>
        <v>17207.223356904709</v>
      </c>
      <c r="AL31" s="148">
        <f t="shared" ca="1" si="32"/>
        <v>12689.692741080167</v>
      </c>
      <c r="AM31" s="148">
        <f t="shared" ca="1" si="33"/>
        <v>6091.0525157184811</v>
      </c>
      <c r="AN31" s="148">
        <f t="shared" ca="1" si="34"/>
        <v>761.38156446481014</v>
      </c>
      <c r="AO31" s="148">
        <f t="shared" ca="1" si="35"/>
        <v>1522.7631289296203</v>
      </c>
      <c r="AP31" s="148">
        <f t="shared" ca="1" si="36"/>
        <v>187299.8648583433</v>
      </c>
      <c r="AQ31" s="148">
        <f t="shared" ca="1" si="37"/>
        <v>419493.9749117411</v>
      </c>
      <c r="AR31" s="17">
        <f t="shared" ca="1" si="44"/>
        <v>412219.68434770103</v>
      </c>
      <c r="AS31" s="148">
        <f t="shared" ca="1" si="38"/>
        <v>175402.18938665491</v>
      </c>
      <c r="AT31" s="48" t="str">
        <f>INDEX('stock fisico '!N:N, MATCH(B31, 'stock fisico '!B:B, 0))</f>
        <v>ELECTRODOMESTICOS Y AIRES ACOND</v>
      </c>
      <c r="AU31" s="46" t="str">
        <f>INDEX('stock fisico '!D:D, MATCH(B31, 'stock fisico '!B:B, 0))</f>
        <v>Microondas</v>
      </c>
      <c r="AV31" s="43" t="str">
        <f>INDEX('stock fisico '!L:L, MATCH(B31, 'stock fisico '!B:B, 0))</f>
        <v>Atma</v>
      </c>
    </row>
    <row r="32" spans="1:48" x14ac:dyDescent="0.25">
      <c r="A32" s="48">
        <f>INDEX('stock fisico '!M:M, MATCH(B32, 'stock fisico '!B:B, 0))</f>
        <v>9885</v>
      </c>
      <c r="B32" s="47" t="s">
        <v>1310</v>
      </c>
      <c r="C32" s="46" t="str">
        <f>INDEX('stock fisico '!C:C, MATCH(B32, 'stock fisico '!B:B, 0))</f>
        <v>LAVAVAJILLA PHILCO 14 CUB PHLJ14X INOX EAN 7799111672260</v>
      </c>
      <c r="D32" s="44">
        <f>INDEX('stock fisico '!I:I, MATCH(B32, 'stock fisico '!B:B, 0))</f>
        <v>604712</v>
      </c>
      <c r="E32" s="6">
        <f t="shared" ca="1" si="39"/>
        <v>737453.6585365854</v>
      </c>
      <c r="F32" s="148">
        <f t="shared" ca="1" si="4"/>
        <v>32755.365018030712</v>
      </c>
      <c r="G32" s="148">
        <f t="shared" ca="1" si="5"/>
        <v>19963.532154629997</v>
      </c>
      <c r="H32" s="148">
        <f t="shared" ca="1" si="6"/>
        <v>9582.4954342223991</v>
      </c>
      <c r="I32" s="148">
        <f t="shared" ca="1" si="7"/>
        <v>1197.8119292777999</v>
      </c>
      <c r="J32" s="148">
        <f t="shared" ca="1" si="8"/>
        <v>2395.6238585555998</v>
      </c>
      <c r="K32" s="148">
        <f t="shared" ca="1" si="9"/>
        <v>798541.28618519986</v>
      </c>
      <c r="L32" s="32">
        <f t="shared" ca="1" si="40"/>
        <v>782187.14284739411</v>
      </c>
      <c r="M32" s="148">
        <f t="shared" ca="1" si="10"/>
        <v>39635.191453926076</v>
      </c>
      <c r="N32" s="148">
        <f t="shared" ca="1" si="11"/>
        <v>24156.605142693676</v>
      </c>
      <c r="O32" s="148">
        <f t="shared" ca="1" si="12"/>
        <v>11595.170468492965</v>
      </c>
      <c r="P32" s="148">
        <f t="shared" ca="1" si="13"/>
        <v>1449.3963085616206</v>
      </c>
      <c r="Q32" s="148">
        <f t="shared" ca="1" si="14"/>
        <v>2898.7926171232411</v>
      </c>
      <c r="R32" s="148">
        <f t="shared" ca="1" si="15"/>
        <v>154916.30878009455</v>
      </c>
      <c r="S32" s="148">
        <f t="shared" ca="1" si="16"/>
        <v>966264.20570774702</v>
      </c>
      <c r="T32" s="28">
        <f t="shared" ca="1" si="41"/>
        <v>946499.12185622216</v>
      </c>
      <c r="U32" s="148">
        <f t="shared" ca="1" si="17"/>
        <v>45811.871021604937</v>
      </c>
      <c r="V32" s="148">
        <f t="shared" ca="1" si="18"/>
        <v>33784.565650151133</v>
      </c>
      <c r="W32" s="148">
        <f t="shared" ca="1" si="19"/>
        <v>16216.591512072544</v>
      </c>
      <c r="X32" s="148">
        <f t="shared" ca="1" si="20"/>
        <v>2027.073939009068</v>
      </c>
      <c r="Y32" s="148">
        <f t="shared" ca="1" si="21"/>
        <v>4054.147878018136</v>
      </c>
      <c r="Z32" s="148">
        <f t="shared" ca="1" si="22"/>
        <v>293925.72115631483</v>
      </c>
      <c r="AA32" s="148">
        <f t="shared" ca="1" si="23"/>
        <v>1116845.1454595416</v>
      </c>
      <c r="AB32" s="24">
        <f t="shared" ca="1" si="42"/>
        <v>1097461.9901045959</v>
      </c>
      <c r="AC32" s="148">
        <f t="shared" ca="1" si="24"/>
        <v>54259.333288884547</v>
      </c>
      <c r="AD32" s="148">
        <f t="shared" ca="1" si="25"/>
        <v>40014.257587672968</v>
      </c>
      <c r="AE32" s="148">
        <f t="shared" ca="1" si="26"/>
        <v>19206.843642083026</v>
      </c>
      <c r="AF32" s="148">
        <f t="shared" ca="1" si="27"/>
        <v>2400.8554552603782</v>
      </c>
      <c r="AG32" s="148">
        <f t="shared" ca="1" si="28"/>
        <v>4801.7109105207564</v>
      </c>
      <c r="AH32" s="148">
        <f t="shared" ca="1" si="29"/>
        <v>484172.51681084296</v>
      </c>
      <c r="AI32" s="148">
        <f t="shared" ca="1" si="30"/>
        <v>1322785.3747991065</v>
      </c>
      <c r="AJ32" s="20">
        <f t="shared" ca="1" si="43"/>
        <v>1299894.0631889165</v>
      </c>
      <c r="AK32" s="148">
        <f t="shared" ca="1" si="31"/>
        <v>63416.327610147193</v>
      </c>
      <c r="AL32" s="148">
        <f t="shared" ca="1" si="32"/>
        <v>46767.203252320935</v>
      </c>
      <c r="AM32" s="148">
        <f t="shared" ca="1" si="33"/>
        <v>22448.257561114049</v>
      </c>
      <c r="AN32" s="148">
        <f t="shared" ca="1" si="34"/>
        <v>2806.0321951392561</v>
      </c>
      <c r="AO32" s="148">
        <f t="shared" ca="1" si="35"/>
        <v>5612.0643902785123</v>
      </c>
      <c r="AP32" s="148">
        <f t="shared" ca="1" si="36"/>
        <v>690283.920004257</v>
      </c>
      <c r="AQ32" s="148">
        <f t="shared" ca="1" si="37"/>
        <v>1546023.2480106095</v>
      </c>
      <c r="AR32" s="17">
        <f t="shared" ca="1" si="44"/>
        <v>1519214.2281023823</v>
      </c>
      <c r="AS32" s="148">
        <f t="shared" ca="1" si="38"/>
        <v>646435.65524578025</v>
      </c>
      <c r="AT32" s="48" t="str">
        <f>INDEX('stock fisico '!N:N, MATCH(B32, 'stock fisico '!B:B, 0))</f>
        <v>ELECTRODOMESTICOS Y AIRES ACOND</v>
      </c>
      <c r="AU32" s="46" t="str">
        <f>INDEX('stock fisico '!D:D, MATCH(B32, 'stock fisico '!B:B, 0))</f>
        <v>Lavavajillas</v>
      </c>
      <c r="AV32" s="43" t="str">
        <f>INDEX('stock fisico '!L:L, MATCH(B32, 'stock fisico '!B:B, 0))</f>
        <v>Philco</v>
      </c>
    </row>
    <row r="33" spans="1:48" x14ac:dyDescent="0.25">
      <c r="A33" s="48">
        <f>INDEX('stock fisico '!M:M, MATCH(B33, 'stock fisico '!B:B, 0))</f>
        <v>9843</v>
      </c>
      <c r="B33" s="47" t="s">
        <v>1336</v>
      </c>
      <c r="C33" s="46" t="str">
        <f>INDEX('stock fisico '!C:C, MATCH(B33, 'stock fisico '!B:B, 0))</f>
        <v>LAVARROPAS CARGA FRONTAL DARK SILVER INVERTER BGH 6K -1000 RPM- AB BWF106S24AR</v>
      </c>
      <c r="D33" s="44">
        <f>INDEX('stock fisico '!I:I, MATCH(B33, 'stock fisico '!B:B, 0))</f>
        <v>389990.01</v>
      </c>
      <c r="E33" s="6">
        <f t="shared" ca="1" si="39"/>
        <v>475597.57317073172</v>
      </c>
      <c r="F33" s="148">
        <f t="shared" ca="1" si="4"/>
        <v>21124.543800909272</v>
      </c>
      <c r="G33" s="148">
        <f t="shared" ca="1" si="5"/>
        <v>12874.852995507736</v>
      </c>
      <c r="H33" s="148">
        <f t="shared" ca="1" si="6"/>
        <v>6179.9294378437125</v>
      </c>
      <c r="I33" s="148">
        <f t="shared" ca="1" si="7"/>
        <v>772.49117973046407</v>
      </c>
      <c r="J33" s="148">
        <f t="shared" ca="1" si="8"/>
        <v>1544.9823594609281</v>
      </c>
      <c r="K33" s="148">
        <f t="shared" ca="1" si="9"/>
        <v>514994.1198203094</v>
      </c>
      <c r="L33" s="32">
        <f t="shared" ca="1" si="40"/>
        <v>504447.0287689456</v>
      </c>
      <c r="M33" s="148">
        <f t="shared" ca="1" si="10"/>
        <v>25561.471760885423</v>
      </c>
      <c r="N33" s="148">
        <f t="shared" ca="1" si="11"/>
        <v>15579.043711990433</v>
      </c>
      <c r="O33" s="148">
        <f t="shared" ca="1" si="12"/>
        <v>7477.9409817554078</v>
      </c>
      <c r="P33" s="148">
        <f t="shared" ca="1" si="13"/>
        <v>934.74262271942598</v>
      </c>
      <c r="Q33" s="148">
        <f t="shared" ca="1" si="14"/>
        <v>1869.485245438852</v>
      </c>
      <c r="R33" s="148">
        <f t="shared" ca="1" si="15"/>
        <v>99908.407324994638</v>
      </c>
      <c r="S33" s="148">
        <f t="shared" ca="1" si="16"/>
        <v>623161.74847961729</v>
      </c>
      <c r="T33" s="28">
        <f t="shared" ca="1" si="41"/>
        <v>610414.87848380604</v>
      </c>
      <c r="U33" s="148">
        <f t="shared" ca="1" si="17"/>
        <v>29544.927234509025</v>
      </c>
      <c r="V33" s="148">
        <f t="shared" ca="1" si="18"/>
        <v>21788.294420729369</v>
      </c>
      <c r="W33" s="148">
        <f t="shared" ca="1" si="19"/>
        <v>10458.381321950097</v>
      </c>
      <c r="X33" s="148">
        <f t="shared" ca="1" si="20"/>
        <v>1307.2976652437621</v>
      </c>
      <c r="Y33" s="148">
        <f t="shared" ca="1" si="21"/>
        <v>2614.5953304875243</v>
      </c>
      <c r="Z33" s="148">
        <f t="shared" ca="1" si="22"/>
        <v>189558.16146034549</v>
      </c>
      <c r="AA33" s="148">
        <f t="shared" ca="1" si="23"/>
        <v>720274.1957265907</v>
      </c>
      <c r="AB33" s="24">
        <f t="shared" ca="1" si="42"/>
        <v>707773.63851802389</v>
      </c>
      <c r="AC33" s="148">
        <f t="shared" ca="1" si="24"/>
        <v>34992.852683468191</v>
      </c>
      <c r="AD33" s="148">
        <f t="shared" ca="1" si="25"/>
        <v>25805.938557129935</v>
      </c>
      <c r="AE33" s="148">
        <f t="shared" ca="1" si="26"/>
        <v>12386.850507422369</v>
      </c>
      <c r="AF33" s="148">
        <f t="shared" ca="1" si="27"/>
        <v>1548.3563134277961</v>
      </c>
      <c r="AG33" s="148">
        <f t="shared" ca="1" si="28"/>
        <v>3096.7126268555921</v>
      </c>
      <c r="AH33" s="148">
        <f t="shared" ca="1" si="29"/>
        <v>312251.85654127219</v>
      </c>
      <c r="AI33" s="148">
        <f t="shared" ca="1" si="30"/>
        <v>853088.87792165077</v>
      </c>
      <c r="AJ33" s="20">
        <f t="shared" ca="1" si="43"/>
        <v>838325.84552974999</v>
      </c>
      <c r="AK33" s="148">
        <f t="shared" ca="1" si="31"/>
        <v>40898.368543777171</v>
      </c>
      <c r="AL33" s="148">
        <f t="shared" ca="1" si="32"/>
        <v>30161.038749098207</v>
      </c>
      <c r="AM33" s="148">
        <f t="shared" ca="1" si="33"/>
        <v>14477.298599567139</v>
      </c>
      <c r="AN33" s="148">
        <f t="shared" ca="1" si="34"/>
        <v>1809.6623249458924</v>
      </c>
      <c r="AO33" s="148">
        <f t="shared" ca="1" si="35"/>
        <v>3619.3246498917847</v>
      </c>
      <c r="AP33" s="148">
        <f t="shared" ca="1" si="36"/>
        <v>445176.93193668954</v>
      </c>
      <c r="AQ33" s="148">
        <f t="shared" ca="1" si="37"/>
        <v>997059.1322015936</v>
      </c>
      <c r="AR33" s="17">
        <f t="shared" ca="1" si="44"/>
        <v>979769.49690065742</v>
      </c>
      <c r="AS33" s="148">
        <f t="shared" ca="1" si="38"/>
        <v>416898.37088342611</v>
      </c>
      <c r="AT33" s="48" t="str">
        <f>INDEX('stock fisico '!N:N, MATCH(B33, 'stock fisico '!B:B, 0))</f>
        <v>ELECTRODOMESTICOS Y AIRES ACOND</v>
      </c>
      <c r="AU33" s="46" t="str">
        <f>INDEX('stock fisico '!D:D, MATCH(B33, 'stock fisico '!B:B, 0))</f>
        <v>Lavarropas</v>
      </c>
      <c r="AV33" s="43" t="str">
        <f>INDEX('stock fisico '!L:L, MATCH(B33, 'stock fisico '!B:B, 0))</f>
        <v>Bgh</v>
      </c>
    </row>
    <row r="34" spans="1:48" x14ac:dyDescent="0.25">
      <c r="A34" s="48">
        <f>INDEX('stock fisico '!M:M, MATCH(B34, 'stock fisico '!B:B, 0))</f>
        <v>3476</v>
      </c>
      <c r="B34" s="47" t="s">
        <v>26</v>
      </c>
      <c r="C34" s="46" t="str">
        <f>INDEX('stock fisico '!C:C, MATCH(B34, 'stock fisico '!B:B, 0))</f>
        <v>BATIDORA PLANETARIA POWERMIX  AB910 ROJO  LILIANA   EAN: 7793862007548</v>
      </c>
      <c r="D34" s="44">
        <f>INDEX('stock fisico '!I:I, MATCH(B34, 'stock fisico '!B:B, 0))</f>
        <v>114286</v>
      </c>
      <c r="E34" s="6">
        <f t="shared" ca="1" si="39"/>
        <v>139373.17073170733</v>
      </c>
      <c r="F34" s="148">
        <f t="shared" ca="1" si="4"/>
        <v>6190.5165540797243</v>
      </c>
      <c r="G34" s="148">
        <f t="shared" ca="1" si="5"/>
        <v>3772.956772519884</v>
      </c>
      <c r="H34" s="148">
        <f t="shared" ca="1" si="6"/>
        <v>1811.0192508095442</v>
      </c>
      <c r="I34" s="148">
        <f t="shared" ca="1" si="7"/>
        <v>226.37740635119303</v>
      </c>
      <c r="J34" s="148">
        <f t="shared" ca="1" si="8"/>
        <v>452.75481270238606</v>
      </c>
      <c r="K34" s="148">
        <f t="shared" ca="1" si="9"/>
        <v>150918.27090079535</v>
      </c>
      <c r="L34" s="32">
        <f t="shared" ca="1" si="40"/>
        <v>147827.46134929897</v>
      </c>
      <c r="M34" s="148">
        <f t="shared" ca="1" si="10"/>
        <v>7490.7517801918857</v>
      </c>
      <c r="N34" s="148">
        <f t="shared" ca="1" si="11"/>
        <v>4565.4158927520693</v>
      </c>
      <c r="O34" s="148">
        <f t="shared" ca="1" si="12"/>
        <v>2191.3996285209932</v>
      </c>
      <c r="P34" s="148">
        <f t="shared" ca="1" si="13"/>
        <v>273.92495356512416</v>
      </c>
      <c r="Q34" s="148">
        <f t="shared" ca="1" si="14"/>
        <v>547.84990713024831</v>
      </c>
      <c r="R34" s="148">
        <f t="shared" ca="1" si="15"/>
        <v>29278.01212021902</v>
      </c>
      <c r="S34" s="148">
        <f t="shared" ca="1" si="16"/>
        <v>182616.63571008277</v>
      </c>
      <c r="T34" s="28">
        <f t="shared" ca="1" si="41"/>
        <v>178881.18416776948</v>
      </c>
      <c r="U34" s="148">
        <f t="shared" ca="1" si="17"/>
        <v>8658.0975597890265</v>
      </c>
      <c r="V34" s="148">
        <f t="shared" ca="1" si="18"/>
        <v>6385.0276989594595</v>
      </c>
      <c r="W34" s="148">
        <f t="shared" ca="1" si="19"/>
        <v>3064.8132955005403</v>
      </c>
      <c r="X34" s="148">
        <f t="shared" ca="1" si="20"/>
        <v>383.10166193756754</v>
      </c>
      <c r="Y34" s="148">
        <f t="shared" ca="1" si="21"/>
        <v>766.20332387513508</v>
      </c>
      <c r="Z34" s="148">
        <f t="shared" ca="1" si="22"/>
        <v>55549.740980947296</v>
      </c>
      <c r="AA34" s="148">
        <f t="shared" ca="1" si="23"/>
        <v>211075.29583337056</v>
      </c>
      <c r="AB34" s="24">
        <f t="shared" ca="1" si="42"/>
        <v>207412.02589181933</v>
      </c>
      <c r="AC34" s="148">
        <f t="shared" ca="1" si="24"/>
        <v>10254.604116097349</v>
      </c>
      <c r="AD34" s="148">
        <f t="shared" ca="1" si="25"/>
        <v>7562.3924160009938</v>
      </c>
      <c r="AE34" s="148">
        <f t="shared" ca="1" si="26"/>
        <v>3629.9483596804771</v>
      </c>
      <c r="AF34" s="148">
        <f t="shared" ca="1" si="27"/>
        <v>453.74354496005964</v>
      </c>
      <c r="AG34" s="148">
        <f t="shared" ca="1" si="28"/>
        <v>907.48708992011927</v>
      </c>
      <c r="AH34" s="148">
        <f t="shared" ca="1" si="29"/>
        <v>91504.948233612027</v>
      </c>
      <c r="AI34" s="148">
        <f t="shared" ca="1" si="30"/>
        <v>249996.4435041651</v>
      </c>
      <c r="AJ34" s="20">
        <f t="shared" ca="1" si="43"/>
        <v>245670.15853101731</v>
      </c>
      <c r="AK34" s="148">
        <f t="shared" ca="1" si="31"/>
        <v>11985.206870796812</v>
      </c>
      <c r="AL34" s="148">
        <f t="shared" ca="1" si="32"/>
        <v>8838.6481348059078</v>
      </c>
      <c r="AM34" s="148">
        <f t="shared" ca="1" si="33"/>
        <v>4242.5511047068358</v>
      </c>
      <c r="AN34" s="148">
        <f t="shared" ca="1" si="34"/>
        <v>530.31888808835447</v>
      </c>
      <c r="AO34" s="148">
        <f t="shared" ca="1" si="35"/>
        <v>1060.6377761767089</v>
      </c>
      <c r="AP34" s="148">
        <f t="shared" ca="1" si="36"/>
        <v>130458.44646973521</v>
      </c>
      <c r="AQ34" s="148">
        <f t="shared" ca="1" si="37"/>
        <v>292186.71520019532</v>
      </c>
      <c r="AR34" s="17">
        <f t="shared" ca="1" si="44"/>
        <v>287120.0129531229</v>
      </c>
      <c r="AS34" s="148">
        <f t="shared" ca="1" si="38"/>
        <v>122171.45566057767</v>
      </c>
      <c r="AT34" s="48" t="str">
        <f>INDEX('stock fisico '!N:N, MATCH(B34, 'stock fisico '!B:B, 0))</f>
        <v>ELECTRODOMESTICOS Y AIRES ACOND</v>
      </c>
      <c r="AU34" s="46" t="str">
        <f>INDEX('stock fisico '!D:D, MATCH(B34, 'stock fisico '!B:B, 0))</f>
        <v xml:space="preserve">Pequeños Electrodomesticos </v>
      </c>
      <c r="AV34" s="43" t="str">
        <f>INDEX('stock fisico '!L:L, MATCH(B34, 'stock fisico '!B:B, 0))</f>
        <v>Liliana</v>
      </c>
    </row>
    <row r="35" spans="1:48" x14ac:dyDescent="0.25">
      <c r="A35" s="48">
        <f>INDEX('stock fisico '!M:M, MATCH(B35, 'stock fisico '!B:B, 0))</f>
        <v>9971</v>
      </c>
      <c r="B35" s="47" t="s">
        <v>1671</v>
      </c>
      <c r="C35" s="46" t="str">
        <f>INDEX('stock fisico '!C:C, MATCH(B35, 'stock fisico '!B:B, 0))</f>
        <v>COCINA GAS 56CM INOX DREAN CD5617AI0</v>
      </c>
      <c r="D35" s="44">
        <f>INDEX('stock fisico '!I:I, MATCH(B35, 'stock fisico '!B:B, 0))</f>
        <v>729688</v>
      </c>
      <c r="E35" s="6">
        <f t="shared" ca="1" si="39"/>
        <v>889863.41463414638</v>
      </c>
      <c r="F35" s="148">
        <f t="shared" ca="1" si="4"/>
        <v>39524.925566677681</v>
      </c>
      <c r="G35" s="148">
        <f t="shared" ca="1" si="5"/>
        <v>24089.400988979305</v>
      </c>
      <c r="H35" s="148">
        <f t="shared" ca="1" si="6"/>
        <v>11562.912474710065</v>
      </c>
      <c r="I35" s="148">
        <f t="shared" ca="1" si="7"/>
        <v>1445.3640593387581</v>
      </c>
      <c r="J35" s="148">
        <f t="shared" ca="1" si="8"/>
        <v>2890.7281186775162</v>
      </c>
      <c r="K35" s="148">
        <f t="shared" ca="1" si="9"/>
        <v>963576.03955917212</v>
      </c>
      <c r="L35" s="32">
        <f t="shared" ca="1" si="40"/>
        <v>943841.98079421162</v>
      </c>
      <c r="M35" s="148">
        <f t="shared" ca="1" si="10"/>
        <v>47826.607677096552</v>
      </c>
      <c r="N35" s="148">
        <f t="shared" ca="1" si="11"/>
        <v>29149.05755692274</v>
      </c>
      <c r="O35" s="148">
        <f t="shared" ca="1" si="12"/>
        <v>13991.547627322916</v>
      </c>
      <c r="P35" s="148">
        <f t="shared" ca="1" si="13"/>
        <v>1748.9434534153645</v>
      </c>
      <c r="Q35" s="148">
        <f t="shared" ca="1" si="14"/>
        <v>3497.886906830729</v>
      </c>
      <c r="R35" s="148">
        <f t="shared" ca="1" si="15"/>
        <v>186932.90611254552</v>
      </c>
      <c r="S35" s="148">
        <f t="shared" ca="1" si="16"/>
        <v>1165962.3022769096</v>
      </c>
      <c r="T35" s="28">
        <f t="shared" ca="1" si="41"/>
        <v>1142112.3629579421</v>
      </c>
      <c r="U35" s="148">
        <f t="shared" ca="1" si="17"/>
        <v>55279.823357255787</v>
      </c>
      <c r="V35" s="148">
        <f t="shared" ca="1" si="18"/>
        <v>40766.83138440692</v>
      </c>
      <c r="W35" s="148">
        <f t="shared" ca="1" si="19"/>
        <v>19568.079064515325</v>
      </c>
      <c r="X35" s="148">
        <f t="shared" ca="1" si="20"/>
        <v>2446.0098830644156</v>
      </c>
      <c r="Y35" s="148">
        <f t="shared" ca="1" si="21"/>
        <v>4892.0197661288312</v>
      </c>
      <c r="Z35" s="148">
        <f t="shared" ca="1" si="22"/>
        <v>354671.43304434023</v>
      </c>
      <c r="AA35" s="148">
        <f t="shared" ca="1" si="23"/>
        <v>1347663.8474184107</v>
      </c>
      <c r="AB35" s="24">
        <f t="shared" ca="1" si="42"/>
        <v>1324274.7698663864</v>
      </c>
      <c r="AC35" s="148">
        <f t="shared" ca="1" si="24"/>
        <v>65473.12503952226</v>
      </c>
      <c r="AD35" s="148">
        <f t="shared" ca="1" si="25"/>
        <v>48284.01551587187</v>
      </c>
      <c r="AE35" s="148">
        <f t="shared" ca="1" si="26"/>
        <v>23176.3274476185</v>
      </c>
      <c r="AF35" s="148">
        <f t="shared" ca="1" si="27"/>
        <v>2897.0409309523125</v>
      </c>
      <c r="AG35" s="148">
        <f t="shared" ca="1" si="28"/>
        <v>5794.0818619046249</v>
      </c>
      <c r="AH35" s="148">
        <f t="shared" ca="1" si="29"/>
        <v>584236.58774204971</v>
      </c>
      <c r="AI35" s="148">
        <f t="shared" ca="1" si="30"/>
        <v>1596165.8021775826</v>
      </c>
      <c r="AJ35" s="20">
        <f t="shared" ca="1" si="43"/>
        <v>1568543.5367252415</v>
      </c>
      <c r="AK35" s="148">
        <f t="shared" ca="1" si="31"/>
        <v>76522.597965962443</v>
      </c>
      <c r="AL35" s="148">
        <f t="shared" ca="1" si="32"/>
        <v>56432.594370178791</v>
      </c>
      <c r="AM35" s="148">
        <f t="shared" ca="1" si="33"/>
        <v>27087.64529768582</v>
      </c>
      <c r="AN35" s="148">
        <f t="shared" ca="1" si="34"/>
        <v>3385.9556622107275</v>
      </c>
      <c r="AO35" s="148">
        <f t="shared" ca="1" si="35"/>
        <v>6771.911324421455</v>
      </c>
      <c r="AP35" s="148">
        <f t="shared" ca="1" si="36"/>
        <v>832945.09290383896</v>
      </c>
      <c r="AQ35" s="148">
        <f t="shared" ca="1" si="37"/>
        <v>1865540.3097579766</v>
      </c>
      <c r="AR35" s="17">
        <f t="shared" ca="1" si="44"/>
        <v>1833190.662126055</v>
      </c>
      <c r="AS35" s="148">
        <f t="shared" ca="1" si="38"/>
        <v>780034.69487124926</v>
      </c>
      <c r="AT35" s="48" t="str">
        <f>INDEX('stock fisico '!N:N, MATCH(B35, 'stock fisico '!B:B, 0))</f>
        <v>ELECTRODOMESTICOS Y AIRES ACOND</v>
      </c>
      <c r="AU35" s="46" t="str">
        <f>INDEX('stock fisico '!D:D, MATCH(B35, 'stock fisico '!B:B, 0))</f>
        <v>Cocinas</v>
      </c>
      <c r="AV35" s="43" t="str">
        <f>INDEX('stock fisico '!L:L, MATCH(B35, 'stock fisico '!B:B, 0))</f>
        <v>Drean</v>
      </c>
    </row>
    <row r="36" spans="1:48" x14ac:dyDescent="0.25">
      <c r="A36" s="48">
        <f>INDEX('stock fisico '!M:M, MATCH(B36, 'stock fisico '!B:B, 0))</f>
        <v>9637</v>
      </c>
      <c r="B36" s="47" t="s">
        <v>1532</v>
      </c>
      <c r="C36" s="46" t="str">
        <f>INDEX('stock fisico '!C:C, MATCH(B36, 'stock fisico '!B:B, 0))</f>
        <v>SECARROPA POR CALOR AX-3000 AXEL EAN:  7798118961995</v>
      </c>
      <c r="D36" s="44">
        <f>INDEX('stock fisico '!I:I, MATCH(B36, 'stock fisico '!B:B, 0))</f>
        <v>87602</v>
      </c>
      <c r="E36" s="6">
        <f t="shared" ca="1" si="39"/>
        <v>106831.70731707317</v>
      </c>
      <c r="F36" s="148">
        <f t="shared" ca="1" si="4"/>
        <v>4745.1274099232805</v>
      </c>
      <c r="G36" s="148">
        <f t="shared" ca="1" si="5"/>
        <v>2892.0301628046032</v>
      </c>
      <c r="H36" s="148">
        <f t="shared" ca="1" si="6"/>
        <v>1388.1744781462094</v>
      </c>
      <c r="I36" s="148">
        <f t="shared" ca="1" si="7"/>
        <v>173.52180976827617</v>
      </c>
      <c r="J36" s="148">
        <f t="shared" ca="1" si="8"/>
        <v>347.04361953655234</v>
      </c>
      <c r="K36" s="148">
        <f t="shared" ca="1" si="9"/>
        <v>115681.20651218412</v>
      </c>
      <c r="L36" s="32">
        <f t="shared" ca="1" si="40"/>
        <v>113312.05282467921</v>
      </c>
      <c r="M36" s="148">
        <f t="shared" ca="1" si="10"/>
        <v>5741.7779732283007</v>
      </c>
      <c r="N36" s="148">
        <f t="shared" ca="1" si="11"/>
        <v>3499.4624279165146</v>
      </c>
      <c r="O36" s="148">
        <f t="shared" ca="1" si="12"/>
        <v>1679.741965399927</v>
      </c>
      <c r="P36" s="148">
        <f t="shared" ca="1" si="13"/>
        <v>209.96774567499088</v>
      </c>
      <c r="Q36" s="148">
        <f t="shared" ca="1" si="14"/>
        <v>419.93549134998176</v>
      </c>
      <c r="R36" s="148">
        <f t="shared" ca="1" si="15"/>
        <v>22442.052550228607</v>
      </c>
      <c r="S36" s="148">
        <f t="shared" ca="1" si="16"/>
        <v>139978.49711666058</v>
      </c>
      <c r="T36" s="28">
        <f t="shared" ca="1" si="41"/>
        <v>137115.21529728</v>
      </c>
      <c r="U36" s="148">
        <f t="shared" ca="1" si="17"/>
        <v>6636.5667048688229</v>
      </c>
      <c r="V36" s="148">
        <f t="shared" ca="1" si="18"/>
        <v>4894.223233679073</v>
      </c>
      <c r="W36" s="148">
        <f t="shared" ca="1" si="19"/>
        <v>2349.227152165955</v>
      </c>
      <c r="X36" s="148">
        <f t="shared" ca="1" si="20"/>
        <v>293.65339402074437</v>
      </c>
      <c r="Y36" s="148">
        <f t="shared" ca="1" si="21"/>
        <v>587.30678804148874</v>
      </c>
      <c r="Z36" s="148">
        <f t="shared" ca="1" si="22"/>
        <v>42579.742133007931</v>
      </c>
      <c r="AA36" s="148">
        <f t="shared" ca="1" si="23"/>
        <v>161792.50359269662</v>
      </c>
      <c r="AB36" s="24">
        <f t="shared" ca="1" si="42"/>
        <v>158984.55009515738</v>
      </c>
      <c r="AC36" s="148">
        <f t="shared" ca="1" si="24"/>
        <v>7860.3138597759998</v>
      </c>
      <c r="AD36" s="148">
        <f t="shared" ca="1" si="25"/>
        <v>5796.6916370029494</v>
      </c>
      <c r="AE36" s="148">
        <f t="shared" ca="1" si="26"/>
        <v>2782.411985761416</v>
      </c>
      <c r="AF36" s="148">
        <f t="shared" ca="1" si="27"/>
        <v>347.801498220177</v>
      </c>
      <c r="AG36" s="148">
        <f t="shared" ca="1" si="28"/>
        <v>695.60299644035399</v>
      </c>
      <c r="AH36" s="148">
        <f t="shared" ca="1" si="29"/>
        <v>70139.968807735684</v>
      </c>
      <c r="AI36" s="148">
        <f t="shared" ca="1" si="30"/>
        <v>191626.16981827933</v>
      </c>
      <c r="AJ36" s="20">
        <f t="shared" ca="1" si="43"/>
        <v>188310.00496678663</v>
      </c>
      <c r="AK36" s="148">
        <f t="shared" ca="1" si="31"/>
        <v>9186.8478404663947</v>
      </c>
      <c r="AL36" s="148">
        <f t="shared" ca="1" si="32"/>
        <v>6774.9615342672523</v>
      </c>
      <c r="AM36" s="148">
        <f t="shared" ca="1" si="33"/>
        <v>3251.9815364482811</v>
      </c>
      <c r="AN36" s="148">
        <f t="shared" ca="1" si="34"/>
        <v>406.49769205603513</v>
      </c>
      <c r="AO36" s="148">
        <f t="shared" ca="1" si="35"/>
        <v>812.99538411207027</v>
      </c>
      <c r="AP36" s="148">
        <f t="shared" ca="1" si="36"/>
        <v>99998.432245784643</v>
      </c>
      <c r="AQ36" s="148">
        <f t="shared" ca="1" si="37"/>
        <v>223965.67055428933</v>
      </c>
      <c r="AR36" s="17">
        <f t="shared" ca="1" si="44"/>
        <v>220081.96432388457</v>
      </c>
      <c r="AS36" s="148">
        <f t="shared" ca="1" si="38"/>
        <v>93646.324648495211</v>
      </c>
      <c r="AT36" s="48" t="str">
        <f>INDEX('stock fisico '!N:N, MATCH(B36, 'stock fisico '!B:B, 0))</f>
        <v>ELECTRODOMESTICOS Y AIRES ACOND</v>
      </c>
      <c r="AU36" s="46" t="str">
        <f>INDEX('stock fisico '!D:D, MATCH(B36, 'stock fisico '!B:B, 0))</f>
        <v>secarropas</v>
      </c>
      <c r="AV36" s="43" t="str">
        <f>INDEX('stock fisico '!L:L, MATCH(B36, 'stock fisico '!B:B, 0))</f>
        <v>Acer</v>
      </c>
    </row>
    <row r="37" spans="1:48" x14ac:dyDescent="0.25">
      <c r="A37" s="48">
        <f>INDEX('stock fisico '!M:M, MATCH(B37, 'stock fisico '!B:B, 0))</f>
        <v>9861</v>
      </c>
      <c r="B37" s="47" t="s">
        <v>1194</v>
      </c>
      <c r="C37" s="46" t="str">
        <f>INDEX('stock fisico '!C:C, MATCH(B37, 'stock fisico '!B:B, 0))</f>
        <v>TABLET NETMAK 10" 4/64GB ANDROID 14 NM-XPLORER EAN 0700306605618</v>
      </c>
      <c r="D37" s="44">
        <f>INDEX('stock fisico '!I:I, MATCH(B37, 'stock fisico '!B:B, 0))</f>
        <v>113668.23</v>
      </c>
      <c r="E37" s="6">
        <f t="shared" ca="1" si="39"/>
        <v>138619.79268292684</v>
      </c>
      <c r="F37" s="148">
        <f t="shared" ca="1" si="4"/>
        <v>6157.053877884794</v>
      </c>
      <c r="G37" s="148">
        <f t="shared" ca="1" si="5"/>
        <v>3752.5621528345364</v>
      </c>
      <c r="H37" s="148">
        <f t="shared" ca="1" si="6"/>
        <v>1801.2298333605775</v>
      </c>
      <c r="I37" s="148">
        <f t="shared" ca="1" si="7"/>
        <v>225.15372917007218</v>
      </c>
      <c r="J37" s="148">
        <f t="shared" ca="1" si="8"/>
        <v>450.30745834014436</v>
      </c>
      <c r="K37" s="148">
        <f t="shared" ca="1" si="9"/>
        <v>150102.48611338146</v>
      </c>
      <c r="L37" s="32">
        <f t="shared" ca="1" si="40"/>
        <v>147028.38385251234</v>
      </c>
      <c r="M37" s="148">
        <f t="shared" ca="1" si="10"/>
        <v>7450.2607163061157</v>
      </c>
      <c r="N37" s="148">
        <f t="shared" ca="1" si="11"/>
        <v>4540.7376559070899</v>
      </c>
      <c r="O37" s="148">
        <f t="shared" ca="1" si="12"/>
        <v>2179.5540748354028</v>
      </c>
      <c r="P37" s="148">
        <f t="shared" ca="1" si="13"/>
        <v>272.44425935442536</v>
      </c>
      <c r="Q37" s="148">
        <f t="shared" ca="1" si="14"/>
        <v>544.88851870885071</v>
      </c>
      <c r="R37" s="148">
        <f t="shared" ca="1" si="15"/>
        <v>29119.750587332164</v>
      </c>
      <c r="S37" s="148">
        <f t="shared" ca="1" si="16"/>
        <v>181629.50623628357</v>
      </c>
      <c r="T37" s="28">
        <f t="shared" ca="1" si="41"/>
        <v>177914.24658010938</v>
      </c>
      <c r="U37" s="148">
        <f t="shared" ca="1" si="17"/>
        <v>8611.29643865861</v>
      </c>
      <c r="V37" s="148">
        <f t="shared" ca="1" si="18"/>
        <v>6350.5135978308326</v>
      </c>
      <c r="W37" s="148">
        <f t="shared" ca="1" si="19"/>
        <v>3048.2465269587997</v>
      </c>
      <c r="X37" s="148">
        <f t="shared" ca="1" si="20"/>
        <v>381.03081586984996</v>
      </c>
      <c r="Y37" s="148">
        <f t="shared" ca="1" si="21"/>
        <v>762.06163173969992</v>
      </c>
      <c r="Z37" s="148">
        <f t="shared" ca="1" si="22"/>
        <v>55249.468301128247</v>
      </c>
      <c r="AA37" s="148">
        <f t="shared" ca="1" si="23"/>
        <v>209934.33381258952</v>
      </c>
      <c r="AB37" s="24">
        <f t="shared" ca="1" si="42"/>
        <v>206290.86558141219</v>
      </c>
      <c r="AC37" s="148">
        <f t="shared" ca="1" si="24"/>
        <v>10199.173120307825</v>
      </c>
      <c r="AD37" s="148">
        <f t="shared" ca="1" si="25"/>
        <v>7521.5141005219948</v>
      </c>
      <c r="AE37" s="148">
        <f t="shared" ca="1" si="26"/>
        <v>3610.3267682505575</v>
      </c>
      <c r="AF37" s="148">
        <f t="shared" ca="1" si="27"/>
        <v>451.29084603131969</v>
      </c>
      <c r="AG37" s="148">
        <f t="shared" ca="1" si="28"/>
        <v>902.58169206263938</v>
      </c>
      <c r="AH37" s="148">
        <f t="shared" ca="1" si="29"/>
        <v>91010.320616316138</v>
      </c>
      <c r="AI37" s="148">
        <f t="shared" ca="1" si="30"/>
        <v>248645.09423213208</v>
      </c>
      <c r="AJ37" s="20">
        <f t="shared" ca="1" si="43"/>
        <v>244342.19487986399</v>
      </c>
      <c r="AK37" s="148">
        <f t="shared" ca="1" si="31"/>
        <v>11920.421146836117</v>
      </c>
      <c r="AL37" s="148">
        <f t="shared" ca="1" si="32"/>
        <v>8790.8710522390229</v>
      </c>
      <c r="AM37" s="148">
        <f t="shared" ca="1" si="33"/>
        <v>4219.6181050747318</v>
      </c>
      <c r="AN37" s="148">
        <f t="shared" ca="1" si="34"/>
        <v>527.45226313434148</v>
      </c>
      <c r="AO37" s="148">
        <f t="shared" ca="1" si="35"/>
        <v>1054.904526268683</v>
      </c>
      <c r="AP37" s="148">
        <f t="shared" ca="1" si="36"/>
        <v>129753.25673104799</v>
      </c>
      <c r="AQ37" s="148">
        <f t="shared" ca="1" si="37"/>
        <v>290607.30751203385</v>
      </c>
      <c r="AR37" s="17">
        <f t="shared" ca="1" si="44"/>
        <v>285567.99319215433</v>
      </c>
      <c r="AS37" s="148">
        <f t="shared" ca="1" si="38"/>
        <v>121511.06103513417</v>
      </c>
      <c r="AT37" s="48" t="str">
        <f>INDEX('stock fisico '!N:N, MATCH(B37, 'stock fisico '!B:B, 0))</f>
        <v>TECNOLOGIA Y CELULARES</v>
      </c>
      <c r="AU37" s="46" t="str">
        <f>INDEX('stock fisico '!D:D, MATCH(B37, 'stock fisico '!B:B, 0))</f>
        <v>Tablets</v>
      </c>
      <c r="AV37" s="43" t="str">
        <f>INDEX('stock fisico '!L:L, MATCH(B37, 'stock fisico '!B:B, 0))</f>
        <v>Netmak</v>
      </c>
    </row>
    <row r="38" spans="1:48" x14ac:dyDescent="0.25">
      <c r="A38" s="48">
        <f>INDEX('stock fisico '!M:M, MATCH(B38, 'stock fisico '!B:B, 0))</f>
        <v>9945</v>
      </c>
      <c r="B38" s="47" t="s">
        <v>1471</v>
      </c>
      <c r="C38" s="46" t="str">
        <f>INDEX('stock fisico '!C:C, MATCH(B38, 'stock fisico '!B:B, 0))</f>
        <v>HELADERA CICLICA TOP MOUNT BLANCA PHILCO PHCT242B CON FREEZER EAN 779111675896</v>
      </c>
      <c r="D38" s="44">
        <f>INDEX('stock fisico '!I:I, MATCH(B38, 'stock fisico '!B:B, 0))</f>
        <v>309449.01</v>
      </c>
      <c r="E38" s="6">
        <f t="shared" ca="1" si="39"/>
        <v>377376.84146341466</v>
      </c>
      <c r="F38" s="148">
        <f t="shared" ca="1" si="4"/>
        <v>16761.888761953189</v>
      </c>
      <c r="G38" s="148">
        <f t="shared" ca="1" si="5"/>
        <v>10215.929667930221</v>
      </c>
      <c r="H38" s="148">
        <f t="shared" ca="1" si="6"/>
        <v>4903.6462406065057</v>
      </c>
      <c r="I38" s="148">
        <f t="shared" ca="1" si="7"/>
        <v>612.95578007581321</v>
      </c>
      <c r="J38" s="148">
        <f t="shared" ca="1" si="8"/>
        <v>1225.9115601516264</v>
      </c>
      <c r="K38" s="148">
        <f t="shared" ca="1" si="9"/>
        <v>408637.18671720882</v>
      </c>
      <c r="L38" s="32">
        <f t="shared" ca="1" si="40"/>
        <v>400268.28802612599</v>
      </c>
      <c r="M38" s="148">
        <f t="shared" ca="1" si="10"/>
        <v>20282.499365942604</v>
      </c>
      <c r="N38" s="148">
        <f t="shared" ca="1" si="11"/>
        <v>12361.649093068216</v>
      </c>
      <c r="O38" s="148">
        <f t="shared" ca="1" si="12"/>
        <v>5933.5915646727435</v>
      </c>
      <c r="P38" s="148">
        <f t="shared" ca="1" si="13"/>
        <v>741.69894558409294</v>
      </c>
      <c r="Q38" s="148">
        <f t="shared" ca="1" si="14"/>
        <v>1483.3978911681859</v>
      </c>
      <c r="R38" s="148">
        <f t="shared" ca="1" si="15"/>
        <v>79275.255633846464</v>
      </c>
      <c r="S38" s="148">
        <f t="shared" ca="1" si="16"/>
        <v>494465.9637227286</v>
      </c>
      <c r="T38" s="28">
        <f t="shared" ca="1" si="41"/>
        <v>484351.58591904468</v>
      </c>
      <c r="U38" s="148">
        <f t="shared" ca="1" si="17"/>
        <v>23443.288927428821</v>
      </c>
      <c r="V38" s="148">
        <f t="shared" ca="1" si="18"/>
        <v>17288.561155920961</v>
      </c>
      <c r="W38" s="148">
        <f t="shared" ca="1" si="19"/>
        <v>8298.5093548420609</v>
      </c>
      <c r="X38" s="148">
        <f t="shared" ca="1" si="20"/>
        <v>1037.3136693552576</v>
      </c>
      <c r="Y38" s="148">
        <f t="shared" ca="1" si="21"/>
        <v>2074.6273387105152</v>
      </c>
      <c r="Z38" s="148">
        <f t="shared" ca="1" si="22"/>
        <v>150410.48205651235</v>
      </c>
      <c r="AA38" s="148">
        <f t="shared" ca="1" si="23"/>
        <v>571522.68284036231</v>
      </c>
      <c r="AB38" s="24">
        <f t="shared" ca="1" si="42"/>
        <v>561603.74914090848</v>
      </c>
      <c r="AC38" s="148">
        <f t="shared" ca="1" si="24"/>
        <v>27766.10513683434</v>
      </c>
      <c r="AD38" s="148">
        <f t="shared" ca="1" si="25"/>
        <v>20476.478714479603</v>
      </c>
      <c r="AE38" s="148">
        <f t="shared" ca="1" si="26"/>
        <v>9828.709782950209</v>
      </c>
      <c r="AF38" s="148">
        <f t="shared" ca="1" si="27"/>
        <v>1228.5887228687761</v>
      </c>
      <c r="AG38" s="148">
        <f t="shared" ca="1" si="28"/>
        <v>2457.1774457375523</v>
      </c>
      <c r="AH38" s="148">
        <f t="shared" ca="1" si="29"/>
        <v>247765.39244520318</v>
      </c>
      <c r="AI38" s="148">
        <f t="shared" ca="1" si="30"/>
        <v>676908.38725552405</v>
      </c>
      <c r="AJ38" s="20">
        <f t="shared" ca="1" si="43"/>
        <v>665194.22627413995</v>
      </c>
      <c r="AK38" s="148">
        <f t="shared" ca="1" si="31"/>
        <v>32452.00987709143</v>
      </c>
      <c r="AL38" s="148">
        <f t="shared" ca="1" si="32"/>
        <v>23932.160676321113</v>
      </c>
      <c r="AM38" s="148">
        <f t="shared" ca="1" si="33"/>
        <v>11487.437124634134</v>
      </c>
      <c r="AN38" s="148">
        <f t="shared" ca="1" si="34"/>
        <v>1435.9296405792668</v>
      </c>
      <c r="AO38" s="148">
        <f t="shared" ca="1" si="35"/>
        <v>2871.8592811585336</v>
      </c>
      <c r="AP38" s="148">
        <f t="shared" ca="1" si="36"/>
        <v>353238.69158249965</v>
      </c>
      <c r="AQ38" s="148">
        <f t="shared" ca="1" si="37"/>
        <v>791145.80748168973</v>
      </c>
      <c r="AR38" s="17">
        <f t="shared" ca="1" si="44"/>
        <v>777426.83932879847</v>
      </c>
      <c r="AS38" s="148">
        <f t="shared" ca="1" si="38"/>
        <v>330800.23803812067</v>
      </c>
      <c r="AT38" s="48" t="str">
        <f>INDEX('stock fisico '!N:N, MATCH(B38, 'stock fisico '!B:B, 0))</f>
        <v>ELECTRODOMESTICOS Y AIRES ACOND</v>
      </c>
      <c r="AU38" s="46" t="str">
        <f>INDEX('stock fisico '!D:D, MATCH(B38, 'stock fisico '!B:B, 0))</f>
        <v>Heladeras</v>
      </c>
      <c r="AV38" s="43" t="str">
        <f>INDEX('stock fisico '!L:L, MATCH(B38, 'stock fisico '!B:B, 0))</f>
        <v>Philco</v>
      </c>
    </row>
    <row r="39" spans="1:48" x14ac:dyDescent="0.25">
      <c r="A39" s="48">
        <f>INDEX('stock fisico '!M:M, MATCH(B39, 'stock fisico '!B:B, 0))</f>
        <v>9889</v>
      </c>
      <c r="B39" s="47" t="s">
        <v>1317</v>
      </c>
      <c r="C39" s="46" t="str">
        <f>INDEX('stock fisico '!C:C, MATCH(B39, 'stock fisico '!B:B, 0))</f>
        <v>AIRE ACONDICIONADO SPLIT TCL TACA 8500W CSA T PRO INVERTER</v>
      </c>
      <c r="D39" s="44">
        <f>INDEX('stock fisico '!I:I, MATCH(B39, 'stock fisico '!B:B, 0))</f>
        <v>1271710</v>
      </c>
      <c r="E39" s="6">
        <f t="shared" ca="1" si="39"/>
        <v>1550865.8536585367</v>
      </c>
      <c r="F39" s="148">
        <f t="shared" ca="1" si="4"/>
        <v>68884.568599729857</v>
      </c>
      <c r="G39" s="148">
        <f t="shared" ca="1" si="5"/>
        <v>41983.33004201093</v>
      </c>
      <c r="H39" s="148">
        <f t="shared" ca="1" si="6"/>
        <v>20151.998420165248</v>
      </c>
      <c r="I39" s="148">
        <f t="shared" ca="1" si="7"/>
        <v>2518.999802520656</v>
      </c>
      <c r="J39" s="148">
        <f t="shared" ca="1" si="8"/>
        <v>5037.999605041312</v>
      </c>
      <c r="K39" s="148">
        <f t="shared" ca="1" si="9"/>
        <v>1679333.2016804372</v>
      </c>
      <c r="L39" s="32">
        <f t="shared" ca="1" si="40"/>
        <v>1644940.4202834731</v>
      </c>
      <c r="M39" s="148">
        <f t="shared" ca="1" si="10"/>
        <v>83352.851148765578</v>
      </c>
      <c r="N39" s="148">
        <f t="shared" ca="1" si="11"/>
        <v>50801.367140084825</v>
      </c>
      <c r="O39" s="148">
        <f t="shared" ca="1" si="12"/>
        <v>24384.656227240717</v>
      </c>
      <c r="P39" s="148">
        <f t="shared" ca="1" si="13"/>
        <v>3048.0820284050897</v>
      </c>
      <c r="Q39" s="148">
        <f t="shared" ca="1" si="14"/>
        <v>6096.1640568101793</v>
      </c>
      <c r="R39" s="148">
        <f t="shared" ca="1" si="15"/>
        <v>325789.16746936395</v>
      </c>
      <c r="S39" s="148">
        <f t="shared" ca="1" si="16"/>
        <v>2032054.685603393</v>
      </c>
      <c r="T39" s="28">
        <f t="shared" ca="1" si="41"/>
        <v>1990488.6925607172</v>
      </c>
      <c r="U39" s="148">
        <f t="shared" ca="1" si="17"/>
        <v>96342.415061856256</v>
      </c>
      <c r="V39" s="148">
        <f t="shared" ca="1" si="18"/>
        <v>71048.978659186032</v>
      </c>
      <c r="W39" s="148">
        <f t="shared" ca="1" si="19"/>
        <v>34103.509756409294</v>
      </c>
      <c r="X39" s="148">
        <f t="shared" ca="1" si="20"/>
        <v>4262.9387195511617</v>
      </c>
      <c r="Y39" s="148">
        <f t="shared" ca="1" si="21"/>
        <v>8525.8774391023235</v>
      </c>
      <c r="Z39" s="148">
        <f t="shared" ca="1" si="22"/>
        <v>618126.11433491844</v>
      </c>
      <c r="AA39" s="148">
        <f t="shared" ca="1" si="23"/>
        <v>2348726.5672458191</v>
      </c>
      <c r="AB39" s="24">
        <f t="shared" ca="1" si="42"/>
        <v>2307963.7702508229</v>
      </c>
      <c r="AC39" s="148">
        <f t="shared" ca="1" si="24"/>
        <v>114107.43748562518</v>
      </c>
      <c r="AD39" s="148">
        <f t="shared" ca="1" si="25"/>
        <v>84150.027644266345</v>
      </c>
      <c r="AE39" s="148">
        <f t="shared" ca="1" si="26"/>
        <v>40392.013269247851</v>
      </c>
      <c r="AF39" s="148">
        <f t="shared" ca="1" si="27"/>
        <v>5049.0016586559814</v>
      </c>
      <c r="AG39" s="148">
        <f t="shared" ca="1" si="28"/>
        <v>10098.003317311963</v>
      </c>
      <c r="AH39" s="148">
        <f t="shared" ca="1" si="29"/>
        <v>1018215.3344956229</v>
      </c>
      <c r="AI39" s="148">
        <f t="shared" ca="1" si="30"/>
        <v>2781819.0956782266</v>
      </c>
      <c r="AJ39" s="20">
        <f t="shared" ca="1" si="43"/>
        <v>2733678.6422263449</v>
      </c>
      <c r="AK39" s="148">
        <f t="shared" ca="1" si="31"/>
        <v>133364.60659801739</v>
      </c>
      <c r="AL39" s="148">
        <f t="shared" ca="1" si="32"/>
        <v>98351.479792048209</v>
      </c>
      <c r="AM39" s="148">
        <f t="shared" ca="1" si="33"/>
        <v>47208.710300183142</v>
      </c>
      <c r="AN39" s="148">
        <f t="shared" ca="1" si="34"/>
        <v>5901.0887875228927</v>
      </c>
      <c r="AO39" s="148">
        <f t="shared" ca="1" si="35"/>
        <v>11802.177575045785</v>
      </c>
      <c r="AP39" s="148">
        <f t="shared" ca="1" si="36"/>
        <v>1451667.8417306317</v>
      </c>
      <c r="AQ39" s="148">
        <f t="shared" ca="1" si="37"/>
        <v>3251288.5881668832</v>
      </c>
      <c r="AR39" s="17">
        <f t="shared" ca="1" si="44"/>
        <v>3194909.1898624147</v>
      </c>
      <c r="AS39" s="148">
        <f t="shared" ca="1" si="38"/>
        <v>1359454.8927962589</v>
      </c>
      <c r="AT39" s="48" t="str">
        <f>INDEX('stock fisico '!N:N, MATCH(B39, 'stock fisico '!B:B, 0))</f>
        <v>ELECTRODOMESTICOS Y AIRES ACOND</v>
      </c>
      <c r="AU39" s="46" t="str">
        <f>INDEX('stock fisico '!D:D, MATCH(B39, 'stock fisico '!B:B, 0))</f>
        <v>Aires acondicionados</v>
      </c>
      <c r="AV39" s="43" t="str">
        <f>INDEX('stock fisico '!L:L, MATCH(B39, 'stock fisico '!B:B, 0))</f>
        <v>Tcl</v>
      </c>
    </row>
    <row r="40" spans="1:48" x14ac:dyDescent="0.25">
      <c r="A40" s="48">
        <f>INDEX('stock fisico '!M:M, MATCH(B40, 'stock fisico '!B:B, 0))</f>
        <v>9888</v>
      </c>
      <c r="B40" s="47" t="s">
        <v>1314</v>
      </c>
      <c r="C40" s="46" t="str">
        <f>INDEX('stock fisico '!C:C, MATCH(B40, 'stock fisico '!B:B, 0))</f>
        <v>LAVAVAJILLA PHILCO 5 CUB PHLJ05B BLANCO EAN 7799111672277</v>
      </c>
      <c r="D40" s="44">
        <f>INDEX('stock fisico '!I:I, MATCH(B40, 'stock fisico '!B:B, 0))</f>
        <v>397580</v>
      </c>
      <c r="E40" s="6">
        <f t="shared" ca="1" si="39"/>
        <v>484853.6585365854</v>
      </c>
      <c r="F40" s="148">
        <f t="shared" ca="1" si="4"/>
        <v>21535.669912071615</v>
      </c>
      <c r="G40" s="148">
        <f t="shared" ca="1" si="5"/>
        <v>13125.423530602657</v>
      </c>
      <c r="H40" s="148">
        <f t="shared" ca="1" si="6"/>
        <v>6300.203294689275</v>
      </c>
      <c r="I40" s="148">
        <f t="shared" ca="1" si="7"/>
        <v>787.52541183615938</v>
      </c>
      <c r="J40" s="148">
        <f t="shared" ca="1" si="8"/>
        <v>1575.0508236723188</v>
      </c>
      <c r="K40" s="148">
        <f t="shared" ca="1" si="9"/>
        <v>525016.94122410624</v>
      </c>
      <c r="L40" s="32">
        <f t="shared" ca="1" si="40"/>
        <v>514264.58256701863</v>
      </c>
      <c r="M40" s="148">
        <f t="shared" ca="1" si="10"/>
        <v>26058.949414352501</v>
      </c>
      <c r="N40" s="148">
        <f t="shared" ca="1" si="11"/>
        <v>15882.243237495126</v>
      </c>
      <c r="O40" s="148">
        <f t="shared" ca="1" si="12"/>
        <v>7623.4767539976601</v>
      </c>
      <c r="P40" s="148">
        <f t="shared" ca="1" si="13"/>
        <v>952.93459424970752</v>
      </c>
      <c r="Q40" s="148">
        <f t="shared" ca="1" si="14"/>
        <v>1905.869188499415</v>
      </c>
      <c r="R40" s="148">
        <f t="shared" ca="1" si="15"/>
        <v>101852.82588205623</v>
      </c>
      <c r="S40" s="148">
        <f t="shared" ca="1" si="16"/>
        <v>635289.72949980502</v>
      </c>
      <c r="T40" s="28">
        <f t="shared" ca="1" si="41"/>
        <v>622294.77977549122</v>
      </c>
      <c r="U40" s="148">
        <f t="shared" ca="1" si="17"/>
        <v>30119.930943605705</v>
      </c>
      <c r="V40" s="148">
        <f t="shared" ca="1" si="18"/>
        <v>22212.338453986507</v>
      </c>
      <c r="W40" s="148">
        <f t="shared" ca="1" si="19"/>
        <v>10661.922457913523</v>
      </c>
      <c r="X40" s="148">
        <f t="shared" ca="1" si="20"/>
        <v>1332.7403072391903</v>
      </c>
      <c r="Y40" s="148">
        <f t="shared" ca="1" si="21"/>
        <v>2665.4806144783806</v>
      </c>
      <c r="Z40" s="148">
        <f t="shared" ca="1" si="22"/>
        <v>193247.3445496826</v>
      </c>
      <c r="AA40" s="148">
        <f t="shared" ca="1" si="23"/>
        <v>734292.18029707461</v>
      </c>
      <c r="AB40" s="24">
        <f t="shared" ca="1" si="42"/>
        <v>721548.33710226556</v>
      </c>
      <c r="AC40" s="148">
        <f t="shared" ca="1" si="24"/>
        <v>35673.883979472412</v>
      </c>
      <c r="AD40" s="148">
        <f t="shared" ca="1" si="25"/>
        <v>26308.174026159591</v>
      </c>
      <c r="AE40" s="148">
        <f t="shared" ca="1" si="26"/>
        <v>12627.923532556604</v>
      </c>
      <c r="AF40" s="148">
        <f t="shared" ca="1" si="27"/>
        <v>1578.4904415695755</v>
      </c>
      <c r="AG40" s="148">
        <f t="shared" ca="1" si="28"/>
        <v>3156.980883139151</v>
      </c>
      <c r="AH40" s="148">
        <f t="shared" ca="1" si="29"/>
        <v>318328.9057165311</v>
      </c>
      <c r="AI40" s="148">
        <f t="shared" ca="1" si="30"/>
        <v>869691.70334411878</v>
      </c>
      <c r="AJ40" s="20">
        <f t="shared" ca="1" si="43"/>
        <v>854641.35264828464</v>
      </c>
      <c r="AK40" s="148">
        <f t="shared" ca="1" si="31"/>
        <v>41694.333056467083</v>
      </c>
      <c r="AL40" s="148">
        <f t="shared" ca="1" si="32"/>
        <v>30748.033227483098</v>
      </c>
      <c r="AM40" s="148">
        <f t="shared" ca="1" si="33"/>
        <v>14759.055949191887</v>
      </c>
      <c r="AN40" s="148">
        <f t="shared" ca="1" si="34"/>
        <v>1844.8819936489858</v>
      </c>
      <c r="AO40" s="148">
        <f t="shared" ca="1" si="35"/>
        <v>3689.7639872979717</v>
      </c>
      <c r="AP40" s="148">
        <f t="shared" ca="1" si="36"/>
        <v>453840.97043765051</v>
      </c>
      <c r="AQ40" s="148">
        <f t="shared" ca="1" si="37"/>
        <v>1016463.9083465487</v>
      </c>
      <c r="AR40" s="17">
        <f t="shared" ca="1" si="44"/>
        <v>998837.78196719289</v>
      </c>
      <c r="AS40" s="148">
        <f t="shared" ca="1" si="38"/>
        <v>425012.05170827988</v>
      </c>
      <c r="AT40" s="48" t="str">
        <f>INDEX('stock fisico '!N:N, MATCH(B40, 'stock fisico '!B:B, 0))</f>
        <v>ELECTRODOMESTICOS Y AIRES ACOND</v>
      </c>
      <c r="AU40" s="46" t="str">
        <f>INDEX('stock fisico '!D:D, MATCH(B40, 'stock fisico '!B:B, 0))</f>
        <v>Lavavajillas</v>
      </c>
      <c r="AV40" s="43" t="str">
        <f>INDEX('stock fisico '!L:L, MATCH(B40, 'stock fisico '!B:B, 0))</f>
        <v>Philco</v>
      </c>
    </row>
    <row r="41" spans="1:48" x14ac:dyDescent="0.25">
      <c r="A41" s="48">
        <f>INDEX('stock fisico '!M:M, MATCH(B41, 'stock fisico '!B:B, 0))</f>
        <v>9969</v>
      </c>
      <c r="B41" s="47" t="s">
        <v>1564</v>
      </c>
      <c r="C41" s="46" t="str">
        <f>INDEX('stock fisico '!C:C, MATCH(B41, 'stock fisico '!B:B, 0))</f>
        <v>COCINA GAS 56CM INOX DREAN CD5603AI0</v>
      </c>
      <c r="D41" s="44">
        <f>INDEX('stock fisico '!I:I, MATCH(B41, 'stock fisico '!B:B, 0))</f>
        <v>437813.01</v>
      </c>
      <c r="E41" s="6">
        <f t="shared" ca="1" si="39"/>
        <v>533918.30487804883</v>
      </c>
      <c r="F41" s="148">
        <f t="shared" ca="1" si="4"/>
        <v>23714.966715052338</v>
      </c>
      <c r="G41" s="148">
        <f t="shared" ca="1" si="5"/>
        <v>14453.64752617832</v>
      </c>
      <c r="H41" s="148">
        <f t="shared" ca="1" si="6"/>
        <v>6937.7508125655941</v>
      </c>
      <c r="I41" s="148">
        <f t="shared" ca="1" si="7"/>
        <v>867.21885157069926</v>
      </c>
      <c r="J41" s="148">
        <f t="shared" ca="1" si="8"/>
        <v>1734.4377031413985</v>
      </c>
      <c r="K41" s="148">
        <f t="shared" ca="1" si="9"/>
        <v>578145.90104713279</v>
      </c>
      <c r="L41" s="32">
        <f t="shared" ca="1" si="40"/>
        <v>566305.46010880813</v>
      </c>
      <c r="M41" s="148">
        <f t="shared" ca="1" si="10"/>
        <v>28695.978370479916</v>
      </c>
      <c r="N41" s="148">
        <f t="shared" ca="1" si="11"/>
        <v>17489.442923084374</v>
      </c>
      <c r="O41" s="148">
        <f t="shared" ca="1" si="12"/>
        <v>8394.9326030804987</v>
      </c>
      <c r="P41" s="148">
        <f t="shared" ca="1" si="13"/>
        <v>1049.3665753850623</v>
      </c>
      <c r="Q41" s="148">
        <f t="shared" ca="1" si="14"/>
        <v>2098.7331507701247</v>
      </c>
      <c r="R41" s="148">
        <f t="shared" ca="1" si="15"/>
        <v>112159.79746574008</v>
      </c>
      <c r="S41" s="148">
        <f t="shared" ca="1" si="16"/>
        <v>699577.71692337492</v>
      </c>
      <c r="T41" s="28">
        <f t="shared" ca="1" si="41"/>
        <v>685267.74646811944</v>
      </c>
      <c r="U41" s="148">
        <f t="shared" ca="1" si="17"/>
        <v>33167.909923567975</v>
      </c>
      <c r="V41" s="148">
        <f t="shared" ca="1" si="18"/>
        <v>24460.110563103222</v>
      </c>
      <c r="W41" s="148">
        <f t="shared" ca="1" si="19"/>
        <v>11740.853070289548</v>
      </c>
      <c r="X41" s="148">
        <f t="shared" ca="1" si="20"/>
        <v>1467.6066337861935</v>
      </c>
      <c r="Y41" s="148">
        <f t="shared" ca="1" si="21"/>
        <v>2935.2132675723869</v>
      </c>
      <c r="Z41" s="148">
        <f t="shared" ca="1" si="22"/>
        <v>212802.96189899804</v>
      </c>
      <c r="AA41" s="148">
        <f t="shared" ca="1" si="23"/>
        <v>808598.69630093302</v>
      </c>
      <c r="AB41" s="24">
        <f t="shared" ca="1" si="42"/>
        <v>794565.24303847679</v>
      </c>
      <c r="AC41" s="148">
        <f t="shared" ca="1" si="24"/>
        <v>39283.893866501319</v>
      </c>
      <c r="AD41" s="148">
        <f t="shared" ca="1" si="25"/>
        <v>28970.42320538445</v>
      </c>
      <c r="AE41" s="148">
        <f t="shared" ca="1" si="26"/>
        <v>13905.803138584537</v>
      </c>
      <c r="AF41" s="148">
        <f t="shared" ca="1" si="27"/>
        <v>1738.2253923230671</v>
      </c>
      <c r="AG41" s="148">
        <f t="shared" ca="1" si="28"/>
        <v>3476.4507846461343</v>
      </c>
      <c r="AH41" s="148">
        <f t="shared" ca="1" si="29"/>
        <v>350542.12078515184</v>
      </c>
      <c r="AI41" s="148">
        <f t="shared" ca="1" si="30"/>
        <v>957699.94067386619</v>
      </c>
      <c r="AJ41" s="20">
        <f t="shared" ca="1" si="43"/>
        <v>941126.57345293264</v>
      </c>
      <c r="AK41" s="148">
        <f t="shared" ca="1" si="31"/>
        <v>45913.580802340039</v>
      </c>
      <c r="AL41" s="148">
        <f t="shared" ca="1" si="32"/>
        <v>33859.572863082627</v>
      </c>
      <c r="AM41" s="148">
        <f t="shared" ca="1" si="33"/>
        <v>16252.59497427966</v>
      </c>
      <c r="AN41" s="148">
        <f t="shared" ca="1" si="34"/>
        <v>2031.5743717849575</v>
      </c>
      <c r="AO41" s="148">
        <f t="shared" ca="1" si="35"/>
        <v>4063.148743569915</v>
      </c>
      <c r="AP41" s="148">
        <f t="shared" ca="1" si="36"/>
        <v>499767.29545909958</v>
      </c>
      <c r="AQ41" s="148">
        <f t="shared" ca="1" si="37"/>
        <v>1119324.7227465331</v>
      </c>
      <c r="AR41" s="17">
        <f t="shared" ca="1" si="44"/>
        <v>1099914.924857338</v>
      </c>
      <c r="AS41" s="148">
        <f t="shared" ca="1" si="38"/>
        <v>468021.04141223815</v>
      </c>
      <c r="AT41" s="48" t="str">
        <f>INDEX('stock fisico '!N:N, MATCH(B41, 'stock fisico '!B:B, 0))</f>
        <v>ELECTRODOMESTICOS Y AIRES ACOND</v>
      </c>
      <c r="AU41" s="46" t="str">
        <f>INDEX('stock fisico '!D:D, MATCH(B41, 'stock fisico '!B:B, 0))</f>
        <v>Cocinas</v>
      </c>
      <c r="AV41" s="43" t="str">
        <f>INDEX('stock fisico '!L:L, MATCH(B41, 'stock fisico '!B:B, 0))</f>
        <v>Drean</v>
      </c>
    </row>
    <row r="42" spans="1:48" x14ac:dyDescent="0.25">
      <c r="A42" s="48">
        <f>INDEX('stock fisico '!M:M, MATCH(B42, 'stock fisico '!B:B, 0))</f>
        <v>9988</v>
      </c>
      <c r="B42" s="47" t="s">
        <v>1666</v>
      </c>
      <c r="C42" s="46" t="str">
        <f>INDEX('stock fisico '!C:C, MATCH(B42, 'stock fisico '!B:B, 0))</f>
        <v>COCINA ELECTRICA PHILCO PHCH060P PLATA EAN 07799111671942</v>
      </c>
      <c r="D42" s="44">
        <f>INDEX('stock fisico '!I:I, MATCH(B42, 'stock fisico '!B:B, 0))</f>
        <v>466568.99</v>
      </c>
      <c r="E42" s="6">
        <f t="shared" ca="1" si="39"/>
        <v>568986.57317073166</v>
      </c>
      <c r="F42" s="148">
        <f t="shared" ca="1" si="4"/>
        <v>25272.588560412096</v>
      </c>
      <c r="G42" s="148">
        <f t="shared" ca="1" si="5"/>
        <v>15402.977010904762</v>
      </c>
      <c r="H42" s="148">
        <f t="shared" ca="1" si="6"/>
        <v>7393.4289652342859</v>
      </c>
      <c r="I42" s="148">
        <f t="shared" ca="1" si="7"/>
        <v>924.17862065428574</v>
      </c>
      <c r="J42" s="148">
        <f t="shared" ca="1" si="8"/>
        <v>1848.3572413085715</v>
      </c>
      <c r="K42" s="148">
        <f t="shared" ca="1" si="9"/>
        <v>616119.08043619047</v>
      </c>
      <c r="L42" s="32">
        <f t="shared" ca="1" si="40"/>
        <v>603500.94793768658</v>
      </c>
      <c r="M42" s="148">
        <f t="shared" ca="1" si="10"/>
        <v>30580.757856822616</v>
      </c>
      <c r="N42" s="148">
        <f t="shared" ca="1" si="11"/>
        <v>18638.166372182779</v>
      </c>
      <c r="O42" s="148">
        <f t="shared" ca="1" si="12"/>
        <v>8946.3198586477338</v>
      </c>
      <c r="P42" s="148">
        <f t="shared" ca="1" si="13"/>
        <v>1118.2899823309667</v>
      </c>
      <c r="Q42" s="148">
        <f t="shared" ca="1" si="14"/>
        <v>2236.5799646619334</v>
      </c>
      <c r="R42" s="148">
        <f t="shared" ca="1" si="15"/>
        <v>119526.56094480815</v>
      </c>
      <c r="S42" s="148">
        <f t="shared" ca="1" si="16"/>
        <v>745526.65488731116</v>
      </c>
      <c r="T42" s="28">
        <f t="shared" ca="1" si="41"/>
        <v>730276.79179567215</v>
      </c>
      <c r="U42" s="148">
        <f t="shared" ca="1" si="17"/>
        <v>35346.410179656566</v>
      </c>
      <c r="V42" s="148">
        <f t="shared" ca="1" si="18"/>
        <v>26066.674173788029</v>
      </c>
      <c r="W42" s="148">
        <f t="shared" ca="1" si="19"/>
        <v>12512.003603418254</v>
      </c>
      <c r="X42" s="148">
        <f t="shared" ca="1" si="20"/>
        <v>1564.0004504272817</v>
      </c>
      <c r="Y42" s="148">
        <f t="shared" ca="1" si="21"/>
        <v>3128.0009008545635</v>
      </c>
      <c r="Z42" s="148">
        <f t="shared" ca="1" si="22"/>
        <v>226780.06531195584</v>
      </c>
      <c r="AA42" s="148">
        <f t="shared" ca="1" si="23"/>
        <v>861708.23715001752</v>
      </c>
      <c r="AB42" s="24">
        <f t="shared" ca="1" si="42"/>
        <v>846753.05316661694</v>
      </c>
      <c r="AC42" s="148">
        <f t="shared" ca="1" si="24"/>
        <v>41864.097836107503</v>
      </c>
      <c r="AD42" s="148">
        <f t="shared" ca="1" si="25"/>
        <v>30873.228492704646</v>
      </c>
      <c r="AE42" s="148">
        <f t="shared" ca="1" si="26"/>
        <v>14819.149676498231</v>
      </c>
      <c r="AF42" s="148">
        <f t="shared" ca="1" si="27"/>
        <v>1852.3937095622789</v>
      </c>
      <c r="AG42" s="148">
        <f t="shared" ca="1" si="28"/>
        <v>3704.7874191245578</v>
      </c>
      <c r="AH42" s="148">
        <f t="shared" ca="1" si="29"/>
        <v>373566.06476172624</v>
      </c>
      <c r="AI42" s="148">
        <f t="shared" ca="1" si="30"/>
        <v>1020602.5948001536</v>
      </c>
      <c r="AJ42" s="20">
        <f t="shared" ca="1" si="43"/>
        <v>1002940.6728641882</v>
      </c>
      <c r="AK42" s="148">
        <f t="shared" ca="1" si="31"/>
        <v>48929.228992603894</v>
      </c>
      <c r="AL42" s="148">
        <f t="shared" ca="1" si="32"/>
        <v>36083.502206935023</v>
      </c>
      <c r="AM42" s="148">
        <f t="shared" ca="1" si="33"/>
        <v>17320.081059328812</v>
      </c>
      <c r="AN42" s="148">
        <f t="shared" ca="1" si="34"/>
        <v>2165.0101324161014</v>
      </c>
      <c r="AO42" s="148">
        <f t="shared" ca="1" si="35"/>
        <v>4330.0202648322029</v>
      </c>
      <c r="AP42" s="148">
        <f t="shared" ca="1" si="36"/>
        <v>532592.49257436104</v>
      </c>
      <c r="AQ42" s="148">
        <f t="shared" ca="1" si="37"/>
        <v>1192843.0481631414</v>
      </c>
      <c r="AR42" s="17">
        <f t="shared" ca="1" si="44"/>
        <v>1172158.3960618577</v>
      </c>
      <c r="AS42" s="148">
        <f t="shared" ca="1" si="38"/>
        <v>498761.11399808811</v>
      </c>
      <c r="AT42" s="48" t="str">
        <f>INDEX('stock fisico '!N:N, MATCH(B42, 'stock fisico '!B:B, 0))</f>
        <v>ELECTRODOMESTICOS Y AIRES ACOND</v>
      </c>
      <c r="AU42" s="46" t="str">
        <f>INDEX('stock fisico '!D:D, MATCH(B42, 'stock fisico '!B:B, 0))</f>
        <v>Cocinas</v>
      </c>
      <c r="AV42" s="43" t="str">
        <f>INDEX('stock fisico '!L:L, MATCH(B42, 'stock fisico '!B:B, 0))</f>
        <v>Philco</v>
      </c>
    </row>
    <row r="43" spans="1:48" x14ac:dyDescent="0.25">
      <c r="A43" s="48">
        <f>INDEX('stock fisico '!M:M, MATCH(B43, 'stock fisico '!B:B, 0))</f>
        <v>9837</v>
      </c>
      <c r="B43" s="47" t="s">
        <v>1167</v>
      </c>
      <c r="C43" s="46" t="str">
        <f>INDEX('stock fisico '!C:C, MATCH(B43, 'stock fisico '!B:B, 0))</f>
        <v>AIRE ACONDICIONADO ALASKA 3300W ASE35WCAU PNB045646 EAN 7796885016245</v>
      </c>
      <c r="D43" s="44">
        <f>INDEX('stock fisico '!I:I, MATCH(B43, 'stock fisico '!B:B, 0))</f>
        <v>505000</v>
      </c>
      <c r="E43" s="6">
        <f t="shared" ca="1" si="39"/>
        <v>615853.6585365854</v>
      </c>
      <c r="F43" s="148">
        <f t="shared" ca="1" si="4"/>
        <v>27354.276637648185</v>
      </c>
      <c r="G43" s="148">
        <f t="shared" ca="1" si="5"/>
        <v>16671.711059294586</v>
      </c>
      <c r="H43" s="148">
        <f t="shared" ca="1" si="6"/>
        <v>8002.4213084614012</v>
      </c>
      <c r="I43" s="148">
        <f t="shared" ca="1" si="7"/>
        <v>1000.3026635576751</v>
      </c>
      <c r="J43" s="148">
        <f t="shared" ca="1" si="8"/>
        <v>2000.6053271153503</v>
      </c>
      <c r="K43" s="148">
        <f t="shared" ca="1" si="9"/>
        <v>666868.44237178343</v>
      </c>
      <c r="L43" s="32">
        <f t="shared" ca="1" si="40"/>
        <v>653210.96180981037</v>
      </c>
      <c r="M43" s="148">
        <f t="shared" ca="1" si="10"/>
        <v>33099.6766795312</v>
      </c>
      <c r="N43" s="148">
        <f t="shared" ca="1" si="11"/>
        <v>20173.381042645604</v>
      </c>
      <c r="O43" s="148">
        <f t="shared" ca="1" si="12"/>
        <v>9683.2229004698893</v>
      </c>
      <c r="P43" s="148">
        <f t="shared" ca="1" si="13"/>
        <v>1210.4028625587362</v>
      </c>
      <c r="Q43" s="148">
        <f t="shared" ca="1" si="14"/>
        <v>2420.8057251174723</v>
      </c>
      <c r="R43" s="148">
        <f t="shared" ca="1" si="15"/>
        <v>129371.89262648624</v>
      </c>
      <c r="S43" s="148">
        <f t="shared" ca="1" si="16"/>
        <v>806935.24170582404</v>
      </c>
      <c r="T43" s="28">
        <f t="shared" ca="1" si="41"/>
        <v>790429.25646819023</v>
      </c>
      <c r="U43" s="148">
        <f t="shared" ca="1" si="17"/>
        <v>38257.872947635391</v>
      </c>
      <c r="V43" s="148">
        <f t="shared" ca="1" si="18"/>
        <v>28213.770610350584</v>
      </c>
      <c r="W43" s="148">
        <f t="shared" ca="1" si="19"/>
        <v>13542.609892968281</v>
      </c>
      <c r="X43" s="148">
        <f t="shared" ca="1" si="20"/>
        <v>1692.8262366210352</v>
      </c>
      <c r="Y43" s="148">
        <f t="shared" ca="1" si="21"/>
        <v>3385.6524732420703</v>
      </c>
      <c r="Z43" s="148">
        <f t="shared" ca="1" si="22"/>
        <v>245459.80431005009</v>
      </c>
      <c r="AA43" s="148">
        <f t="shared" ca="1" si="23"/>
        <v>932686.63174712681</v>
      </c>
      <c r="AB43" s="24">
        <f t="shared" ca="1" si="42"/>
        <v>916499.59816048131</v>
      </c>
      <c r="AC43" s="148">
        <f t="shared" ca="1" si="24"/>
        <v>45312.418656958522</v>
      </c>
      <c r="AD43" s="148">
        <f t="shared" ca="1" si="25"/>
        <v>33416.23794760953</v>
      </c>
      <c r="AE43" s="148">
        <f t="shared" ca="1" si="26"/>
        <v>16039.794214852573</v>
      </c>
      <c r="AF43" s="148">
        <f t="shared" ca="1" si="27"/>
        <v>2004.9742768565716</v>
      </c>
      <c r="AG43" s="148">
        <f t="shared" ca="1" si="28"/>
        <v>4009.9485537131432</v>
      </c>
      <c r="AH43" s="148">
        <f t="shared" ca="1" si="29"/>
        <v>404336.4791660753</v>
      </c>
      <c r="AI43" s="148">
        <f t="shared" ca="1" si="30"/>
        <v>1104669.023061472</v>
      </c>
      <c r="AJ43" s="20">
        <f t="shared" ca="1" si="43"/>
        <v>1085552.299128185</v>
      </c>
      <c r="AK43" s="148">
        <f t="shared" ca="1" si="31"/>
        <v>52959.500461582262</v>
      </c>
      <c r="AL43" s="148">
        <f t="shared" ca="1" si="32"/>
        <v>39055.678806476593</v>
      </c>
      <c r="AM43" s="148">
        <f t="shared" ca="1" si="33"/>
        <v>18746.725827108763</v>
      </c>
      <c r="AN43" s="148">
        <f t="shared" ca="1" si="34"/>
        <v>2343.3407283885954</v>
      </c>
      <c r="AO43" s="148">
        <f t="shared" ca="1" si="35"/>
        <v>4686.6814567771908</v>
      </c>
      <c r="AP43" s="148">
        <f t="shared" ca="1" si="36"/>
        <v>576461.81918359455</v>
      </c>
      <c r="AQ43" s="148">
        <f t="shared" ca="1" si="37"/>
        <v>1291096.820048813</v>
      </c>
      <c r="AR43" s="17">
        <f t="shared" ca="1" si="44"/>
        <v>1268708.385465648</v>
      </c>
      <c r="AS43" s="148">
        <f t="shared" ca="1" si="38"/>
        <v>539843.7700907524</v>
      </c>
      <c r="AT43" s="48" t="str">
        <f>INDEX('stock fisico '!N:N, MATCH(B43, 'stock fisico '!B:B, 0))</f>
        <v>ELECTRODOMESTICOS Y AIRES ACOND</v>
      </c>
      <c r="AU43" s="46" t="str">
        <f>INDEX('stock fisico '!D:D, MATCH(B43, 'stock fisico '!B:B, 0))</f>
        <v>Aires acondicionados</v>
      </c>
      <c r="AV43" s="43" t="str">
        <f>INDEX('stock fisico '!L:L, MATCH(B43, 'stock fisico '!B:B, 0))</f>
        <v>Alaska</v>
      </c>
    </row>
    <row r="44" spans="1:48" x14ac:dyDescent="0.25">
      <c r="A44" s="48">
        <f>INDEX('stock fisico '!M:M, MATCH(B44, 'stock fisico '!B:B, 0))</f>
        <v>9703</v>
      </c>
      <c r="B44" s="47" t="s">
        <v>104</v>
      </c>
      <c r="C44" s="46" t="str">
        <f>INDEX('stock fisico '!C:C, MATCH(B44, 'stock fisico '!B:B, 0))</f>
        <v>COJIN MASAJEADOR SHIATSU MULTIFUNCION PM-540 GAMA  EAN:  8023277099449</v>
      </c>
      <c r="D44" s="44">
        <f>INDEX('stock fisico '!I:I, MATCH(B44, 'stock fisico '!B:B, 0))</f>
        <v>43127.09</v>
      </c>
      <c r="E44" s="6">
        <f t="shared" ca="1" si="39"/>
        <v>52594.012195121948</v>
      </c>
      <c r="F44" s="148">
        <f t="shared" ca="1" si="4"/>
        <v>2336.0600998747536</v>
      </c>
      <c r="G44" s="148">
        <f t="shared" ca="1" si="5"/>
        <v>1423.7670956597881</v>
      </c>
      <c r="H44" s="148">
        <f t="shared" ca="1" si="6"/>
        <v>683.40820591669831</v>
      </c>
      <c r="I44" s="148">
        <f t="shared" ca="1" si="7"/>
        <v>85.426025739587288</v>
      </c>
      <c r="J44" s="148">
        <f t="shared" ca="1" si="8"/>
        <v>170.85205147917458</v>
      </c>
      <c r="K44" s="148">
        <f t="shared" ca="1" si="9"/>
        <v>56950.68382639152</v>
      </c>
      <c r="L44" s="32">
        <f t="shared" ca="1" si="40"/>
        <v>55784.332552392574</v>
      </c>
      <c r="M44" s="148">
        <f t="shared" ca="1" si="10"/>
        <v>2826.7182873842435</v>
      </c>
      <c r="N44" s="148">
        <f t="shared" ca="1" si="11"/>
        <v>1722.8103362979616</v>
      </c>
      <c r="O44" s="148">
        <f t="shared" ca="1" si="12"/>
        <v>826.9489614230215</v>
      </c>
      <c r="P44" s="148">
        <f t="shared" ca="1" si="13"/>
        <v>103.36862017787769</v>
      </c>
      <c r="Q44" s="148">
        <f t="shared" ca="1" si="14"/>
        <v>206.73724035575538</v>
      </c>
      <c r="R44" s="148">
        <f t="shared" ca="1" si="15"/>
        <v>11048.382686678826</v>
      </c>
      <c r="S44" s="148">
        <f t="shared" ca="1" si="16"/>
        <v>68912.413451918459</v>
      </c>
      <c r="T44" s="28">
        <f t="shared" ca="1" si="41"/>
        <v>67502.799370963796</v>
      </c>
      <c r="U44" s="148">
        <f t="shared" ca="1" si="17"/>
        <v>3267.2291679628447</v>
      </c>
      <c r="V44" s="148">
        <f t="shared" ca="1" si="18"/>
        <v>2409.4610383206818</v>
      </c>
      <c r="W44" s="148">
        <f t="shared" ca="1" si="19"/>
        <v>1156.5412983939275</v>
      </c>
      <c r="X44" s="148">
        <f t="shared" ca="1" si="20"/>
        <v>144.56766229924094</v>
      </c>
      <c r="Y44" s="148">
        <f t="shared" ca="1" si="21"/>
        <v>289.13532459848187</v>
      </c>
      <c r="Z44" s="148">
        <f t="shared" ca="1" si="22"/>
        <v>20962.311033389935</v>
      </c>
      <c r="AA44" s="148">
        <f t="shared" ca="1" si="23"/>
        <v>79651.604572584532</v>
      </c>
      <c r="AB44" s="24">
        <f t="shared" ca="1" si="42"/>
        <v>78269.229019467137</v>
      </c>
      <c r="AC44" s="148">
        <f t="shared" ca="1" si="24"/>
        <v>3869.6886287848092</v>
      </c>
      <c r="AD44" s="148">
        <f t="shared" ca="1" si="25"/>
        <v>2853.7526760949918</v>
      </c>
      <c r="AE44" s="148">
        <f t="shared" ca="1" si="26"/>
        <v>1369.8012845255962</v>
      </c>
      <c r="AF44" s="148">
        <f t="shared" ca="1" si="27"/>
        <v>171.22516056569953</v>
      </c>
      <c r="AG44" s="148">
        <f t="shared" ca="1" si="28"/>
        <v>342.45032113139905</v>
      </c>
      <c r="AH44" s="148">
        <f t="shared" ca="1" si="29"/>
        <v>34530.407380749406</v>
      </c>
      <c r="AI44" s="148">
        <f t="shared" ca="1" si="30"/>
        <v>94338.931441156761</v>
      </c>
      <c r="AJ44" s="20">
        <f t="shared" ca="1" si="43"/>
        <v>92706.359810313152</v>
      </c>
      <c r="AK44" s="148">
        <f t="shared" ca="1" si="31"/>
        <v>4522.7507777459386</v>
      </c>
      <c r="AL44" s="148">
        <f t="shared" ca="1" si="32"/>
        <v>3335.3619304911053</v>
      </c>
      <c r="AM44" s="148">
        <f t="shared" ca="1" si="33"/>
        <v>1600.9737266357306</v>
      </c>
      <c r="AN44" s="148">
        <f t="shared" ca="1" si="34"/>
        <v>200.12171582946632</v>
      </c>
      <c r="AO44" s="148">
        <f t="shared" ca="1" si="35"/>
        <v>400.24343165893265</v>
      </c>
      <c r="AP44" s="148">
        <f t="shared" ca="1" si="36"/>
        <v>49229.942094048718</v>
      </c>
      <c r="AQ44" s="148">
        <f t="shared" ca="1" si="37"/>
        <v>110259.89852863159</v>
      </c>
      <c r="AR44" s="17">
        <f t="shared" ca="1" si="44"/>
        <v>108347.92222521127</v>
      </c>
      <c r="AS44" s="148">
        <f t="shared" ca="1" si="38"/>
        <v>46102.754175531052</v>
      </c>
      <c r="AT44" s="48" t="str">
        <f>INDEX('stock fisico '!N:N, MATCH(B44, 'stock fisico '!B:B, 0))</f>
        <v>ELECTRODOMESTICOS Y AIRES ACOND</v>
      </c>
      <c r="AU44" s="46" t="str">
        <f>INDEX('stock fisico '!D:D, MATCH(B44, 'stock fisico '!B:B, 0))</f>
        <v xml:space="preserve">Cuidado personal </v>
      </c>
      <c r="AV44" s="43" t="str">
        <f>INDEX('stock fisico '!L:L, MATCH(B44, 'stock fisico '!B:B, 0))</f>
        <v>Gama</v>
      </c>
    </row>
    <row r="45" spans="1:48" x14ac:dyDescent="0.25">
      <c r="A45" s="48">
        <f>INDEX('stock fisico '!M:M, MATCH(B45, 'stock fisico '!B:B, 0))</f>
        <v>9815</v>
      </c>
      <c r="B45" s="47" t="s">
        <v>1083</v>
      </c>
      <c r="C45" s="46" t="str">
        <f>INDEX('stock fisico '!C:C, MATCH(B45, 'stock fisico '!B:B, 0))</f>
        <v>SMART TV PHILIPS 32" ANDROID TV 32PHD6927/77 EAN 8718863035733</v>
      </c>
      <c r="D45" s="44">
        <f>INDEX('stock fisico '!I:I, MATCH(B45, 'stock fisico '!B:B, 0))</f>
        <v>249990.01</v>
      </c>
      <c r="E45" s="6">
        <f t="shared" ca="1" si="39"/>
        <v>304865.86585365853</v>
      </c>
      <c r="F45" s="148">
        <f t="shared" ca="1" si="4"/>
        <v>13541.179980571162</v>
      </c>
      <c r="G45" s="148">
        <f t="shared" ca="1" si="5"/>
        <v>8252.9925038221081</v>
      </c>
      <c r="H45" s="148">
        <f t="shared" ca="1" si="6"/>
        <v>3961.4364018346118</v>
      </c>
      <c r="I45" s="148">
        <f t="shared" ca="1" si="7"/>
        <v>495.17955022932648</v>
      </c>
      <c r="J45" s="148">
        <f t="shared" ca="1" si="8"/>
        <v>990.35910045865296</v>
      </c>
      <c r="K45" s="148">
        <f t="shared" ca="1" si="9"/>
        <v>330119.7001528843</v>
      </c>
      <c r="L45" s="32">
        <f t="shared" ca="1" si="40"/>
        <v>323358.84133652295</v>
      </c>
      <c r="M45" s="148">
        <f t="shared" ca="1" si="10"/>
        <v>16385.323770520336</v>
      </c>
      <c r="N45" s="148">
        <f t="shared" ca="1" si="11"/>
        <v>9986.4232249203633</v>
      </c>
      <c r="O45" s="148">
        <f t="shared" ca="1" si="12"/>
        <v>4793.4831479617742</v>
      </c>
      <c r="P45" s="148">
        <f t="shared" ca="1" si="13"/>
        <v>599.18539349522177</v>
      </c>
      <c r="Q45" s="148">
        <f t="shared" ca="1" si="14"/>
        <v>1198.3707869904435</v>
      </c>
      <c r="R45" s="148">
        <f t="shared" ca="1" si="15"/>
        <v>64042.932141414291</v>
      </c>
      <c r="S45" s="148">
        <f t="shared" ca="1" si="16"/>
        <v>399456.92899681453</v>
      </c>
      <c r="T45" s="28">
        <f t="shared" ca="1" si="41"/>
        <v>391285.97570054536</v>
      </c>
      <c r="U45" s="148">
        <f t="shared" ca="1" si="17"/>
        <v>18938.784239124951</v>
      </c>
      <c r="V45" s="148">
        <f t="shared" ca="1" si="18"/>
        <v>13966.655043602472</v>
      </c>
      <c r="W45" s="148">
        <f t="shared" ca="1" si="19"/>
        <v>6703.9944209291862</v>
      </c>
      <c r="X45" s="148">
        <f t="shared" ca="1" si="20"/>
        <v>837.99930261614827</v>
      </c>
      <c r="Y45" s="148">
        <f t="shared" ca="1" si="21"/>
        <v>1675.9986052322965</v>
      </c>
      <c r="Z45" s="148">
        <f t="shared" ca="1" si="22"/>
        <v>121509.8988793415</v>
      </c>
      <c r="AA45" s="148">
        <f t="shared" ca="1" si="23"/>
        <v>461707.60474718915</v>
      </c>
      <c r="AB45" s="24">
        <f t="shared" ca="1" si="42"/>
        <v>453694.5419982865</v>
      </c>
      <c r="AC45" s="148">
        <f t="shared" ca="1" si="24"/>
        <v>22430.994045895535</v>
      </c>
      <c r="AD45" s="148">
        <f t="shared" ca="1" si="25"/>
        <v>16542.031007297592</v>
      </c>
      <c r="AE45" s="148">
        <f t="shared" ca="1" si="26"/>
        <v>7940.1748835028438</v>
      </c>
      <c r="AF45" s="148">
        <f t="shared" ca="1" si="27"/>
        <v>992.52186043785548</v>
      </c>
      <c r="AG45" s="148">
        <f t="shared" ca="1" si="28"/>
        <v>1985.043720875711</v>
      </c>
      <c r="AH45" s="148">
        <f t="shared" ca="1" si="29"/>
        <v>200158.57518830086</v>
      </c>
      <c r="AI45" s="148">
        <f t="shared" ca="1" si="30"/>
        <v>546844.0002412427</v>
      </c>
      <c r="AJ45" s="20">
        <f t="shared" ca="1" si="43"/>
        <v>537380.65369223349</v>
      </c>
      <c r="AK45" s="148">
        <f t="shared" ca="1" si="31"/>
        <v>26216.526831655352</v>
      </c>
      <c r="AL45" s="148">
        <f t="shared" ca="1" si="32"/>
        <v>19333.721852253209</v>
      </c>
      <c r="AM45" s="148">
        <f t="shared" ca="1" si="33"/>
        <v>9280.1864890815395</v>
      </c>
      <c r="AN45" s="148">
        <f t="shared" ca="1" si="34"/>
        <v>1160.0233111351924</v>
      </c>
      <c r="AO45" s="148">
        <f t="shared" ca="1" si="35"/>
        <v>2320.0466222703849</v>
      </c>
      <c r="AP45" s="148">
        <f t="shared" ca="1" si="36"/>
        <v>285365.73453925736</v>
      </c>
      <c r="AQ45" s="148">
        <f t="shared" ca="1" si="37"/>
        <v>639131.30090093252</v>
      </c>
      <c r="AR45" s="17">
        <f t="shared" ca="1" si="44"/>
        <v>628048.36033592315</v>
      </c>
      <c r="AS45" s="148">
        <f t="shared" ca="1" si="38"/>
        <v>267238.71184836607</v>
      </c>
      <c r="AT45" s="48" t="str">
        <f>INDEX('stock fisico '!N:N, MATCH(B45, 'stock fisico '!B:B, 0))</f>
        <v>TV-AUDIO-VIDEO</v>
      </c>
      <c r="AU45" s="46" t="str">
        <f>INDEX('stock fisico '!D:D, MATCH(B45, 'stock fisico '!B:B, 0))</f>
        <v>Televisores</v>
      </c>
      <c r="AV45" s="43" t="str">
        <f>INDEX('stock fisico '!L:L, MATCH(B45, 'stock fisico '!B:B, 0))</f>
        <v>PHILIPS</v>
      </c>
    </row>
    <row r="46" spans="1:48" x14ac:dyDescent="0.25">
      <c r="A46" s="48">
        <f>INDEX('stock fisico '!M:M, MATCH(B46, 'stock fisico '!B:B, 0))</f>
        <v>9973</v>
      </c>
      <c r="B46" s="47" t="s">
        <v>1578</v>
      </c>
      <c r="C46" s="46" t="str">
        <f>INDEX('stock fisico '!C:C, MATCH(B46, 'stock fisico '!B:B, 0))</f>
        <v>HELADERA PHILCO 244 LTS CAP NETA BLANCA 94PHCT260B</v>
      </c>
      <c r="D46" s="44">
        <f>INDEX('stock fisico '!I:I, MATCH(B46, 'stock fisico '!B:B, 0))</f>
        <v>319506.01</v>
      </c>
      <c r="E46" s="6">
        <f t="shared" ca="1" si="39"/>
        <v>389641.47560975613</v>
      </c>
      <c r="F46" s="148">
        <f t="shared" ca="1" si="4"/>
        <v>17306.64511867562</v>
      </c>
      <c r="G46" s="148">
        <f t="shared" ca="1" si="5"/>
        <v>10547.944317679381</v>
      </c>
      <c r="H46" s="148">
        <f t="shared" ca="1" si="6"/>
        <v>5063.0132724861032</v>
      </c>
      <c r="I46" s="148">
        <f t="shared" ca="1" si="7"/>
        <v>632.8766590607629</v>
      </c>
      <c r="J46" s="148">
        <f t="shared" ca="1" si="8"/>
        <v>1265.7533181215258</v>
      </c>
      <c r="K46" s="148">
        <f t="shared" ca="1" si="9"/>
        <v>421917.77270717523</v>
      </c>
      <c r="L46" s="32">
        <f t="shared" ca="1" si="40"/>
        <v>413276.88731903938</v>
      </c>
      <c r="M46" s="148">
        <f t="shared" ca="1" si="10"/>
        <v>20941.674511221903</v>
      </c>
      <c r="N46" s="148">
        <f t="shared" ca="1" si="11"/>
        <v>12763.398980485814</v>
      </c>
      <c r="O46" s="148">
        <f t="shared" ca="1" si="12"/>
        <v>6126.4315106331906</v>
      </c>
      <c r="P46" s="148">
        <f t="shared" ca="1" si="13"/>
        <v>765.80393882914882</v>
      </c>
      <c r="Q46" s="148">
        <f t="shared" ca="1" si="14"/>
        <v>1531.6078776582976</v>
      </c>
      <c r="R46" s="148">
        <f t="shared" ca="1" si="15"/>
        <v>81851.677661855516</v>
      </c>
      <c r="S46" s="148">
        <f t="shared" ca="1" si="16"/>
        <v>510535.95921943255</v>
      </c>
      <c r="T46" s="28">
        <f t="shared" ca="1" si="41"/>
        <v>500092.86717112502</v>
      </c>
      <c r="U46" s="148">
        <f t="shared" ca="1" si="17"/>
        <v>24205.188785318664</v>
      </c>
      <c r="V46" s="148">
        <f t="shared" ca="1" si="18"/>
        <v>17850.434207462138</v>
      </c>
      <c r="W46" s="148">
        <f t="shared" ca="1" si="19"/>
        <v>8568.2084195818279</v>
      </c>
      <c r="X46" s="148">
        <f t="shared" ca="1" si="20"/>
        <v>1071.0260524477285</v>
      </c>
      <c r="Y46" s="148">
        <f t="shared" ca="1" si="21"/>
        <v>2142.052104895457</v>
      </c>
      <c r="Z46" s="148">
        <f t="shared" ca="1" si="22"/>
        <v>155298.77760492061</v>
      </c>
      <c r="AA46" s="148">
        <f t="shared" ca="1" si="23"/>
        <v>590096.99859378976</v>
      </c>
      <c r="AB46" s="24">
        <f t="shared" ca="1" si="42"/>
        <v>579855.70252447273</v>
      </c>
      <c r="AC46" s="148">
        <f t="shared" ca="1" si="24"/>
        <v>28668.495224820541</v>
      </c>
      <c r="AD46" s="148">
        <f t="shared" ca="1" si="25"/>
        <v>21141.958130398631</v>
      </c>
      <c r="AE46" s="148">
        <f t="shared" ca="1" si="26"/>
        <v>10148.139902591342</v>
      </c>
      <c r="AF46" s="148">
        <f t="shared" ca="1" si="27"/>
        <v>1268.5174878239177</v>
      </c>
      <c r="AG46" s="148">
        <f t="shared" ca="1" si="28"/>
        <v>2537.0349756478354</v>
      </c>
      <c r="AH46" s="148">
        <f t="shared" ca="1" si="29"/>
        <v>255817.69337782339</v>
      </c>
      <c r="AI46" s="148">
        <f t="shared" ca="1" si="30"/>
        <v>698907.70679003734</v>
      </c>
      <c r="AJ46" s="20">
        <f t="shared" ca="1" si="43"/>
        <v>686812.83909063926</v>
      </c>
      <c r="AK46" s="148">
        <f t="shared" ca="1" si="31"/>
        <v>33506.690463511499</v>
      </c>
      <c r="AL46" s="148">
        <f t="shared" ca="1" si="32"/>
        <v>24709.948719403757</v>
      </c>
      <c r="AM46" s="148">
        <f t="shared" ca="1" si="33"/>
        <v>11860.775385313806</v>
      </c>
      <c r="AN46" s="148">
        <f t="shared" ca="1" si="34"/>
        <v>1482.5969231642257</v>
      </c>
      <c r="AO46" s="148">
        <f t="shared" ca="1" si="35"/>
        <v>2965.1938463284514</v>
      </c>
      <c r="AP46" s="148">
        <f t="shared" ca="1" si="36"/>
        <v>364718.84309839952</v>
      </c>
      <c r="AQ46" s="148">
        <f t="shared" ca="1" si="37"/>
        <v>816857.80890590942</v>
      </c>
      <c r="AR46" s="17">
        <f t="shared" ca="1" si="44"/>
        <v>802692.97840330936</v>
      </c>
      <c r="AS46" s="148">
        <f t="shared" ca="1" si="38"/>
        <v>341551.14654466067</v>
      </c>
      <c r="AT46" s="48" t="str">
        <f>INDEX('stock fisico '!N:N, MATCH(B46, 'stock fisico '!B:B, 0))</f>
        <v>ELECTRODOMESTICOS Y AIRES ACOND</v>
      </c>
      <c r="AU46" s="46" t="str">
        <f>INDEX('stock fisico '!D:D, MATCH(B46, 'stock fisico '!B:B, 0))</f>
        <v>Heladeras</v>
      </c>
      <c r="AV46" s="43" t="str">
        <f>INDEX('stock fisico '!L:L, MATCH(B46, 'stock fisico '!B:B, 0))</f>
        <v>Philco</v>
      </c>
    </row>
    <row r="47" spans="1:48" x14ac:dyDescent="0.25">
      <c r="A47" s="48">
        <f>INDEX('stock fisico '!M:M, MATCH(B47, 'stock fisico '!B:B, 0))</f>
        <v>9983</v>
      </c>
      <c r="B47" s="47" t="s">
        <v>1641</v>
      </c>
      <c r="C47" s="46" t="str">
        <f>INDEX('stock fisico '!C:C, MATCH(B47, 'stock fisico '!B:B, 0))</f>
        <v>TV LED 32" BGH B3225H5 VIDA A PNE040288 EAN7796885402888</v>
      </c>
      <c r="D47" s="44">
        <f>INDEX('stock fisico '!I:I, MATCH(B47, 'stock fisico '!B:B, 0))</f>
        <v>164800</v>
      </c>
      <c r="E47" s="6">
        <f t="shared" ca="1" si="39"/>
        <v>200975.60975609758</v>
      </c>
      <c r="F47" s="148">
        <f t="shared" ca="1" si="4"/>
        <v>8926.7025542265765</v>
      </c>
      <c r="G47" s="148">
        <f t="shared" ca="1" si="5"/>
        <v>5440.5900644985113</v>
      </c>
      <c r="H47" s="148">
        <f t="shared" ca="1" si="6"/>
        <v>2611.4832309592853</v>
      </c>
      <c r="I47" s="148">
        <f t="shared" ca="1" si="7"/>
        <v>326.43540386991066</v>
      </c>
      <c r="J47" s="148">
        <f t="shared" ca="1" si="8"/>
        <v>652.87080773982132</v>
      </c>
      <c r="K47" s="148">
        <f t="shared" ca="1" si="9"/>
        <v>217623.60257994043</v>
      </c>
      <c r="L47" s="32">
        <f t="shared" ca="1" si="40"/>
        <v>213166.66634902326</v>
      </c>
      <c r="M47" s="148">
        <f t="shared" ca="1" si="10"/>
        <v>10801.637062944041</v>
      </c>
      <c r="N47" s="148">
        <f t="shared" ca="1" si="11"/>
        <v>6583.3132590653368</v>
      </c>
      <c r="O47" s="148">
        <f t="shared" ca="1" si="12"/>
        <v>3159.9903643513612</v>
      </c>
      <c r="P47" s="148">
        <f t="shared" ca="1" si="13"/>
        <v>394.99879554392015</v>
      </c>
      <c r="Q47" s="148">
        <f t="shared" ca="1" si="14"/>
        <v>789.99759108784031</v>
      </c>
      <c r="R47" s="148">
        <f t="shared" ca="1" si="15"/>
        <v>42218.787930385995</v>
      </c>
      <c r="S47" s="148">
        <f t="shared" ca="1" si="16"/>
        <v>263332.53036261344</v>
      </c>
      <c r="T47" s="28">
        <f t="shared" ca="1" si="41"/>
        <v>257946.02270486683</v>
      </c>
      <c r="U47" s="148">
        <f t="shared" ca="1" si="17"/>
        <v>12484.945468852105</v>
      </c>
      <c r="V47" s="148">
        <f t="shared" ca="1" si="18"/>
        <v>9207.1869239322314</v>
      </c>
      <c r="W47" s="148">
        <f t="shared" ca="1" si="19"/>
        <v>4419.4497234874716</v>
      </c>
      <c r="X47" s="148">
        <f t="shared" ca="1" si="20"/>
        <v>552.43121543593395</v>
      </c>
      <c r="Y47" s="148">
        <f t="shared" ca="1" si="21"/>
        <v>1104.8624308718679</v>
      </c>
      <c r="Z47" s="148">
        <f t="shared" ca="1" si="22"/>
        <v>80102.526238210412</v>
      </c>
      <c r="AA47" s="148">
        <f t="shared" ca="1" si="23"/>
        <v>304369.81566718122</v>
      </c>
      <c r="AB47" s="24">
        <f t="shared" ca="1" si="42"/>
        <v>299087.39361751941</v>
      </c>
      <c r="AC47" s="148">
        <f t="shared" ca="1" si="24"/>
        <v>14787.102167656958</v>
      </c>
      <c r="AD47" s="148">
        <f t="shared" ca="1" si="25"/>
        <v>10904.94260151693</v>
      </c>
      <c r="AE47" s="148">
        <f t="shared" ca="1" si="26"/>
        <v>5234.372448728127</v>
      </c>
      <c r="AF47" s="148">
        <f t="shared" ca="1" si="27"/>
        <v>654.29655609101587</v>
      </c>
      <c r="AG47" s="148">
        <f t="shared" ca="1" si="28"/>
        <v>1308.5931121820317</v>
      </c>
      <c r="AH47" s="148">
        <f t="shared" ca="1" si="29"/>
        <v>131949.80547835486</v>
      </c>
      <c r="AI47" s="148">
        <f t="shared" ca="1" si="30"/>
        <v>360493.97029808036</v>
      </c>
      <c r="AJ47" s="20">
        <f t="shared" ca="1" si="43"/>
        <v>354255.48296301952</v>
      </c>
      <c r="AK47" s="148">
        <f t="shared" ca="1" si="31"/>
        <v>17282.62510112625</v>
      </c>
      <c r="AL47" s="148">
        <f t="shared" ca="1" si="32"/>
        <v>12745.298747143253</v>
      </c>
      <c r="AM47" s="148">
        <f t="shared" ca="1" si="33"/>
        <v>6117.7433986287615</v>
      </c>
      <c r="AN47" s="148">
        <f t="shared" ca="1" si="34"/>
        <v>764.71792482859519</v>
      </c>
      <c r="AO47" s="148">
        <f t="shared" ca="1" si="35"/>
        <v>1529.4358496571904</v>
      </c>
      <c r="AP47" s="148">
        <f t="shared" ca="1" si="36"/>
        <v>188120.60950783442</v>
      </c>
      <c r="AQ47" s="148">
        <f t="shared" ca="1" si="37"/>
        <v>421332.18998820672</v>
      </c>
      <c r="AR47" s="17">
        <f t="shared" ca="1" si="44"/>
        <v>414026.02361334418</v>
      </c>
      <c r="AS47" s="148">
        <f t="shared" ca="1" si="38"/>
        <v>176170.79863555642</v>
      </c>
      <c r="AT47" s="48" t="str">
        <f>INDEX('stock fisico '!N:N, MATCH(B47, 'stock fisico '!B:B, 0))</f>
        <v>TV-AUDIO-VIDEO</v>
      </c>
      <c r="AU47" s="46" t="str">
        <f>INDEX('stock fisico '!D:D, MATCH(B47, 'stock fisico '!B:B, 0))</f>
        <v>Televisores</v>
      </c>
      <c r="AV47" s="43" t="str">
        <f>INDEX('stock fisico '!L:L, MATCH(B47, 'stock fisico '!B:B, 0))</f>
        <v>Bgh</v>
      </c>
    </row>
    <row r="48" spans="1:48" x14ac:dyDescent="0.25">
      <c r="A48" s="48">
        <f>INDEX('stock fisico '!M:M, MATCH(B48, 'stock fisico '!B:B, 0))</f>
        <v>9854</v>
      </c>
      <c r="B48" s="47" t="s">
        <v>1202</v>
      </c>
      <c r="C48" s="46" t="str">
        <f>INDEX('stock fisico '!C:C, MATCH(B48, 'stock fisico '!B:B, 0))</f>
        <v>MINI CONSOLA NETMAK NM-M8 4K HDMI TV 20000 JUEGOS 2 JOY EAN 0700306605038</v>
      </c>
      <c r="D48" s="44">
        <f>INDEX('stock fisico '!I:I, MATCH(B48, 'stock fisico '!B:B, 0))</f>
        <v>30040.89</v>
      </c>
      <c r="E48" s="6">
        <f t="shared" ca="1" si="39"/>
        <v>36635.231707317071</v>
      </c>
      <c r="F48" s="148">
        <f t="shared" ca="1" si="4"/>
        <v>1627.2214168339781</v>
      </c>
      <c r="G48" s="148">
        <f t="shared" ca="1" si="5"/>
        <v>991.74859018624181</v>
      </c>
      <c r="H48" s="148">
        <f t="shared" ca="1" si="6"/>
        <v>476.03932328939607</v>
      </c>
      <c r="I48" s="148">
        <f t="shared" ca="1" si="7"/>
        <v>59.504915411174508</v>
      </c>
      <c r="J48" s="148">
        <f t="shared" ca="1" si="8"/>
        <v>119.00983082234902</v>
      </c>
      <c r="K48" s="148">
        <f t="shared" ca="1" si="9"/>
        <v>39669.94360744967</v>
      </c>
      <c r="L48" s="32">
        <f t="shared" ca="1" si="40"/>
        <v>38857.502278262793</v>
      </c>
      <c r="M48" s="148">
        <f t="shared" ca="1" si="10"/>
        <v>1968.9975171591323</v>
      </c>
      <c r="N48" s="148">
        <f t="shared" ca="1" si="11"/>
        <v>1200.0521204558452</v>
      </c>
      <c r="O48" s="148">
        <f t="shared" ca="1" si="12"/>
        <v>576.02501781880562</v>
      </c>
      <c r="P48" s="148">
        <f t="shared" ca="1" si="13"/>
        <v>72.003127227350703</v>
      </c>
      <c r="Q48" s="148">
        <f t="shared" ca="1" si="14"/>
        <v>144.00625445470141</v>
      </c>
      <c r="R48" s="148">
        <f t="shared" ca="1" si="15"/>
        <v>7695.9342484833342</v>
      </c>
      <c r="S48" s="148">
        <f t="shared" ca="1" si="16"/>
        <v>48002.084818233801</v>
      </c>
      <c r="T48" s="28">
        <f t="shared" ca="1" si="41"/>
        <v>47020.194745233042</v>
      </c>
      <c r="U48" s="148">
        <f t="shared" ca="1" si="17"/>
        <v>2275.8426789185951</v>
      </c>
      <c r="V48" s="148">
        <f t="shared" ca="1" si="18"/>
        <v>1678.3500581995538</v>
      </c>
      <c r="W48" s="148">
        <f t="shared" ca="1" si="19"/>
        <v>805.6080279357858</v>
      </c>
      <c r="X48" s="148">
        <f t="shared" ca="1" si="20"/>
        <v>100.70100349197322</v>
      </c>
      <c r="Y48" s="148">
        <f t="shared" ca="1" si="21"/>
        <v>201.40200698394645</v>
      </c>
      <c r="Z48" s="148">
        <f t="shared" ca="1" si="22"/>
        <v>14601.645506336117</v>
      </c>
      <c r="AA48" s="148">
        <f t="shared" ca="1" si="23"/>
        <v>55482.646552051367</v>
      </c>
      <c r="AB48" s="24">
        <f t="shared" ca="1" si="42"/>
        <v>54519.729927491513</v>
      </c>
      <c r="AC48" s="148">
        <f t="shared" ca="1" si="24"/>
        <v>2695.4958109062145</v>
      </c>
      <c r="AD48" s="148">
        <f t="shared" ca="1" si="25"/>
        <v>1987.8287691048777</v>
      </c>
      <c r="AE48" s="148">
        <f t="shared" ca="1" si="26"/>
        <v>954.15780917034135</v>
      </c>
      <c r="AF48" s="148">
        <f t="shared" ca="1" si="27"/>
        <v>119.26972614629267</v>
      </c>
      <c r="AG48" s="148">
        <f t="shared" ca="1" si="28"/>
        <v>238.53945229258534</v>
      </c>
      <c r="AH48" s="148">
        <f t="shared" ca="1" si="29"/>
        <v>24052.728106169019</v>
      </c>
      <c r="AI48" s="148">
        <f t="shared" ca="1" si="30"/>
        <v>65713.347739004224</v>
      </c>
      <c r="AJ48" s="20">
        <f t="shared" ca="1" si="43"/>
        <v>64576.152885855234</v>
      </c>
      <c r="AK48" s="148">
        <f t="shared" ca="1" si="31"/>
        <v>3150.3970847947357</v>
      </c>
      <c r="AL48" s="148">
        <f t="shared" ca="1" si="32"/>
        <v>2323.3016849518699</v>
      </c>
      <c r="AM48" s="148">
        <f t="shared" ca="1" si="33"/>
        <v>1115.1848087768976</v>
      </c>
      <c r="AN48" s="148">
        <f t="shared" ca="1" si="34"/>
        <v>139.3981010971122</v>
      </c>
      <c r="AO48" s="148">
        <f t="shared" ca="1" si="35"/>
        <v>278.79620219422441</v>
      </c>
      <c r="AP48" s="148">
        <f t="shared" ca="1" si="36"/>
        <v>34291.932869889599</v>
      </c>
      <c r="AQ48" s="148">
        <f t="shared" ca="1" si="37"/>
        <v>76803.361486012232</v>
      </c>
      <c r="AR48" s="17">
        <f t="shared" ca="1" si="44"/>
        <v>75471.54267297253</v>
      </c>
      <c r="AS48" s="148">
        <f t="shared" ca="1" si="38"/>
        <v>32113.638246498176</v>
      </c>
      <c r="AT48" s="48" t="str">
        <f>INDEX('stock fisico '!N:N, MATCH(B48, 'stock fisico '!B:B, 0))</f>
        <v>TECNOLOGIA Y CELULARES</v>
      </c>
      <c r="AU48" s="46" t="str">
        <f>INDEX('stock fisico '!D:D, MATCH(B48, 'stock fisico '!B:B, 0))</f>
        <v>Consolas de videojuegos</v>
      </c>
      <c r="AV48" s="43" t="str">
        <f>INDEX('stock fisico '!L:L, MATCH(B48, 'stock fisico '!B:B, 0))</f>
        <v>Netmak</v>
      </c>
    </row>
    <row r="49" spans="1:48" x14ac:dyDescent="0.25">
      <c r="A49" s="48">
        <f>INDEX('stock fisico '!M:M, MATCH(B49, 'stock fisico '!B:B, 0))</f>
        <v>9960</v>
      </c>
      <c r="B49" s="47" t="s">
        <v>1509</v>
      </c>
      <c r="C49" s="46" t="str">
        <f>INDEX('stock fisico '!C:C, MATCH(B49, 'stock fisico '!B:B, 0))</f>
        <v>FREIDORA DE AIRE AIWA AW-FA20N 2L 900W NEGRA EAN</v>
      </c>
      <c r="D49" s="44">
        <f>INDEX('stock fisico '!I:I, MATCH(B49, 'stock fisico '!B:B, 0))</f>
        <v>28832</v>
      </c>
      <c r="E49" s="6">
        <f t="shared" ca="1" si="39"/>
        <v>35160.975609756097</v>
      </c>
      <c r="F49" s="148">
        <f t="shared" ca="1" si="4"/>
        <v>1561.7396119142029</v>
      </c>
      <c r="G49" s="148">
        <f t="shared" ca="1" si="5"/>
        <v>951.83915497342878</v>
      </c>
      <c r="H49" s="148">
        <f t="shared" ca="1" si="6"/>
        <v>456.88279438724584</v>
      </c>
      <c r="I49" s="148">
        <f t="shared" ca="1" si="7"/>
        <v>57.11034929840573</v>
      </c>
      <c r="J49" s="148">
        <f t="shared" ca="1" si="8"/>
        <v>114.22069859681146</v>
      </c>
      <c r="K49" s="148">
        <f t="shared" ca="1" si="9"/>
        <v>38073.566198937151</v>
      </c>
      <c r="L49" s="32">
        <f t="shared" ca="1" si="40"/>
        <v>37293.818714654357</v>
      </c>
      <c r="M49" s="148">
        <f t="shared" ca="1" si="10"/>
        <v>1889.762134701472</v>
      </c>
      <c r="N49" s="148">
        <f t="shared" ca="1" si="11"/>
        <v>1151.760242022887</v>
      </c>
      <c r="O49" s="148">
        <f t="shared" ca="1" si="12"/>
        <v>552.84491617098581</v>
      </c>
      <c r="P49" s="148">
        <f t="shared" ca="1" si="13"/>
        <v>69.105614521373226</v>
      </c>
      <c r="Q49" s="148">
        <f t="shared" ca="1" si="14"/>
        <v>138.21122904274645</v>
      </c>
      <c r="R49" s="148">
        <f t="shared" ca="1" si="15"/>
        <v>7386.238432092774</v>
      </c>
      <c r="S49" s="148">
        <f t="shared" ca="1" si="16"/>
        <v>46070.40968091548</v>
      </c>
      <c r="T49" s="28">
        <f t="shared" ca="1" si="41"/>
        <v>45128.032321764076</v>
      </c>
      <c r="U49" s="148">
        <f t="shared" ca="1" si="17"/>
        <v>2184.2593917350964</v>
      </c>
      <c r="V49" s="148">
        <f t="shared" ca="1" si="18"/>
        <v>1610.81076086659</v>
      </c>
      <c r="W49" s="148">
        <f t="shared" ca="1" si="19"/>
        <v>773.18916521596327</v>
      </c>
      <c r="X49" s="148">
        <f t="shared" ca="1" si="20"/>
        <v>96.648645651995409</v>
      </c>
      <c r="Y49" s="148">
        <f t="shared" ca="1" si="21"/>
        <v>193.29729130399082</v>
      </c>
      <c r="Z49" s="148">
        <f t="shared" ca="1" si="22"/>
        <v>14014.053619539334</v>
      </c>
      <c r="AA49" s="148">
        <f t="shared" ca="1" si="23"/>
        <v>53249.942507986452</v>
      </c>
      <c r="AB49" s="24">
        <f t="shared" ca="1" si="42"/>
        <v>52325.775077550483</v>
      </c>
      <c r="AC49" s="148">
        <f t="shared" ca="1" si="24"/>
        <v>2587.0250588463919</v>
      </c>
      <c r="AD49" s="148">
        <f t="shared" ca="1" si="25"/>
        <v>1907.835589119758</v>
      </c>
      <c r="AE49" s="148">
        <f t="shared" ca="1" si="26"/>
        <v>915.76108277748381</v>
      </c>
      <c r="AF49" s="148">
        <f t="shared" ca="1" si="27"/>
        <v>114.47013534718548</v>
      </c>
      <c r="AG49" s="148">
        <f t="shared" ca="1" si="28"/>
        <v>228.94027069437095</v>
      </c>
      <c r="AH49" s="148">
        <f t="shared" ca="1" si="29"/>
        <v>23084.810628349071</v>
      </c>
      <c r="AI49" s="148">
        <f t="shared" ca="1" si="30"/>
        <v>63068.945094868031</v>
      </c>
      <c r="AJ49" s="20">
        <f t="shared" ca="1" si="43"/>
        <v>61977.512650423414</v>
      </c>
      <c r="AK49" s="148">
        <f t="shared" ca="1" si="31"/>
        <v>3023.6204303135432</v>
      </c>
      <c r="AL49" s="148">
        <f t="shared" ca="1" si="32"/>
        <v>2229.8085769273916</v>
      </c>
      <c r="AM49" s="148">
        <f t="shared" ca="1" si="33"/>
        <v>1070.3081169251482</v>
      </c>
      <c r="AN49" s="148">
        <f t="shared" ca="1" si="34"/>
        <v>133.78851461564352</v>
      </c>
      <c r="AO49" s="148">
        <f t="shared" ca="1" si="35"/>
        <v>267.57702923128704</v>
      </c>
      <c r="AP49" s="148">
        <f t="shared" ca="1" si="36"/>
        <v>32911.974595448308</v>
      </c>
      <c r="AQ49" s="148">
        <f t="shared" ca="1" si="37"/>
        <v>73712.680229004691</v>
      </c>
      <c r="AR49" s="17">
        <f t="shared" ca="1" si="44"/>
        <v>72434.455781674391</v>
      </c>
      <c r="AS49" s="148">
        <f t="shared" ca="1" si="38"/>
        <v>30821.337780706082</v>
      </c>
      <c r="AT49" s="48" t="str">
        <f>INDEX('stock fisico '!N:N, MATCH(B49, 'stock fisico '!B:B, 0))</f>
        <v>ELECTRODOMESTICOS Y AIRES ACOND</v>
      </c>
      <c r="AU49" s="46" t="str">
        <f>INDEX('stock fisico '!D:D, MATCH(B49, 'stock fisico '!B:B, 0))</f>
        <v xml:space="preserve">Pequeños Electrodomesticos </v>
      </c>
      <c r="AV49" s="43" t="str">
        <f>INDEX('stock fisico '!L:L, MATCH(B49, 'stock fisico '!B:B, 0))</f>
        <v>AIWA</v>
      </c>
    </row>
    <row r="50" spans="1:48" x14ac:dyDescent="0.25">
      <c r="A50" s="48">
        <f>INDEX('stock fisico '!M:M, MATCH(B50, 'stock fisico '!B:B, 0))</f>
        <v>9979</v>
      </c>
      <c r="B50" s="47" t="s">
        <v>1630</v>
      </c>
      <c r="C50" s="46" t="str">
        <f>INDEX('stock fisico '!C:C, MATCH(B50, 'stock fisico '!B:B, 0))</f>
        <v>LAVARROPAS PHILCO BLANCO CARGA FRONTAL 6.5KG – MODELO 94PHLF6510B2</v>
      </c>
      <c r="D50" s="44">
        <f>INDEX('stock fisico '!I:I, MATCH(B50, 'stock fisico '!B:B, 0))</f>
        <v>339990</v>
      </c>
      <c r="E50" s="6">
        <f t="shared" ca="1" si="39"/>
        <v>414621.95121951221</v>
      </c>
      <c r="F50" s="148">
        <f t="shared" ca="1" si="4"/>
        <v>18416.199037691102</v>
      </c>
      <c r="G50" s="148">
        <f t="shared" ca="1" si="5"/>
        <v>11224.188204058548</v>
      </c>
      <c r="H50" s="148">
        <f t="shared" ca="1" si="6"/>
        <v>5387.6103379481028</v>
      </c>
      <c r="I50" s="148">
        <f t="shared" ca="1" si="7"/>
        <v>673.45129224351285</v>
      </c>
      <c r="J50" s="148">
        <f t="shared" ca="1" si="8"/>
        <v>1346.9025844870257</v>
      </c>
      <c r="K50" s="148">
        <f t="shared" ca="1" si="9"/>
        <v>448967.52816234191</v>
      </c>
      <c r="L50" s="32">
        <f t="shared" ca="1" si="40"/>
        <v>439772.66317963845</v>
      </c>
      <c r="M50" s="148">
        <f t="shared" ca="1" si="10"/>
        <v>22284.275394601606</v>
      </c>
      <c r="N50" s="148">
        <f t="shared" ca="1" si="11"/>
        <v>13581.678852849658</v>
      </c>
      <c r="O50" s="148">
        <f t="shared" ca="1" si="12"/>
        <v>6519.205849367836</v>
      </c>
      <c r="P50" s="148">
        <f t="shared" ca="1" si="13"/>
        <v>814.9007311709795</v>
      </c>
      <c r="Q50" s="148">
        <f t="shared" ca="1" si="14"/>
        <v>1629.801462341959</v>
      </c>
      <c r="R50" s="148">
        <f t="shared" ca="1" si="15"/>
        <v>87099.30648332485</v>
      </c>
      <c r="S50" s="148">
        <f t="shared" ca="1" si="16"/>
        <v>543267.1541139863</v>
      </c>
      <c r="T50" s="28">
        <f t="shared" ca="1" si="41"/>
        <v>532154.54040914844</v>
      </c>
      <c r="U50" s="148">
        <f t="shared" ca="1" si="17"/>
        <v>25757.018264290211</v>
      </c>
      <c r="V50" s="148">
        <f t="shared" ca="1" si="18"/>
        <v>18994.851227352661</v>
      </c>
      <c r="W50" s="148">
        <f t="shared" ca="1" si="19"/>
        <v>9117.5285891292788</v>
      </c>
      <c r="X50" s="148">
        <f t="shared" ca="1" si="20"/>
        <v>1139.6910736411598</v>
      </c>
      <c r="Y50" s="148">
        <f t="shared" ca="1" si="21"/>
        <v>2279.3821472823197</v>
      </c>
      <c r="Z50" s="148">
        <f t="shared" ca="1" si="22"/>
        <v>165255.20567796816</v>
      </c>
      <c r="AA50" s="148">
        <f t="shared" ca="1" si="23"/>
        <v>627928.96619347646</v>
      </c>
      <c r="AB50" s="24">
        <f t="shared" ca="1" si="42"/>
        <v>617031.08589818212</v>
      </c>
      <c r="AC50" s="148">
        <f t="shared" ca="1" si="24"/>
        <v>30506.4737013452</v>
      </c>
      <c r="AD50" s="148">
        <f t="shared" ca="1" si="25"/>
        <v>22497.399484767848</v>
      </c>
      <c r="AE50" s="148">
        <f t="shared" ca="1" si="26"/>
        <v>10798.751752688566</v>
      </c>
      <c r="AF50" s="148">
        <f t="shared" ca="1" si="27"/>
        <v>1349.8439690860707</v>
      </c>
      <c r="AG50" s="148">
        <f t="shared" ca="1" si="28"/>
        <v>2699.6879381721415</v>
      </c>
      <c r="AH50" s="148">
        <f t="shared" ca="1" si="29"/>
        <v>272218.53376569093</v>
      </c>
      <c r="AI50" s="148">
        <f t="shared" ca="1" si="30"/>
        <v>743715.68544687098</v>
      </c>
      <c r="AJ50" s="20">
        <f t="shared" ca="1" si="43"/>
        <v>730845.39837740897</v>
      </c>
      <c r="AK50" s="148">
        <f t="shared" ca="1" si="31"/>
        <v>35654.852597887824</v>
      </c>
      <c r="AL50" s="148">
        <f t="shared" ca="1" si="32"/>
        <v>26294.13908398807</v>
      </c>
      <c r="AM50" s="148">
        <f t="shared" ca="1" si="33"/>
        <v>12621.186760314275</v>
      </c>
      <c r="AN50" s="148">
        <f t="shared" ca="1" si="34"/>
        <v>1577.6483450392843</v>
      </c>
      <c r="AO50" s="148">
        <f t="shared" ca="1" si="35"/>
        <v>3155.2966900785686</v>
      </c>
      <c r="AP50" s="148">
        <f t="shared" ca="1" si="36"/>
        <v>388101.49287966394</v>
      </c>
      <c r="AQ50" s="148">
        <f t="shared" ca="1" si="37"/>
        <v>869227.73831365525</v>
      </c>
      <c r="AR50" s="17">
        <f t="shared" ca="1" si="44"/>
        <v>854154.7801474568</v>
      </c>
      <c r="AS50" s="148">
        <f t="shared" ca="1" si="38"/>
        <v>363448.48196664336</v>
      </c>
      <c r="AT50" s="48" t="str">
        <f>INDEX('stock fisico '!N:N, MATCH(B50, 'stock fisico '!B:B, 0))</f>
        <v>ELECTRODOMESTICOS Y AIRES ACOND</v>
      </c>
      <c r="AU50" s="46" t="str">
        <f>INDEX('stock fisico '!D:D, MATCH(B50, 'stock fisico '!B:B, 0))</f>
        <v>Lavarropas</v>
      </c>
      <c r="AV50" s="43" t="str">
        <f>INDEX('stock fisico '!L:L, MATCH(B50, 'stock fisico '!B:B, 0))</f>
        <v>Philco</v>
      </c>
    </row>
    <row r="51" spans="1:48" x14ac:dyDescent="0.25">
      <c r="A51" s="48">
        <f>INDEX('stock fisico '!M:M, MATCH(B51, 'stock fisico '!B:B, 0))</f>
        <v>9303</v>
      </c>
      <c r="B51" s="47" t="s">
        <v>60</v>
      </c>
      <c r="C51" s="46" t="str">
        <f>INDEX('stock fisico '!C:C, MATCH(B51, 'stock fisico '!B:B, 0))</f>
        <v>HELADERA WRE85AB BLANCA INVERTER 588 LITROS WHIRLPOOL  EAN: 7891129557703</v>
      </c>
      <c r="D51" s="44">
        <f>INDEX('stock fisico '!I:I, MATCH(B51, 'stock fisico '!B:B, 0))</f>
        <v>1716709</v>
      </c>
      <c r="E51" s="6">
        <f t="shared" ca="1" si="39"/>
        <v>2093547.5609756098</v>
      </c>
      <c r="F51" s="148">
        <f t="shared" ca="1" si="4"/>
        <v>92988.778004634412</v>
      </c>
      <c r="G51" s="148">
        <f t="shared" ca="1" si="5"/>
        <v>56674.210734436732</v>
      </c>
      <c r="H51" s="148">
        <f t="shared" ca="1" si="6"/>
        <v>27203.621152529631</v>
      </c>
      <c r="I51" s="148">
        <f t="shared" ca="1" si="7"/>
        <v>3400.4526440662039</v>
      </c>
      <c r="J51" s="148">
        <f t="shared" ca="1" si="8"/>
        <v>6800.9052881324078</v>
      </c>
      <c r="K51" s="148">
        <f t="shared" ca="1" si="9"/>
        <v>2266968.4293774692</v>
      </c>
      <c r="L51" s="32">
        <f t="shared" ca="1" si="40"/>
        <v>2220540.8654209063</v>
      </c>
      <c r="M51" s="148">
        <f t="shared" ca="1" si="10"/>
        <v>112519.82743136895</v>
      </c>
      <c r="N51" s="148">
        <f t="shared" ca="1" si="11"/>
        <v>68577.870883839772</v>
      </c>
      <c r="O51" s="148">
        <f t="shared" ca="1" si="12"/>
        <v>32917.378024243095</v>
      </c>
      <c r="P51" s="148">
        <f t="shared" ca="1" si="13"/>
        <v>4114.6722530303869</v>
      </c>
      <c r="Q51" s="148">
        <f t="shared" ca="1" si="14"/>
        <v>8229.3445060607737</v>
      </c>
      <c r="R51" s="148">
        <f t="shared" ca="1" si="15"/>
        <v>439789.88597806444</v>
      </c>
      <c r="S51" s="148">
        <f t="shared" ca="1" si="16"/>
        <v>2743114.835353591</v>
      </c>
      <c r="T51" s="28">
        <f t="shared" ca="1" si="41"/>
        <v>2687003.9969153469</v>
      </c>
      <c r="U51" s="148">
        <f t="shared" ca="1" si="17"/>
        <v>130054.72239616279</v>
      </c>
      <c r="V51" s="148">
        <f t="shared" ca="1" si="18"/>
        <v>95910.562239058112</v>
      </c>
      <c r="W51" s="148">
        <f t="shared" ca="1" si="19"/>
        <v>46037.069874747889</v>
      </c>
      <c r="X51" s="148">
        <f t="shared" ca="1" si="20"/>
        <v>5754.6337343434861</v>
      </c>
      <c r="Y51" s="148">
        <f t="shared" ca="1" si="21"/>
        <v>11509.267468686972</v>
      </c>
      <c r="Z51" s="148">
        <f t="shared" ca="1" si="22"/>
        <v>834421.89147980558</v>
      </c>
      <c r="AA51" s="148">
        <f t="shared" ca="1" si="23"/>
        <v>3170597.0988118383</v>
      </c>
      <c r="AB51" s="24">
        <f t="shared" ca="1" si="42"/>
        <v>3115570.512195013</v>
      </c>
      <c r="AC51" s="148">
        <f t="shared" ca="1" si="24"/>
        <v>154036.11271320513</v>
      </c>
      <c r="AD51" s="148">
        <f t="shared" ca="1" si="25"/>
        <v>113595.95332832237</v>
      </c>
      <c r="AE51" s="148">
        <f t="shared" ca="1" si="26"/>
        <v>54526.057597594736</v>
      </c>
      <c r="AF51" s="148">
        <f t="shared" ca="1" si="27"/>
        <v>6815.757199699342</v>
      </c>
      <c r="AG51" s="148">
        <f t="shared" ca="1" si="28"/>
        <v>13631.514399398684</v>
      </c>
      <c r="AH51" s="148">
        <f t="shared" ca="1" si="29"/>
        <v>1374511.0352727007</v>
      </c>
      <c r="AI51" s="148">
        <f t="shared" ca="1" si="30"/>
        <v>3755238.1265561115</v>
      </c>
      <c r="AJ51" s="20">
        <f t="shared" ca="1" si="43"/>
        <v>3690252.2809585091</v>
      </c>
      <c r="AK51" s="148">
        <f t="shared" ca="1" si="31"/>
        <v>180031.78431267804</v>
      </c>
      <c r="AL51" s="148">
        <f t="shared" ca="1" si="32"/>
        <v>132766.80259047053</v>
      </c>
      <c r="AM51" s="148">
        <f t="shared" ca="1" si="33"/>
        <v>63728.065243425859</v>
      </c>
      <c r="AN51" s="148">
        <f t="shared" ca="1" si="34"/>
        <v>7966.0081554282324</v>
      </c>
      <c r="AO51" s="148">
        <f t="shared" ca="1" si="35"/>
        <v>15932.016310856465</v>
      </c>
      <c r="AP51" s="148">
        <f t="shared" ca="1" si="36"/>
        <v>1959638.006235345</v>
      </c>
      <c r="AQ51" s="148">
        <f t="shared" ca="1" si="37"/>
        <v>4388985.2096023317</v>
      </c>
      <c r="AR51" s="17">
        <f t="shared" ca="1" si="44"/>
        <v>4312877.4330779146</v>
      </c>
      <c r="AS51" s="148">
        <f t="shared" ca="1" si="38"/>
        <v>1835157.7400172781</v>
      </c>
      <c r="AT51" s="48" t="str">
        <f>INDEX('stock fisico '!N:N, MATCH(B51, 'stock fisico '!B:B, 0))</f>
        <v>ELECTRODOMESTICOS Y AIRES ACOND</v>
      </c>
      <c r="AU51" s="46" t="str">
        <f>INDEX('stock fisico '!D:D, MATCH(B51, 'stock fisico '!B:B, 0))</f>
        <v>Heladeras</v>
      </c>
      <c r="AV51" s="43" t="str">
        <f>INDEX('stock fisico '!L:L, MATCH(B51, 'stock fisico '!B:B, 0))</f>
        <v>Whirlpool</v>
      </c>
    </row>
    <row r="52" spans="1:48" x14ac:dyDescent="0.25">
      <c r="A52" s="48">
        <f>INDEX('stock fisico '!M:M, MATCH(B52, 'stock fisico '!B:B, 0))</f>
        <v>9954</v>
      </c>
      <c r="B52" s="47" t="s">
        <v>1501</v>
      </c>
      <c r="C52" s="46" t="str">
        <f>INDEX('stock fisico '!C:C, MATCH(B52, 'stock fisico '!B:B, 0))</f>
        <v>PROYECTOR LED 4000LM AIWA FULL HD BLANCO AW-PRY300B EAN</v>
      </c>
      <c r="D52" s="44">
        <f>INDEX('stock fisico '!I:I, MATCH(B52, 'stock fisico '!B:B, 0))</f>
        <v>171090.84</v>
      </c>
      <c r="E52" s="6">
        <f t="shared" ca="1" si="39"/>
        <v>208647.36585365853</v>
      </c>
      <c r="F52" s="148">
        <f t="shared" ca="1" si="4"/>
        <v>9267.4577574804025</v>
      </c>
      <c r="G52" s="148">
        <f t="shared" ca="1" si="5"/>
        <v>5648.2713848950507</v>
      </c>
      <c r="H52" s="148">
        <f t="shared" ca="1" si="6"/>
        <v>2711.170264749624</v>
      </c>
      <c r="I52" s="148">
        <f t="shared" ca="1" si="7"/>
        <v>338.896283093703</v>
      </c>
      <c r="J52" s="148">
        <f t="shared" ca="1" si="8"/>
        <v>677.79256618740601</v>
      </c>
      <c r="K52" s="148">
        <f t="shared" ca="1" si="9"/>
        <v>225930.85539580201</v>
      </c>
      <c r="L52" s="32">
        <f t="shared" ca="1" si="40"/>
        <v>221303.78644207597</v>
      </c>
      <c r="M52" s="148">
        <f t="shared" ca="1" si="10"/>
        <v>11213.963340256243</v>
      </c>
      <c r="N52" s="148">
        <f t="shared" ca="1" si="11"/>
        <v>6834.6152638144777</v>
      </c>
      <c r="O52" s="148">
        <f t="shared" ca="1" si="12"/>
        <v>3280.6153266309493</v>
      </c>
      <c r="P52" s="148">
        <f t="shared" ca="1" si="13"/>
        <v>410.07691582886866</v>
      </c>
      <c r="Q52" s="148">
        <f t="shared" ca="1" si="14"/>
        <v>820.15383165773733</v>
      </c>
      <c r="R52" s="148">
        <f t="shared" ca="1" si="15"/>
        <v>43830.387686842245</v>
      </c>
      <c r="S52" s="148">
        <f t="shared" ca="1" si="16"/>
        <v>273384.61055257911</v>
      </c>
      <c r="T52" s="28">
        <f t="shared" ca="1" si="41"/>
        <v>267792.48603904573</v>
      </c>
      <c r="U52" s="148">
        <f t="shared" ca="1" si="17"/>
        <v>12961.527958859831</v>
      </c>
      <c r="V52" s="148">
        <f t="shared" ca="1" si="18"/>
        <v>9558.6489372122651</v>
      </c>
      <c r="W52" s="148">
        <f t="shared" ca="1" si="19"/>
        <v>4588.1514898618871</v>
      </c>
      <c r="X52" s="148">
        <f t="shared" ca="1" si="20"/>
        <v>573.51893623273588</v>
      </c>
      <c r="Y52" s="148">
        <f t="shared" ca="1" si="21"/>
        <v>1147.0378724654718</v>
      </c>
      <c r="Z52" s="148">
        <f t="shared" ca="1" si="22"/>
        <v>83160.245753746698</v>
      </c>
      <c r="AA52" s="148">
        <f t="shared" ca="1" si="23"/>
        <v>315988.39461858728</v>
      </c>
      <c r="AB52" s="24">
        <f t="shared" ca="1" si="42"/>
        <v>310504.32892859238</v>
      </c>
      <c r="AC52" s="148">
        <f t="shared" ca="1" si="24"/>
        <v>15351.56390188258</v>
      </c>
      <c r="AD52" s="148">
        <f t="shared" ca="1" si="25"/>
        <v>11321.212317022551</v>
      </c>
      <c r="AE52" s="148">
        <f t="shared" ca="1" si="26"/>
        <v>5434.1819121708249</v>
      </c>
      <c r="AF52" s="148">
        <f t="shared" ca="1" si="27"/>
        <v>679.27273902135312</v>
      </c>
      <c r="AG52" s="148">
        <f t="shared" ca="1" si="28"/>
        <v>1358.5454780427062</v>
      </c>
      <c r="AH52" s="148">
        <f t="shared" ca="1" si="29"/>
        <v>136986.66903597288</v>
      </c>
      <c r="AI52" s="148">
        <f t="shared" ca="1" si="30"/>
        <v>374254.95262884471</v>
      </c>
      <c r="AJ52" s="20">
        <f t="shared" ca="1" si="43"/>
        <v>367778.32618172752</v>
      </c>
      <c r="AK52" s="148">
        <f t="shared" ca="1" si="31"/>
        <v>17942.347366242564</v>
      </c>
      <c r="AL52" s="148">
        <f t="shared" ca="1" si="32"/>
        <v>13231.819591624309</v>
      </c>
      <c r="AM52" s="148">
        <f t="shared" ca="1" si="33"/>
        <v>6351.2734039796687</v>
      </c>
      <c r="AN52" s="148">
        <f t="shared" ca="1" si="34"/>
        <v>793.90917549745859</v>
      </c>
      <c r="AO52" s="148">
        <f t="shared" ca="1" si="35"/>
        <v>1587.8183509949172</v>
      </c>
      <c r="AP52" s="148">
        <f t="shared" ca="1" si="36"/>
        <v>195301.65717237481</v>
      </c>
      <c r="AQ52" s="148">
        <f t="shared" ca="1" si="37"/>
        <v>437415.52369005984</v>
      </c>
      <c r="AR52" s="17">
        <f t="shared" ca="1" si="44"/>
        <v>429830.46214725048</v>
      </c>
      <c r="AS52" s="148">
        <f t="shared" ca="1" si="38"/>
        <v>182895.69127444297</v>
      </c>
      <c r="AT52" s="48" t="str">
        <f>INDEX('stock fisico '!N:N, MATCH(B52, 'stock fisico '!B:B, 0))</f>
        <v>TV-AUDIO-VIDEO</v>
      </c>
      <c r="AU52" s="46" t="str">
        <f>INDEX('stock fisico '!D:D, MATCH(B52, 'stock fisico '!B:B, 0))</f>
        <v>Camaras</v>
      </c>
      <c r="AV52" s="43" t="str">
        <f>INDEX('stock fisico '!L:L, MATCH(B52, 'stock fisico '!B:B, 0))</f>
        <v>AIWA</v>
      </c>
    </row>
    <row r="53" spans="1:48" x14ac:dyDescent="0.25">
      <c r="A53" s="48">
        <f>INDEX('stock fisico '!M:M, MATCH(B53, 'stock fisico '!B:B, 0))</f>
        <v>9952</v>
      </c>
      <c r="B53" s="47" t="s">
        <v>1496</v>
      </c>
      <c r="C53" s="46" t="str">
        <f>INDEX('stock fisico '!C:C, MATCH(B53, 'stock fisico '!B:B, 0))</f>
        <v xml:space="preserve">AURICULAR AIWA AV-BT701N NEGRO EAN </v>
      </c>
      <c r="D53" s="44">
        <f>INDEX('stock fisico '!I:I, MATCH(B53, 'stock fisico '!B:B, 0))</f>
        <v>48400.34</v>
      </c>
      <c r="E53" s="6">
        <f t="shared" ca="1" si="39"/>
        <v>59024.804878048773</v>
      </c>
      <c r="F53" s="148">
        <f t="shared" ca="1" si="4"/>
        <v>2621.6956232004532</v>
      </c>
      <c r="G53" s="148">
        <f t="shared" ca="1" si="5"/>
        <v>1597.8544230725111</v>
      </c>
      <c r="H53" s="148">
        <f t="shared" ca="1" si="6"/>
        <v>766.9701230748052</v>
      </c>
      <c r="I53" s="148">
        <f t="shared" ca="1" si="7"/>
        <v>95.87126538435065</v>
      </c>
      <c r="J53" s="148">
        <f t="shared" ca="1" si="8"/>
        <v>191.7425307687013</v>
      </c>
      <c r="K53" s="148">
        <f t="shared" ca="1" si="9"/>
        <v>63914.176922900435</v>
      </c>
      <c r="L53" s="32">
        <f t="shared" ca="1" si="40"/>
        <v>62605.21315509273</v>
      </c>
      <c r="M53" s="148">
        <f t="shared" ca="1" si="10"/>
        <v>3172.3477330284763</v>
      </c>
      <c r="N53" s="148">
        <f t="shared" ca="1" si="11"/>
        <v>1933.4623790368344</v>
      </c>
      <c r="O53" s="148">
        <f t="shared" ca="1" si="12"/>
        <v>928.06194193768044</v>
      </c>
      <c r="P53" s="148">
        <f t="shared" ca="1" si="13"/>
        <v>116.00774274221006</v>
      </c>
      <c r="Q53" s="148">
        <f t="shared" ca="1" si="14"/>
        <v>232.01548548442011</v>
      </c>
      <c r="R53" s="148">
        <f t="shared" ca="1" si="15"/>
        <v>12399.294236763219</v>
      </c>
      <c r="S53" s="148">
        <f t="shared" ca="1" si="16"/>
        <v>77338.495161473373</v>
      </c>
      <c r="T53" s="28">
        <f t="shared" ca="1" si="41"/>
        <v>75756.524275262564</v>
      </c>
      <c r="U53" s="148">
        <f t="shared" ca="1" si="17"/>
        <v>3666.7209076086237</v>
      </c>
      <c r="V53" s="148">
        <f t="shared" ca="1" si="18"/>
        <v>2704.0714657880703</v>
      </c>
      <c r="W53" s="148">
        <f t="shared" ca="1" si="19"/>
        <v>1297.954303578274</v>
      </c>
      <c r="X53" s="148">
        <f t="shared" ca="1" si="20"/>
        <v>162.24428794728425</v>
      </c>
      <c r="Y53" s="148">
        <f t="shared" ca="1" si="21"/>
        <v>324.4885758945685</v>
      </c>
      <c r="Z53" s="148">
        <f t="shared" ca="1" si="22"/>
        <v>23525.421752356215</v>
      </c>
      <c r="AA53" s="148">
        <f t="shared" ca="1" si="23"/>
        <v>89390.79225745688</v>
      </c>
      <c r="AB53" s="24">
        <f t="shared" ca="1" si="42"/>
        <v>87839.390417486458</v>
      </c>
      <c r="AC53" s="148">
        <f t="shared" ca="1" si="24"/>
        <v>4342.8444935032376</v>
      </c>
      <c r="AD53" s="148">
        <f t="shared" ca="1" si="25"/>
        <v>3202.6876795746589</v>
      </c>
      <c r="AE53" s="148">
        <f t="shared" ca="1" si="26"/>
        <v>1537.2900861958362</v>
      </c>
      <c r="AF53" s="148">
        <f t="shared" ca="1" si="27"/>
        <v>192.16126077447953</v>
      </c>
      <c r="AG53" s="148">
        <f t="shared" ca="1" si="28"/>
        <v>384.32252154895906</v>
      </c>
      <c r="AH53" s="148">
        <f t="shared" ca="1" si="29"/>
        <v>38752.520922853371</v>
      </c>
      <c r="AI53" s="148">
        <f t="shared" ca="1" si="30"/>
        <v>105873.97287850112</v>
      </c>
      <c r="AJ53" s="20">
        <f t="shared" ca="1" si="43"/>
        <v>104041.78290215018</v>
      </c>
      <c r="AK53" s="148">
        <f t="shared" ca="1" si="31"/>
        <v>5075.7580763776987</v>
      </c>
      <c r="AL53" s="148">
        <f t="shared" ca="1" si="32"/>
        <v>3743.1844221074471</v>
      </c>
      <c r="AM53" s="148">
        <f t="shared" ca="1" si="33"/>
        <v>1796.7285226115746</v>
      </c>
      <c r="AN53" s="148">
        <f t="shared" ca="1" si="34"/>
        <v>224.59106532644682</v>
      </c>
      <c r="AO53" s="148">
        <f t="shared" ca="1" si="35"/>
        <v>449.18213065289365</v>
      </c>
      <c r="AP53" s="148">
        <f t="shared" ca="1" si="36"/>
        <v>55249.402070305921</v>
      </c>
      <c r="AQ53" s="148">
        <f t="shared" ca="1" si="37"/>
        <v>123741.63378867594</v>
      </c>
      <c r="AR53" s="17">
        <f t="shared" ca="1" si="44"/>
        <v>121595.87567799687</v>
      </c>
      <c r="AS53" s="148">
        <f t="shared" ca="1" si="38"/>
        <v>51739.845582721267</v>
      </c>
      <c r="AT53" s="48" t="str">
        <f>INDEX('stock fisico '!N:N, MATCH(B53, 'stock fisico '!B:B, 0))</f>
        <v>TV-AUDIO-VIDEO</v>
      </c>
      <c r="AU53" s="46" t="str">
        <f>INDEX('stock fisico '!D:D, MATCH(B53, 'stock fisico '!B:B, 0))</f>
        <v>Auriculares</v>
      </c>
      <c r="AV53" s="43" t="str">
        <f>INDEX('stock fisico '!L:L, MATCH(B53, 'stock fisico '!B:B, 0))</f>
        <v>AIWA</v>
      </c>
    </row>
    <row r="54" spans="1:48" x14ac:dyDescent="0.25">
      <c r="A54" s="48">
        <f>INDEX('stock fisico '!M:M, MATCH(B54, 'stock fisico '!B:B, 0))</f>
        <v>9949</v>
      </c>
      <c r="B54" s="47" t="s">
        <v>1486</v>
      </c>
      <c r="C54" s="46" t="str">
        <f>INDEX('stock fisico '!C:C, MATCH(B54, 'stock fisico '!B:B, 0))</f>
        <v>SMART TV HYUNDAI HYLED-58UHD7A 58" HD LED</v>
      </c>
      <c r="D54" s="44">
        <f>INDEX('stock fisico '!I:I, MATCH(B54, 'stock fisico '!B:B, 0))</f>
        <v>489400</v>
      </c>
      <c r="E54" s="6">
        <f t="shared" ca="1" si="39"/>
        <v>596829.26829268294</v>
      </c>
      <c r="F54" s="148">
        <f t="shared" ca="1" si="4"/>
        <v>26509.273240524799</v>
      </c>
      <c r="G54" s="148">
        <f t="shared" ca="1" si="5"/>
        <v>16156.703747363905</v>
      </c>
      <c r="H54" s="148">
        <f t="shared" ca="1" si="6"/>
        <v>7755.217798734674</v>
      </c>
      <c r="I54" s="148">
        <f t="shared" ca="1" si="7"/>
        <v>969.40222484183425</v>
      </c>
      <c r="J54" s="148">
        <f t="shared" ca="1" si="8"/>
        <v>1938.8044496836685</v>
      </c>
      <c r="K54" s="148">
        <f t="shared" ca="1" si="9"/>
        <v>646268.14989455615</v>
      </c>
      <c r="L54" s="32">
        <f t="shared" ca="1" si="40"/>
        <v>633032.56378162606</v>
      </c>
      <c r="M54" s="148">
        <f t="shared" ca="1" si="10"/>
        <v>32077.191617747656</v>
      </c>
      <c r="N54" s="148">
        <f t="shared" ca="1" si="11"/>
        <v>19550.203331229222</v>
      </c>
      <c r="O54" s="148">
        <f t="shared" ca="1" si="12"/>
        <v>9384.0975989900271</v>
      </c>
      <c r="P54" s="148">
        <f t="shared" ca="1" si="13"/>
        <v>1173.0121998737534</v>
      </c>
      <c r="Q54" s="148">
        <f t="shared" ca="1" si="14"/>
        <v>2346.0243997475068</v>
      </c>
      <c r="R54" s="148">
        <f t="shared" ca="1" si="15"/>
        <v>125375.453963173</v>
      </c>
      <c r="S54" s="148">
        <f t="shared" ca="1" si="16"/>
        <v>782008.13324916887</v>
      </c>
      <c r="T54" s="28">
        <f t="shared" ca="1" si="41"/>
        <v>766012.03587234113</v>
      </c>
      <c r="U54" s="148">
        <f t="shared" ca="1" si="17"/>
        <v>37076.045585292595</v>
      </c>
      <c r="V54" s="148">
        <f t="shared" ca="1" si="18"/>
        <v>27342.216508327874</v>
      </c>
      <c r="W54" s="148">
        <f t="shared" ca="1" si="19"/>
        <v>13124.26392399738</v>
      </c>
      <c r="X54" s="148">
        <f t="shared" ca="1" si="20"/>
        <v>1640.5329904996725</v>
      </c>
      <c r="Y54" s="148">
        <f t="shared" ca="1" si="21"/>
        <v>3281.0659809993449</v>
      </c>
      <c r="Z54" s="148">
        <f t="shared" ca="1" si="22"/>
        <v>237877.28362245249</v>
      </c>
      <c r="AA54" s="148">
        <f t="shared" ca="1" si="23"/>
        <v>903874.92589513632</v>
      </c>
      <c r="AB54" s="24">
        <f t="shared" ca="1" si="42"/>
        <v>888187.92740542477</v>
      </c>
      <c r="AC54" s="148">
        <f t="shared" ca="1" si="24"/>
        <v>43912.668694486136</v>
      </c>
      <c r="AD54" s="148">
        <f t="shared" ca="1" si="25"/>
        <v>32383.97396348535</v>
      </c>
      <c r="AE54" s="148">
        <f t="shared" ca="1" si="26"/>
        <v>15544.307502472968</v>
      </c>
      <c r="AF54" s="148">
        <f t="shared" ca="1" si="27"/>
        <v>1943.038437809121</v>
      </c>
      <c r="AG54" s="148">
        <f t="shared" ca="1" si="28"/>
        <v>3886.076875618242</v>
      </c>
      <c r="AH54" s="148">
        <f t="shared" ca="1" si="29"/>
        <v>391846.08495817275</v>
      </c>
      <c r="AI54" s="148">
        <f t="shared" ca="1" si="30"/>
        <v>1070544.5938342265</v>
      </c>
      <c r="AJ54" s="20">
        <f t="shared" ca="1" si="43"/>
        <v>1052018.4063234329</v>
      </c>
      <c r="AK54" s="148">
        <f t="shared" ca="1" si="31"/>
        <v>51323.523813660111</v>
      </c>
      <c r="AL54" s="148">
        <f t="shared" ca="1" si="32"/>
        <v>37849.206352256719</v>
      </c>
      <c r="AM54" s="148">
        <f t="shared" ca="1" si="33"/>
        <v>18167.619049083227</v>
      </c>
      <c r="AN54" s="148">
        <f t="shared" ca="1" si="34"/>
        <v>2270.9523811354034</v>
      </c>
      <c r="AO54" s="148">
        <f t="shared" ca="1" si="35"/>
        <v>4541.9047622708067</v>
      </c>
      <c r="AP54" s="148">
        <f t="shared" ca="1" si="36"/>
        <v>558654.28575930919</v>
      </c>
      <c r="AQ54" s="148">
        <f t="shared" ca="1" si="37"/>
        <v>1251213.4331324536</v>
      </c>
      <c r="AR54" s="17">
        <f t="shared" ca="1" si="44"/>
        <v>1229516.6016770061</v>
      </c>
      <c r="AS54" s="148">
        <f t="shared" ca="1" si="38"/>
        <v>523167.40808398847</v>
      </c>
      <c r="AT54" s="48" t="str">
        <f>INDEX('stock fisico '!N:N, MATCH(B54, 'stock fisico '!B:B, 0))</f>
        <v>TV-AUDIO-VIDEO</v>
      </c>
      <c r="AU54" s="46" t="str">
        <f>INDEX('stock fisico '!D:D, MATCH(B54, 'stock fisico '!B:B, 0))</f>
        <v>Televisores</v>
      </c>
      <c r="AV54" s="43" t="str">
        <f>INDEX('stock fisico '!L:L, MATCH(B54, 'stock fisico '!B:B, 0))</f>
        <v>Hyundai</v>
      </c>
    </row>
    <row r="55" spans="1:48" x14ac:dyDescent="0.25">
      <c r="A55" s="48">
        <f>INDEX('stock fisico '!M:M, MATCH(B55, 'stock fisico '!B:B, 0))</f>
        <v>9855</v>
      </c>
      <c r="B55" s="47" t="s">
        <v>1204</v>
      </c>
      <c r="C55" s="46" t="str">
        <f>INDEX('stock fisico '!C:C, MATCH(B55, 'stock fisico '!B:B, 0))</f>
        <v>MINI CONSOLA NETMAK NM-S900 4K HDMI TV 16BIT 5000 JUEGOS 2 JOY EAN 0700306605045</v>
      </c>
      <c r="D55" s="44">
        <f>INDEX('stock fisico '!I:I, MATCH(B55, 'stock fisico '!B:B, 0))</f>
        <v>26793.24</v>
      </c>
      <c r="E55" s="6">
        <f t="shared" ca="1" si="39"/>
        <v>32674.682926829271</v>
      </c>
      <c r="F55" s="148">
        <f t="shared" ca="1" si="4"/>
        <v>1451.3063346116851</v>
      </c>
      <c r="G55" s="148">
        <f t="shared" ca="1" si="5"/>
        <v>884.53298143036466</v>
      </c>
      <c r="H55" s="148">
        <f t="shared" ca="1" si="6"/>
        <v>424.57583108657502</v>
      </c>
      <c r="I55" s="148">
        <f t="shared" ca="1" si="7"/>
        <v>53.071978885821878</v>
      </c>
      <c r="J55" s="148">
        <f t="shared" ca="1" si="8"/>
        <v>106.14395777164376</v>
      </c>
      <c r="K55" s="148">
        <f t="shared" ca="1" si="9"/>
        <v>35381.319257214585</v>
      </c>
      <c r="L55" s="32">
        <f t="shared" ca="1" si="40"/>
        <v>34656.709050299178</v>
      </c>
      <c r="M55" s="148">
        <f t="shared" ca="1" si="10"/>
        <v>1756.1338241526385</v>
      </c>
      <c r="N55" s="148">
        <f t="shared" ca="1" si="11"/>
        <v>1070.3173067070372</v>
      </c>
      <c r="O55" s="148">
        <f t="shared" ca="1" si="12"/>
        <v>513.75230721937794</v>
      </c>
      <c r="P55" s="148">
        <f t="shared" ca="1" si="13"/>
        <v>64.219038402422242</v>
      </c>
      <c r="Q55" s="148">
        <f t="shared" ca="1" si="14"/>
        <v>128.43807680484448</v>
      </c>
      <c r="R55" s="148">
        <f t="shared" ca="1" si="15"/>
        <v>6863.9448879122301</v>
      </c>
      <c r="S55" s="148">
        <f t="shared" ca="1" si="16"/>
        <v>42812.692268281491</v>
      </c>
      <c r="T55" s="28">
        <f t="shared" ca="1" si="41"/>
        <v>41936.952022918362</v>
      </c>
      <c r="U55" s="148">
        <f t="shared" ca="1" si="17"/>
        <v>2029.8066767831733</v>
      </c>
      <c r="V55" s="148">
        <f t="shared" ca="1" si="18"/>
        <v>1496.9075787486529</v>
      </c>
      <c r="W55" s="148">
        <f t="shared" ca="1" si="19"/>
        <v>718.51563779935339</v>
      </c>
      <c r="X55" s="148">
        <f t="shared" ca="1" si="20"/>
        <v>89.814454724919173</v>
      </c>
      <c r="Y55" s="148">
        <f t="shared" ca="1" si="21"/>
        <v>179.62890944983835</v>
      </c>
      <c r="Z55" s="148">
        <f t="shared" ca="1" si="22"/>
        <v>13023.095935113281</v>
      </c>
      <c r="AA55" s="148">
        <f t="shared" ca="1" si="23"/>
        <v>49484.548057806707</v>
      </c>
      <c r="AB55" s="24">
        <f t="shared" ca="1" si="42"/>
        <v>48625.730085974916</v>
      </c>
      <c r="AC55" s="148">
        <f t="shared" ca="1" si="24"/>
        <v>2404.0920951611233</v>
      </c>
      <c r="AD55" s="148">
        <f t="shared" ca="1" si="25"/>
        <v>1772.9292737176424</v>
      </c>
      <c r="AE55" s="148">
        <f t="shared" ca="1" si="26"/>
        <v>851.00605138446838</v>
      </c>
      <c r="AF55" s="148">
        <f t="shared" ca="1" si="27"/>
        <v>106.37575642305855</v>
      </c>
      <c r="AG55" s="148">
        <f t="shared" ca="1" si="28"/>
        <v>212.75151284611709</v>
      </c>
      <c r="AH55" s="148">
        <f t="shared" ca="1" si="29"/>
        <v>21452.444211983475</v>
      </c>
      <c r="AI55" s="148">
        <f t="shared" ca="1" si="30"/>
        <v>58609.232189012975</v>
      </c>
      <c r="AJ55" s="20">
        <f t="shared" ca="1" si="43"/>
        <v>57594.976798204458</v>
      </c>
      <c r="AK55" s="148">
        <f t="shared" ca="1" si="31"/>
        <v>2809.8150616777907</v>
      </c>
      <c r="AL55" s="148">
        <f t="shared" ca="1" si="32"/>
        <v>2072.1350012373086</v>
      </c>
      <c r="AM55" s="148">
        <f t="shared" ca="1" si="33"/>
        <v>994.62480059390816</v>
      </c>
      <c r="AN55" s="148">
        <f t="shared" ca="1" si="34"/>
        <v>124.32810007423852</v>
      </c>
      <c r="AO55" s="148">
        <f t="shared" ca="1" si="35"/>
        <v>248.65620014847704</v>
      </c>
      <c r="AP55" s="148">
        <f t="shared" ca="1" si="36"/>
        <v>30584.712618262678</v>
      </c>
      <c r="AQ55" s="148">
        <f t="shared" ca="1" si="37"/>
        <v>68500.330619415166</v>
      </c>
      <c r="AR55" s="17">
        <f t="shared" ca="1" si="44"/>
        <v>67312.491607512115</v>
      </c>
      <c r="AS55" s="148">
        <f t="shared" ca="1" si="38"/>
        <v>28641.908306032379</v>
      </c>
      <c r="AT55" s="48" t="str">
        <f>INDEX('stock fisico '!N:N, MATCH(B55, 'stock fisico '!B:B, 0))</f>
        <v>TECNOLOGIA Y CELULARES</v>
      </c>
      <c r="AU55" s="46" t="str">
        <f>INDEX('stock fisico '!D:D, MATCH(B55, 'stock fisico '!B:B, 0))</f>
        <v>Consolas de videojuegos</v>
      </c>
      <c r="AV55" s="43" t="str">
        <f>INDEX('stock fisico '!L:L, MATCH(B55, 'stock fisico '!B:B, 0))</f>
        <v>Netmak</v>
      </c>
    </row>
    <row r="56" spans="1:48" x14ac:dyDescent="0.25">
      <c r="A56" s="48">
        <f>INDEX('stock fisico '!M:M, MATCH(B56, 'stock fisico '!B:B, 0))</f>
        <v>9890</v>
      </c>
      <c r="B56" s="47" t="s">
        <v>1347</v>
      </c>
      <c r="C56" s="46" t="str">
        <f>INDEX('stock fisico '!C:C, MATCH(B56, 'stock fisico '!B:B, 0))</f>
        <v>COMBO SECARROPAS COLUMBIA HTS5503 5.5KG + LAVARROPAS COLUMBIA LSC7000 7KG S/BOMBA</v>
      </c>
      <c r="D56" s="44">
        <f>INDEX('stock fisico '!I:I, MATCH(B56, 'stock fisico '!B:B, 0))</f>
        <v>243283</v>
      </c>
      <c r="E56" s="6">
        <f t="shared" ca="1" si="39"/>
        <v>296686.58536585368</v>
      </c>
      <c r="F56" s="148">
        <f t="shared" ca="1" si="4"/>
        <v>13177.882145023692</v>
      </c>
      <c r="G56" s="148">
        <f t="shared" ca="1" si="5"/>
        <v>8031.5720428482491</v>
      </c>
      <c r="H56" s="148">
        <f t="shared" ca="1" si="6"/>
        <v>3855.1545805671594</v>
      </c>
      <c r="I56" s="148">
        <f t="shared" ca="1" si="7"/>
        <v>481.89432257089493</v>
      </c>
      <c r="J56" s="148">
        <f t="shared" ca="1" si="8"/>
        <v>963.78864514178986</v>
      </c>
      <c r="K56" s="148">
        <f t="shared" ca="1" si="9"/>
        <v>321262.88171392994</v>
      </c>
      <c r="L56" s="32">
        <f t="shared" ca="1" si="40"/>
        <v>314683.41073658632</v>
      </c>
      <c r="M56" s="148">
        <f t="shared" ca="1" si="10"/>
        <v>15945.72008242849</v>
      </c>
      <c r="N56" s="148">
        <f t="shared" ca="1" si="11"/>
        <v>9718.4963568276235</v>
      </c>
      <c r="O56" s="148">
        <f t="shared" ca="1" si="12"/>
        <v>4664.8782512772596</v>
      </c>
      <c r="P56" s="148">
        <f t="shared" ca="1" si="13"/>
        <v>583.10978140965744</v>
      </c>
      <c r="Q56" s="148">
        <f t="shared" ca="1" si="14"/>
        <v>1166.2195628193149</v>
      </c>
      <c r="R56" s="148">
        <f t="shared" ca="1" si="15"/>
        <v>62324.717136335545</v>
      </c>
      <c r="S56" s="148">
        <f t="shared" ca="1" si="16"/>
        <v>388739.85427310492</v>
      </c>
      <c r="T56" s="28">
        <f t="shared" ca="1" si="41"/>
        <v>380788.12039871432</v>
      </c>
      <c r="U56" s="148">
        <f t="shared" ca="1" si="17"/>
        <v>18430.673473900162</v>
      </c>
      <c r="V56" s="148">
        <f t="shared" ca="1" si="18"/>
        <v>13591.942089896875</v>
      </c>
      <c r="W56" s="148">
        <f t="shared" ca="1" si="19"/>
        <v>6524.1322031504997</v>
      </c>
      <c r="X56" s="148">
        <f t="shared" ca="1" si="20"/>
        <v>815.51652539381246</v>
      </c>
      <c r="Y56" s="148">
        <f t="shared" ca="1" si="21"/>
        <v>1631.0330507876249</v>
      </c>
      <c r="Z56" s="148">
        <f t="shared" ca="1" si="22"/>
        <v>118249.89618210281</v>
      </c>
      <c r="AA56" s="148">
        <f t="shared" ca="1" si="23"/>
        <v>449320.39966601238</v>
      </c>
      <c r="AB56" s="24">
        <f t="shared" ca="1" si="42"/>
        <v>441522.32027579477</v>
      </c>
      <c r="AC56" s="148">
        <f t="shared" ca="1" si="24"/>
        <v>21829.190392318495</v>
      </c>
      <c r="AD56" s="148">
        <f t="shared" ca="1" si="25"/>
        <v>16098.223003184728</v>
      </c>
      <c r="AE56" s="148">
        <f t="shared" ca="1" si="26"/>
        <v>7727.1470415286703</v>
      </c>
      <c r="AF56" s="148">
        <f t="shared" ca="1" si="27"/>
        <v>965.89338019108379</v>
      </c>
      <c r="AG56" s="148">
        <f t="shared" ca="1" si="28"/>
        <v>1931.7867603821676</v>
      </c>
      <c r="AH56" s="148">
        <f t="shared" ca="1" si="29"/>
        <v>194788.49833853522</v>
      </c>
      <c r="AI56" s="148">
        <f t="shared" ca="1" si="30"/>
        <v>532172.6612623051</v>
      </c>
      <c r="AJ56" s="20">
        <f t="shared" ca="1" si="43"/>
        <v>522963.20789861825</v>
      </c>
      <c r="AK56" s="148">
        <f t="shared" ca="1" si="31"/>
        <v>25513.160694643797</v>
      </c>
      <c r="AL56" s="148">
        <f t="shared" ca="1" si="32"/>
        <v>18815.015261536722</v>
      </c>
      <c r="AM56" s="148">
        <f t="shared" ca="1" si="33"/>
        <v>9031.2073255376272</v>
      </c>
      <c r="AN56" s="148">
        <f t="shared" ca="1" si="34"/>
        <v>1128.9009156922034</v>
      </c>
      <c r="AO56" s="148">
        <f t="shared" ca="1" si="35"/>
        <v>2257.8018313844068</v>
      </c>
      <c r="AP56" s="148">
        <f t="shared" ca="1" si="36"/>
        <v>277709.62526028202</v>
      </c>
      <c r="AQ56" s="148">
        <f t="shared" ca="1" si="37"/>
        <v>621983.97558799083</v>
      </c>
      <c r="AR56" s="17">
        <f t="shared" ca="1" si="44"/>
        <v>611198.38047770155</v>
      </c>
      <c r="AS56" s="148">
        <f t="shared" ca="1" si="38"/>
        <v>260068.93449304654</v>
      </c>
      <c r="AT56" s="48" t="str">
        <f>INDEX('stock fisico '!N:N, MATCH(B56, 'stock fisico '!B:B, 0))</f>
        <v>ELECTRODOMESTICOS Y AIRES ACOND</v>
      </c>
      <c r="AU56" s="46" t="str">
        <f>INDEX('stock fisico '!D:D, MATCH(B56, 'stock fisico '!B:B, 0))</f>
        <v>Lavarropas</v>
      </c>
      <c r="AV56" s="43" t="str">
        <f>INDEX('stock fisico '!L:L, MATCH(B56, 'stock fisico '!B:B, 0))</f>
        <v>Columbia</v>
      </c>
    </row>
    <row r="57" spans="1:48" x14ac:dyDescent="0.25">
      <c r="A57" s="48">
        <f>INDEX('stock fisico '!M:M, MATCH(B57, 'stock fisico '!B:B, 0))</f>
        <v>9860</v>
      </c>
      <c r="B57" s="47" t="s">
        <v>1206</v>
      </c>
      <c r="C57" s="46" t="str">
        <f>INDEX('stock fisico '!C:C, MATCH(B57, 'stock fisico '!B:B, 0))</f>
        <v>PARLANTE NETMAK DOBLE 4" BT NM-CYRUS EAN 0700306605311</v>
      </c>
      <c r="D57" s="44">
        <f>INDEX('stock fisico '!I:I, MATCH(B57, 'stock fisico '!B:B, 0))</f>
        <v>16157.13</v>
      </c>
      <c r="E57" s="6">
        <f t="shared" ca="1" si="39"/>
        <v>19703.817073170732</v>
      </c>
      <c r="F57" s="148">
        <f t="shared" ca="1" si="4"/>
        <v>875.18139344642498</v>
      </c>
      <c r="G57" s="148">
        <f t="shared" ca="1" si="5"/>
        <v>533.40000575734723</v>
      </c>
      <c r="H57" s="148">
        <f t="shared" ca="1" si="6"/>
        <v>256.03200276352669</v>
      </c>
      <c r="I57" s="148">
        <f t="shared" ca="1" si="7"/>
        <v>32.004000345440836</v>
      </c>
      <c r="J57" s="148">
        <f t="shared" ca="1" si="8"/>
        <v>64.008000690881673</v>
      </c>
      <c r="K57" s="148">
        <f t="shared" ca="1" si="9"/>
        <v>21336.000230293888</v>
      </c>
      <c r="L57" s="32">
        <f t="shared" ca="1" si="40"/>
        <v>20899.038470071566</v>
      </c>
      <c r="M57" s="148">
        <f t="shared" ca="1" si="10"/>
        <v>1059.0015427111957</v>
      </c>
      <c r="N57" s="148">
        <f t="shared" ca="1" si="11"/>
        <v>645.43354464467438</v>
      </c>
      <c r="O57" s="148">
        <f t="shared" ca="1" si="12"/>
        <v>309.8081014294437</v>
      </c>
      <c r="P57" s="148">
        <f t="shared" ca="1" si="13"/>
        <v>38.726012678680462</v>
      </c>
      <c r="Q57" s="148">
        <f t="shared" ca="1" si="14"/>
        <v>77.452025357360924</v>
      </c>
      <c r="R57" s="148">
        <f t="shared" ca="1" si="15"/>
        <v>4139.1653218062966</v>
      </c>
      <c r="S57" s="148">
        <f t="shared" ca="1" si="16"/>
        <v>25817.341785786972</v>
      </c>
      <c r="T57" s="28">
        <f t="shared" ca="1" si="41"/>
        <v>25289.244064475031</v>
      </c>
      <c r="U57" s="148">
        <f t="shared" ca="1" si="17"/>
        <v>1224.0345083929271</v>
      </c>
      <c r="V57" s="148">
        <f t="shared" ca="1" si="18"/>
        <v>902.68031592398756</v>
      </c>
      <c r="W57" s="148">
        <f t="shared" ca="1" si="19"/>
        <v>433.28655164351403</v>
      </c>
      <c r="X57" s="148">
        <f t="shared" ca="1" si="20"/>
        <v>54.160818955439254</v>
      </c>
      <c r="Y57" s="148">
        <f t="shared" ca="1" si="21"/>
        <v>108.32163791087851</v>
      </c>
      <c r="Z57" s="148">
        <f t="shared" ca="1" si="22"/>
        <v>7853.3187485386916</v>
      </c>
      <c r="AA57" s="148">
        <f t="shared" ca="1" si="23"/>
        <v>29840.671600792979</v>
      </c>
      <c r="AB57" s="24">
        <f t="shared" ca="1" si="42"/>
        <v>29322.778519656742</v>
      </c>
      <c r="AC57" s="148">
        <f t="shared" ca="1" si="24"/>
        <v>1449.7398789206022</v>
      </c>
      <c r="AD57" s="148">
        <f t="shared" ca="1" si="25"/>
        <v>1069.1297042187332</v>
      </c>
      <c r="AE57" s="148">
        <f t="shared" ca="1" si="26"/>
        <v>513.18225802499194</v>
      </c>
      <c r="AF57" s="148">
        <f t="shared" ca="1" si="27"/>
        <v>64.147782253123992</v>
      </c>
      <c r="AG57" s="148">
        <f t="shared" ca="1" si="28"/>
        <v>128.29556450624798</v>
      </c>
      <c r="AH57" s="148">
        <f t="shared" ca="1" si="29"/>
        <v>12936.469421046671</v>
      </c>
      <c r="AI57" s="148">
        <f t="shared" ca="1" si="30"/>
        <v>35343.130717974651</v>
      </c>
      <c r="AJ57" s="20">
        <f t="shared" ca="1" si="43"/>
        <v>34731.504195669244</v>
      </c>
      <c r="AK57" s="148">
        <f t="shared" ca="1" si="31"/>
        <v>1694.4030370155338</v>
      </c>
      <c r="AL57" s="148">
        <f t="shared" ca="1" si="32"/>
        <v>1249.5597618108654</v>
      </c>
      <c r="AM57" s="148">
        <f t="shared" ca="1" si="33"/>
        <v>599.78868566921551</v>
      </c>
      <c r="AN57" s="148">
        <f t="shared" ca="1" si="34"/>
        <v>74.973585708651939</v>
      </c>
      <c r="AO57" s="148">
        <f t="shared" ca="1" si="35"/>
        <v>149.94717141730388</v>
      </c>
      <c r="AP57" s="148">
        <f t="shared" ca="1" si="36"/>
        <v>18443.502084328375</v>
      </c>
      <c r="AQ57" s="148">
        <f t="shared" ca="1" si="37"/>
        <v>41307.76072102035</v>
      </c>
      <c r="AR57" s="17">
        <f t="shared" ca="1" si="44"/>
        <v>40591.458051601163</v>
      </c>
      <c r="AS57" s="148">
        <f t="shared" ca="1" si="38"/>
        <v>17271.932619893858</v>
      </c>
      <c r="AT57" s="48" t="str">
        <f>INDEX('stock fisico '!N:N, MATCH(B57, 'stock fisico '!B:B, 0))</f>
        <v>TV-AUDIO-VIDEO</v>
      </c>
      <c r="AU57" s="46" t="str">
        <f>INDEX('stock fisico '!D:D, MATCH(B57, 'stock fisico '!B:B, 0))</f>
        <v>Parlantes</v>
      </c>
      <c r="AV57" s="43" t="str">
        <f>INDEX('stock fisico '!L:L, MATCH(B57, 'stock fisico '!B:B, 0))</f>
        <v>Netmak</v>
      </c>
    </row>
    <row r="58" spans="1:48" x14ac:dyDescent="0.25">
      <c r="A58" s="48">
        <f>INDEX('stock fisico '!M:M, MATCH(B58, 'stock fisico '!B:B, 0))</f>
        <v>9938</v>
      </c>
      <c r="B58" s="47" t="s">
        <v>1361</v>
      </c>
      <c r="C58" s="46" t="str">
        <f>INDEX('stock fisico '!C:C, MATCH(B58, 'stock fisico '!B:B, 0))</f>
        <v xml:space="preserve">SANDWICHERA AIWA AWK-SW300I 3 EN 1 EAN </v>
      </c>
      <c r="D58" s="44">
        <f>INDEX('stock fisico '!I:I, MATCH(B58, 'stock fisico '!B:B, 0))</f>
        <v>34868.089999999997</v>
      </c>
      <c r="E58" s="6">
        <f t="shared" ca="1" si="39"/>
        <v>42522.060975609755</v>
      </c>
      <c r="F58" s="148">
        <f t="shared" ca="1" si="4"/>
        <v>1888.6958013592362</v>
      </c>
      <c r="G58" s="148">
        <f t="shared" ca="1" si="5"/>
        <v>1151.1103399395622</v>
      </c>
      <c r="H58" s="148">
        <f t="shared" ca="1" si="6"/>
        <v>552.53296317098989</v>
      </c>
      <c r="I58" s="148">
        <f t="shared" ca="1" si="7"/>
        <v>69.066620396373736</v>
      </c>
      <c r="J58" s="148">
        <f t="shared" ca="1" si="8"/>
        <v>138.13324079274747</v>
      </c>
      <c r="K58" s="148">
        <f t="shared" ca="1" si="9"/>
        <v>46044.41359758249</v>
      </c>
      <c r="L58" s="32">
        <f t="shared" ca="1" si="40"/>
        <v>45101.42298093273</v>
      </c>
      <c r="M58" s="148">
        <f t="shared" ca="1" si="10"/>
        <v>2285.3910998669203</v>
      </c>
      <c r="N58" s="148">
        <f t="shared" ca="1" si="11"/>
        <v>1392.8856748500211</v>
      </c>
      <c r="O58" s="148">
        <f t="shared" ca="1" si="12"/>
        <v>668.58512392801003</v>
      </c>
      <c r="P58" s="148">
        <f t="shared" ca="1" si="13"/>
        <v>83.573140491001254</v>
      </c>
      <c r="Q58" s="148">
        <f t="shared" ca="1" si="14"/>
        <v>167.14628098200251</v>
      </c>
      <c r="R58" s="148">
        <f t="shared" ca="1" si="15"/>
        <v>8932.5758328131833</v>
      </c>
      <c r="S58" s="148">
        <f t="shared" ca="1" si="16"/>
        <v>55715.426994000838</v>
      </c>
      <c r="T58" s="28">
        <f t="shared" ca="1" si="41"/>
        <v>54575.759313199873</v>
      </c>
      <c r="U58" s="148">
        <f t="shared" ca="1" si="17"/>
        <v>2641.5424893994382</v>
      </c>
      <c r="V58" s="148">
        <f t="shared" ca="1" si="18"/>
        <v>1948.0401839228894</v>
      </c>
      <c r="W58" s="148">
        <f t="shared" ca="1" si="19"/>
        <v>935.05928828298693</v>
      </c>
      <c r="X58" s="148">
        <f t="shared" ca="1" si="20"/>
        <v>116.88241103537337</v>
      </c>
      <c r="Y58" s="148">
        <f t="shared" ca="1" si="21"/>
        <v>233.76482207074673</v>
      </c>
      <c r="Z58" s="148">
        <f t="shared" ca="1" si="22"/>
        <v>16947.949600129137</v>
      </c>
      <c r="AA58" s="148">
        <f t="shared" ca="1" si="23"/>
        <v>64398.022609021136</v>
      </c>
      <c r="AB58" s="24">
        <f t="shared" ca="1" si="42"/>
        <v>63280.37717549206</v>
      </c>
      <c r="AC58" s="148">
        <f t="shared" ca="1" si="24"/>
        <v>3128.6286967297201</v>
      </c>
      <c r="AD58" s="148">
        <f t="shared" ca="1" si="25"/>
        <v>2307.248301423097</v>
      </c>
      <c r="AE58" s="148">
        <f t="shared" ca="1" si="26"/>
        <v>1107.4791846830867</v>
      </c>
      <c r="AF58" s="148">
        <f t="shared" ca="1" si="27"/>
        <v>138.43489808538584</v>
      </c>
      <c r="AG58" s="148">
        <f t="shared" ca="1" si="28"/>
        <v>276.86979617077168</v>
      </c>
      <c r="AH58" s="148">
        <f t="shared" ca="1" si="29"/>
        <v>27917.704447219476</v>
      </c>
      <c r="AI58" s="148">
        <f t="shared" ca="1" si="30"/>
        <v>76272.671121424704</v>
      </c>
      <c r="AJ58" s="20">
        <f t="shared" ca="1" si="43"/>
        <v>74952.743100412801</v>
      </c>
      <c r="AK58" s="148">
        <f t="shared" ca="1" si="31"/>
        <v>3656.626987028696</v>
      </c>
      <c r="AL58" s="148">
        <f t="shared" ca="1" si="32"/>
        <v>2696.6275715550855</v>
      </c>
      <c r="AM58" s="148">
        <f t="shared" ca="1" si="33"/>
        <v>1294.381234346441</v>
      </c>
      <c r="AN58" s="148">
        <f t="shared" ca="1" si="34"/>
        <v>161.79765429330513</v>
      </c>
      <c r="AO58" s="148">
        <f t="shared" ca="1" si="35"/>
        <v>323.59530858661026</v>
      </c>
      <c r="AP58" s="148">
        <f t="shared" ca="1" si="36"/>
        <v>39802.222956153062</v>
      </c>
      <c r="AQ58" s="148">
        <f t="shared" ca="1" si="37"/>
        <v>89144.713109259028</v>
      </c>
      <c r="AR58" s="17">
        <f t="shared" ca="1" si="44"/>
        <v>87598.887461724575</v>
      </c>
      <c r="AS58" s="148">
        <f t="shared" ca="1" si="38"/>
        <v>37273.903290027054</v>
      </c>
      <c r="AT58" s="48" t="str">
        <f>INDEX('stock fisico '!N:N, MATCH(B58, 'stock fisico '!B:B, 0))</f>
        <v>ELECTRODOMESTICOS Y AIRES ACOND</v>
      </c>
      <c r="AU58" s="46" t="str">
        <f>INDEX('stock fisico '!D:D, MATCH(B58, 'stock fisico '!B:B, 0))</f>
        <v xml:space="preserve">Pequeños Electrodomesticos </v>
      </c>
      <c r="AV58" s="43" t="str">
        <f>INDEX('stock fisico '!L:L, MATCH(B58, 'stock fisico '!B:B, 0))</f>
        <v>AIWA</v>
      </c>
    </row>
    <row r="59" spans="1:48" x14ac:dyDescent="0.25">
      <c r="A59" s="48">
        <f>INDEX('stock fisico '!M:M, MATCH(B59, 'stock fisico '!B:B, 0))</f>
        <v>2956</v>
      </c>
      <c r="B59" s="47" t="s">
        <v>154</v>
      </c>
      <c r="C59" s="46" t="str">
        <f>INDEX('stock fisico '!C:C, MATCH(B59, 'stock fisico '!B:B, 0))</f>
        <v>ASPIRADORA ROBOT W300 WINCO   EAN:  4511413404164</v>
      </c>
      <c r="D59" s="44">
        <f>INDEX('stock fisico '!I:I, MATCH(B59, 'stock fisico '!B:B, 0))</f>
        <v>435005.99</v>
      </c>
      <c r="E59" s="6">
        <f t="shared" ca="1" si="39"/>
        <v>530495.10975609755</v>
      </c>
      <c r="F59" s="148">
        <f t="shared" ca="1" si="4"/>
        <v>23562.91918711687</v>
      </c>
      <c r="G59" s="148">
        <f t="shared" ca="1" si="5"/>
        <v>14360.978563054239</v>
      </c>
      <c r="H59" s="148">
        <f t="shared" ca="1" si="6"/>
        <v>6893.2697102660341</v>
      </c>
      <c r="I59" s="148">
        <f t="shared" ca="1" si="7"/>
        <v>861.65871378325426</v>
      </c>
      <c r="J59" s="148">
        <f t="shared" ca="1" si="8"/>
        <v>1723.3174275665085</v>
      </c>
      <c r="K59" s="148">
        <f t="shared" ca="1" si="9"/>
        <v>574439.14252216951</v>
      </c>
      <c r="L59" s="32">
        <f t="shared" ca="1" si="40"/>
        <v>562674.61608104699</v>
      </c>
      <c r="M59" s="148">
        <f t="shared" ca="1" si="10"/>
        <v>28511.995292394808</v>
      </c>
      <c r="N59" s="148">
        <f t="shared" ca="1" si="11"/>
        <v>17377.310083372835</v>
      </c>
      <c r="O59" s="148">
        <f t="shared" ca="1" si="12"/>
        <v>8341.1088400189601</v>
      </c>
      <c r="P59" s="148">
        <f t="shared" ca="1" si="13"/>
        <v>1042.63860500237</v>
      </c>
      <c r="Q59" s="148">
        <f t="shared" ca="1" si="14"/>
        <v>2085.27721000474</v>
      </c>
      <c r="R59" s="148">
        <f t="shared" ca="1" si="15"/>
        <v>111440.68956466997</v>
      </c>
      <c r="S59" s="148">
        <f t="shared" ca="1" si="16"/>
        <v>695092.40333491331</v>
      </c>
      <c r="T59" s="28">
        <f t="shared" ca="1" si="41"/>
        <v>680874.18066318601</v>
      </c>
      <c r="U59" s="148">
        <f t="shared" ca="1" si="17"/>
        <v>32955.255241347229</v>
      </c>
      <c r="V59" s="148">
        <f t="shared" ca="1" si="18"/>
        <v>24303.285576214774</v>
      </c>
      <c r="W59" s="148">
        <f t="shared" ca="1" si="19"/>
        <v>11665.577076583091</v>
      </c>
      <c r="X59" s="148">
        <f t="shared" ca="1" si="20"/>
        <v>1458.1971345728864</v>
      </c>
      <c r="Y59" s="148">
        <f t="shared" ca="1" si="21"/>
        <v>2916.3942691457728</v>
      </c>
      <c r="Z59" s="148">
        <f t="shared" ca="1" si="22"/>
        <v>211438.58451306852</v>
      </c>
      <c r="AA59" s="148">
        <f t="shared" ca="1" si="23"/>
        <v>803414.3992137115</v>
      </c>
      <c r="AB59" s="24">
        <f t="shared" ca="1" si="42"/>
        <v>789470.92085624218</v>
      </c>
      <c r="AC59" s="148">
        <f t="shared" ca="1" si="24"/>
        <v>39032.026806266746</v>
      </c>
      <c r="AD59" s="148">
        <f t="shared" ca="1" si="25"/>
        <v>28784.680535594944</v>
      </c>
      <c r="AE59" s="148">
        <f t="shared" ca="1" si="26"/>
        <v>13816.646657085574</v>
      </c>
      <c r="AF59" s="148">
        <f t="shared" ca="1" si="27"/>
        <v>1727.0808321356967</v>
      </c>
      <c r="AG59" s="148">
        <f t="shared" ca="1" si="28"/>
        <v>3454.1616642713934</v>
      </c>
      <c r="AH59" s="148">
        <f t="shared" ca="1" si="29"/>
        <v>348294.63448069885</v>
      </c>
      <c r="AI59" s="148">
        <f t="shared" ca="1" si="30"/>
        <v>951559.68712710566</v>
      </c>
      <c r="AJ59" s="20">
        <f t="shared" ca="1" si="43"/>
        <v>935092.57936442015</v>
      </c>
      <c r="AK59" s="148">
        <f t="shared" ca="1" si="31"/>
        <v>45619.207778606025</v>
      </c>
      <c r="AL59" s="148">
        <f t="shared" ca="1" si="32"/>
        <v>33642.48361254132</v>
      </c>
      <c r="AM59" s="148">
        <f t="shared" ca="1" si="33"/>
        <v>16148.392134019832</v>
      </c>
      <c r="AN59" s="148">
        <f t="shared" ca="1" si="34"/>
        <v>2018.549016752479</v>
      </c>
      <c r="AO59" s="148">
        <f t="shared" ca="1" si="35"/>
        <v>4037.098033504958</v>
      </c>
      <c r="AP59" s="148">
        <f t="shared" ca="1" si="36"/>
        <v>496563.05812110985</v>
      </c>
      <c r="AQ59" s="148">
        <f t="shared" ca="1" si="37"/>
        <v>1112148.2185964072</v>
      </c>
      <c r="AR59" s="17">
        <f t="shared" ca="1" si="44"/>
        <v>1092862.8658233383</v>
      </c>
      <c r="AS59" s="148">
        <f t="shared" ca="1" si="38"/>
        <v>465020.34386863391</v>
      </c>
      <c r="AT59" s="48" t="str">
        <f>INDEX('stock fisico '!N:N, MATCH(B59, 'stock fisico '!B:B, 0))</f>
        <v>MAS CATEGORIAS</v>
      </c>
      <c r="AU59" s="46" t="str">
        <f>INDEX('stock fisico '!D:D, MATCH(B59, 'stock fisico '!B:B, 0))</f>
        <v xml:space="preserve">Pequeños Electrodomesticos </v>
      </c>
      <c r="AV59" s="43" t="str">
        <f>INDEX('stock fisico '!L:L, MATCH(B59, 'stock fisico '!B:B, 0))</f>
        <v>Winco</v>
      </c>
    </row>
    <row r="60" spans="1:48" x14ac:dyDescent="0.25">
      <c r="A60" s="48">
        <f>INDEX('stock fisico '!M:M, MATCH(B60, 'stock fisico '!B:B, 0))</f>
        <v>9932</v>
      </c>
      <c r="B60" s="47" t="s">
        <v>1372</v>
      </c>
      <c r="C60" s="46" t="str">
        <f>INDEX('stock fisico '!C:C, MATCH(B60, 'stock fisico '!B:B, 0))</f>
        <v>CAFETERA DE FILTRO AIWA AWK-CFD15L 1.5L EAN</v>
      </c>
      <c r="D60" s="44">
        <f>INDEX('stock fisico '!I:I, MATCH(B60, 'stock fisico '!B:B, 0))</f>
        <v>45764.5</v>
      </c>
      <c r="E60" s="6">
        <f t="shared" ca="1" si="39"/>
        <v>55810.365853658535</v>
      </c>
      <c r="F60" s="148">
        <f t="shared" ca="1" si="4"/>
        <v>2478.9203825418817</v>
      </c>
      <c r="G60" s="148">
        <f t="shared" ca="1" si="5"/>
        <v>1510.8366747981922</v>
      </c>
      <c r="H60" s="148">
        <f t="shared" ca="1" si="6"/>
        <v>725.2016039031322</v>
      </c>
      <c r="I60" s="148">
        <f t="shared" ca="1" si="7"/>
        <v>90.650200487891524</v>
      </c>
      <c r="J60" s="148">
        <f t="shared" ca="1" si="8"/>
        <v>181.30040097578305</v>
      </c>
      <c r="K60" s="148">
        <f t="shared" ca="1" si="9"/>
        <v>60433.466991927686</v>
      </c>
      <c r="L60" s="32">
        <f t="shared" ca="1" si="40"/>
        <v>59195.788241079332</v>
      </c>
      <c r="M60" s="148">
        <f t="shared" ca="1" si="10"/>
        <v>2999.5844621790206</v>
      </c>
      <c r="N60" s="148">
        <f t="shared" ca="1" si="11"/>
        <v>1828.167716289415</v>
      </c>
      <c r="O60" s="148">
        <f t="shared" ca="1" si="12"/>
        <v>877.52050381891922</v>
      </c>
      <c r="P60" s="148">
        <f t="shared" ca="1" si="13"/>
        <v>109.6900629773649</v>
      </c>
      <c r="Q60" s="148">
        <f t="shared" ca="1" si="14"/>
        <v>219.38012595472981</v>
      </c>
      <c r="R60" s="148">
        <f t="shared" ca="1" si="15"/>
        <v>11724.039564564018</v>
      </c>
      <c r="S60" s="148">
        <f t="shared" ca="1" si="16"/>
        <v>73126.708651576599</v>
      </c>
      <c r="T60" s="28">
        <f t="shared" ca="1" si="41"/>
        <v>71630.890510175217</v>
      </c>
      <c r="U60" s="148">
        <f t="shared" ca="1" si="17"/>
        <v>3467.0345079446729</v>
      </c>
      <c r="V60" s="148">
        <f t="shared" ca="1" si="18"/>
        <v>2556.8101091037411</v>
      </c>
      <c r="W60" s="148">
        <f t="shared" ca="1" si="19"/>
        <v>1227.2688523697957</v>
      </c>
      <c r="X60" s="148">
        <f t="shared" ca="1" si="20"/>
        <v>153.40860654622446</v>
      </c>
      <c r="Y60" s="148">
        <f t="shared" ca="1" si="21"/>
        <v>306.81721309244892</v>
      </c>
      <c r="Z60" s="148">
        <f t="shared" ca="1" si="22"/>
        <v>22244.247949202545</v>
      </c>
      <c r="AA60" s="148">
        <f t="shared" ca="1" si="23"/>
        <v>84522.648234834414</v>
      </c>
      <c r="AB60" s="24">
        <f t="shared" ca="1" si="42"/>
        <v>83055.734376267996</v>
      </c>
      <c r="AC60" s="148">
        <f t="shared" ca="1" si="24"/>
        <v>4106.3369972799564</v>
      </c>
      <c r="AD60" s="148">
        <f t="shared" ca="1" si="25"/>
        <v>3028.2721218878733</v>
      </c>
      <c r="AE60" s="148">
        <f t="shared" ca="1" si="26"/>
        <v>1453.5706185061792</v>
      </c>
      <c r="AF60" s="148">
        <f t="shared" ca="1" si="27"/>
        <v>181.69632731327241</v>
      </c>
      <c r="AG60" s="148">
        <f t="shared" ca="1" si="28"/>
        <v>363.39265462654481</v>
      </c>
      <c r="AH60" s="148">
        <f t="shared" ca="1" si="29"/>
        <v>36642.092674843268</v>
      </c>
      <c r="AI60" s="148">
        <f t="shared" ca="1" si="30"/>
        <v>100108.16931860738</v>
      </c>
      <c r="AJ60" s="20">
        <f t="shared" ca="1" si="43"/>
        <v>98375.758798914481</v>
      </c>
      <c r="AK60" s="148">
        <f t="shared" ca="1" si="31"/>
        <v>4799.3367502457049</v>
      </c>
      <c r="AL60" s="148">
        <f t="shared" ca="1" si="32"/>
        <v>3539.333886611877</v>
      </c>
      <c r="AM60" s="148">
        <f t="shared" ca="1" si="33"/>
        <v>1698.8802655737009</v>
      </c>
      <c r="AN60" s="148">
        <f t="shared" ca="1" si="34"/>
        <v>212.36003319671261</v>
      </c>
      <c r="AO60" s="148">
        <f t="shared" ca="1" si="35"/>
        <v>424.72006639342521</v>
      </c>
      <c r="AP60" s="148">
        <f t="shared" ca="1" si="36"/>
        <v>52240.568166391306</v>
      </c>
      <c r="AQ60" s="148">
        <f t="shared" ca="1" si="37"/>
        <v>117002.77311113643</v>
      </c>
      <c r="AR60" s="17">
        <f t="shared" ca="1" si="44"/>
        <v>114973.87110226267</v>
      </c>
      <c r="AS60" s="148">
        <f t="shared" ca="1" si="38"/>
        <v>48922.139042214323</v>
      </c>
      <c r="AT60" s="48" t="str">
        <f>INDEX('stock fisico '!N:N, MATCH(B60, 'stock fisico '!B:B, 0))</f>
        <v>ELECTRODOMESTICOS Y AIRES ACOND</v>
      </c>
      <c r="AU60" s="46" t="str">
        <f>INDEX('stock fisico '!D:D, MATCH(B60, 'stock fisico '!B:B, 0))</f>
        <v xml:space="preserve">Pequeños Electrodomesticos </v>
      </c>
      <c r="AV60" s="43" t="str">
        <f>INDEX('stock fisico '!L:L, MATCH(B60, 'stock fisico '!B:B, 0))</f>
        <v>AIWA</v>
      </c>
    </row>
    <row r="61" spans="1:48" x14ac:dyDescent="0.25">
      <c r="A61" s="48">
        <f>INDEX('stock fisico '!M:M, MATCH(B61, 'stock fisico '!B:B, 0))</f>
        <v>9950</v>
      </c>
      <c r="B61" s="47" t="s">
        <v>1494</v>
      </c>
      <c r="C61" s="46" t="str">
        <f>INDEX('stock fisico '!C:C, MATCH(B61, 'stock fisico '!B:B, 0))</f>
        <v xml:space="preserve">AURICULAR AIWA AV-BT601C CREMA EAN </v>
      </c>
      <c r="D61" s="44">
        <f>INDEX('stock fisico '!I:I, MATCH(B61, 'stock fisico '!B:B, 0))</f>
        <v>32428.07</v>
      </c>
      <c r="E61" s="6">
        <f t="shared" ca="1" si="39"/>
        <v>39546.42682926829</v>
      </c>
      <c r="F61" s="148">
        <f t="shared" ca="1" si="4"/>
        <v>1756.5275200099404</v>
      </c>
      <c r="G61" s="148">
        <f t="shared" ca="1" si="5"/>
        <v>1070.5572539615425</v>
      </c>
      <c r="H61" s="148">
        <f t="shared" ca="1" si="6"/>
        <v>513.86748190154037</v>
      </c>
      <c r="I61" s="148">
        <f t="shared" ca="1" si="7"/>
        <v>64.233435237692547</v>
      </c>
      <c r="J61" s="148">
        <f t="shared" ca="1" si="8"/>
        <v>128.46687047538509</v>
      </c>
      <c r="K61" s="148">
        <f t="shared" ca="1" si="9"/>
        <v>42822.290158461699</v>
      </c>
      <c r="L61" s="32">
        <f t="shared" ca="1" si="40"/>
        <v>41945.288701655154</v>
      </c>
      <c r="M61" s="148">
        <f t="shared" ca="1" si="10"/>
        <v>2125.4626382994161</v>
      </c>
      <c r="N61" s="148">
        <f t="shared" ca="1" si="11"/>
        <v>1295.4134902724445</v>
      </c>
      <c r="O61" s="148">
        <f t="shared" ca="1" si="12"/>
        <v>621.79847533077339</v>
      </c>
      <c r="P61" s="148">
        <f t="shared" ca="1" si="13"/>
        <v>77.724809416346673</v>
      </c>
      <c r="Q61" s="148">
        <f t="shared" ca="1" si="14"/>
        <v>155.44961883269335</v>
      </c>
      <c r="R61" s="148">
        <f t="shared" ca="1" si="15"/>
        <v>8307.4867131171868</v>
      </c>
      <c r="S61" s="148">
        <f t="shared" ca="1" si="16"/>
        <v>51816.53961089778</v>
      </c>
      <c r="T61" s="28">
        <f t="shared" ca="1" si="41"/>
        <v>50756.624274848364</v>
      </c>
      <c r="U61" s="148">
        <f t="shared" ca="1" si="17"/>
        <v>2456.691053459459</v>
      </c>
      <c r="V61" s="148">
        <f t="shared" ca="1" si="18"/>
        <v>1811.7190659730522</v>
      </c>
      <c r="W61" s="148">
        <f t="shared" ca="1" si="19"/>
        <v>869.6251516670651</v>
      </c>
      <c r="X61" s="148">
        <f t="shared" ca="1" si="20"/>
        <v>108.70314395838314</v>
      </c>
      <c r="Y61" s="148">
        <f t="shared" ca="1" si="21"/>
        <v>217.40628791676627</v>
      </c>
      <c r="Z61" s="148">
        <f t="shared" ca="1" si="22"/>
        <v>15761.955873965555</v>
      </c>
      <c r="AA61" s="148">
        <f t="shared" ca="1" si="23"/>
        <v>59891.539371009996</v>
      </c>
      <c r="AB61" s="24">
        <f t="shared" ca="1" si="42"/>
        <v>58852.105196277131</v>
      </c>
      <c r="AC61" s="148">
        <f t="shared" ca="1" si="24"/>
        <v>2909.6916516379338</v>
      </c>
      <c r="AD61" s="148">
        <f t="shared" ca="1" si="25"/>
        <v>2145.7903035677978</v>
      </c>
      <c r="AE61" s="148">
        <f t="shared" ca="1" si="26"/>
        <v>1029.9793457125429</v>
      </c>
      <c r="AF61" s="148">
        <f t="shared" ca="1" si="27"/>
        <v>128.74741821406786</v>
      </c>
      <c r="AG61" s="148">
        <f t="shared" ca="1" si="28"/>
        <v>257.49483642813573</v>
      </c>
      <c r="AH61" s="148">
        <f t="shared" ca="1" si="29"/>
        <v>25964.062673170352</v>
      </c>
      <c r="AI61" s="148">
        <f t="shared" ca="1" si="30"/>
        <v>70935.216646869347</v>
      </c>
      <c r="AJ61" s="20">
        <f t="shared" ca="1" si="43"/>
        <v>69707.655336217256</v>
      </c>
      <c r="AK61" s="148">
        <f t="shared" ca="1" si="31"/>
        <v>3400.7413626400426</v>
      </c>
      <c r="AL61" s="148">
        <f t="shared" ca="1" si="32"/>
        <v>2507.9213588790872</v>
      </c>
      <c r="AM61" s="148">
        <f t="shared" ca="1" si="33"/>
        <v>1203.8022522619619</v>
      </c>
      <c r="AN61" s="148">
        <f t="shared" ca="1" si="34"/>
        <v>150.47528153274524</v>
      </c>
      <c r="AO61" s="148">
        <f t="shared" ca="1" si="35"/>
        <v>300.95056306549048</v>
      </c>
      <c r="AP61" s="148">
        <f t="shared" ca="1" si="36"/>
        <v>37016.919257055328</v>
      </c>
      <c r="AQ61" s="148">
        <f t="shared" ca="1" si="37"/>
        <v>82906.491202614459</v>
      </c>
      <c r="AR61" s="17">
        <f t="shared" ca="1" si="44"/>
        <v>81468.84026429111</v>
      </c>
      <c r="AS61" s="148">
        <f t="shared" ca="1" si="38"/>
        <v>34665.527852607564</v>
      </c>
      <c r="AT61" s="48" t="str">
        <f>INDEX('stock fisico '!N:N, MATCH(B61, 'stock fisico '!B:B, 0))</f>
        <v>TV-AUDIO-VIDEO</v>
      </c>
      <c r="AU61" s="46" t="str">
        <f>INDEX('stock fisico '!D:D, MATCH(B61, 'stock fisico '!B:B, 0))</f>
        <v>Auriculares</v>
      </c>
      <c r="AV61" s="43" t="str">
        <f>INDEX('stock fisico '!L:L, MATCH(B61, 'stock fisico '!B:B, 0))</f>
        <v>AIWA</v>
      </c>
    </row>
    <row r="62" spans="1:48" x14ac:dyDescent="0.25">
      <c r="A62" s="48">
        <f>INDEX('stock fisico '!M:M, MATCH(B62, 'stock fisico '!B:B, 0))</f>
        <v>9953</v>
      </c>
      <c r="B62" s="47" t="s">
        <v>1499</v>
      </c>
      <c r="C62" s="46" t="str">
        <f>INDEX('stock fisico '!C:C, MATCH(B62, 'stock fisico '!B:B, 0))</f>
        <v>PROYECTOR LED 2000LM AIWA FULL HD NEGRO AW-PRY100N EAN</v>
      </c>
      <c r="D62" s="44">
        <f>INDEX('stock fisico '!I:I, MATCH(B62, 'stock fisico '!B:B, 0))</f>
        <v>90047.6</v>
      </c>
      <c r="E62" s="6">
        <f t="shared" ca="1" si="39"/>
        <v>109814.14634146342</v>
      </c>
      <c r="F62" s="148">
        <f t="shared" ca="1" si="4"/>
        <v>4877.5979424877005</v>
      </c>
      <c r="G62" s="148">
        <f t="shared" ca="1" si="5"/>
        <v>2972.7674629365056</v>
      </c>
      <c r="H62" s="148">
        <f t="shared" ca="1" si="6"/>
        <v>1426.9283822095226</v>
      </c>
      <c r="I62" s="148">
        <f t="shared" ca="1" si="7"/>
        <v>178.36604777619033</v>
      </c>
      <c r="J62" s="148">
        <f t="shared" ca="1" si="8"/>
        <v>356.73209555238066</v>
      </c>
      <c r="K62" s="148">
        <f t="shared" ca="1" si="9"/>
        <v>118910.69851746022</v>
      </c>
      <c r="L62" s="32">
        <f t="shared" ca="1" si="40"/>
        <v>116475.40476171303</v>
      </c>
      <c r="M62" s="148">
        <f t="shared" ca="1" si="10"/>
        <v>5902.0721698371353</v>
      </c>
      <c r="N62" s="148">
        <f t="shared" ca="1" si="11"/>
        <v>3597.1575183677905</v>
      </c>
      <c r="O62" s="148">
        <f t="shared" ca="1" si="12"/>
        <v>1726.6356088165394</v>
      </c>
      <c r="P62" s="148">
        <f t="shared" ca="1" si="13"/>
        <v>215.82945110206742</v>
      </c>
      <c r="Q62" s="148">
        <f t="shared" ca="1" si="14"/>
        <v>431.65890220413485</v>
      </c>
      <c r="R62" s="148">
        <f t="shared" ca="1" si="15"/>
        <v>23068.571165292637</v>
      </c>
      <c r="S62" s="148">
        <f t="shared" ca="1" si="16"/>
        <v>143886.30073471161</v>
      </c>
      <c r="T62" s="28">
        <f t="shared" ca="1" si="41"/>
        <v>140943.08418761386</v>
      </c>
      <c r="U62" s="148">
        <f t="shared" ca="1" si="17"/>
        <v>6821.8408713653325</v>
      </c>
      <c r="V62" s="148">
        <f t="shared" ca="1" si="18"/>
        <v>5030.8560998269413</v>
      </c>
      <c r="W62" s="148">
        <f t="shared" ca="1" si="19"/>
        <v>2414.8109279169316</v>
      </c>
      <c r="X62" s="148">
        <f t="shared" ca="1" si="20"/>
        <v>301.85136598961645</v>
      </c>
      <c r="Y62" s="148">
        <f t="shared" ca="1" si="21"/>
        <v>603.70273197923291</v>
      </c>
      <c r="Z62" s="148">
        <f t="shared" ca="1" si="22"/>
        <v>43768.448068494385</v>
      </c>
      <c r="AA62" s="148">
        <f t="shared" ca="1" si="23"/>
        <v>166309.29255626252</v>
      </c>
      <c r="AB62" s="24">
        <f t="shared" ca="1" si="42"/>
        <v>163422.94894121931</v>
      </c>
      <c r="AC62" s="148">
        <f t="shared" ca="1" si="24"/>
        <v>8079.7515846620554</v>
      </c>
      <c r="AD62" s="148">
        <f t="shared" ca="1" si="25"/>
        <v>5958.5188677448787</v>
      </c>
      <c r="AE62" s="148">
        <f t="shared" ca="1" si="26"/>
        <v>2860.0890565175414</v>
      </c>
      <c r="AF62" s="148">
        <f t="shared" ca="1" si="27"/>
        <v>357.51113206469267</v>
      </c>
      <c r="AG62" s="148">
        <f t="shared" ca="1" si="28"/>
        <v>715.02226412938535</v>
      </c>
      <c r="AH62" s="148">
        <f t="shared" ca="1" si="29"/>
        <v>72098.07829971303</v>
      </c>
      <c r="AI62" s="148">
        <f t="shared" ca="1" si="30"/>
        <v>196975.83033867367</v>
      </c>
      <c r="AJ62" s="20">
        <f t="shared" ca="1" si="43"/>
        <v>193567.08754648542</v>
      </c>
      <c r="AK62" s="148">
        <f t="shared" ca="1" si="31"/>
        <v>9443.3186411175739</v>
      </c>
      <c r="AL62" s="148">
        <f t="shared" ca="1" si="32"/>
        <v>6964.0992928595679</v>
      </c>
      <c r="AM62" s="148">
        <f t="shared" ca="1" si="33"/>
        <v>3342.7676605725924</v>
      </c>
      <c r="AN62" s="148">
        <f t="shared" ca="1" si="34"/>
        <v>417.84595757157405</v>
      </c>
      <c r="AO62" s="148">
        <f t="shared" ca="1" si="35"/>
        <v>835.69191514314809</v>
      </c>
      <c r="AP62" s="148">
        <f t="shared" ca="1" si="36"/>
        <v>102790.10556260722</v>
      </c>
      <c r="AQ62" s="148">
        <f t="shared" ca="1" si="37"/>
        <v>230218.1584416386</v>
      </c>
      <c r="AR62" s="17">
        <f t="shared" ca="1" si="44"/>
        <v>226226.03012090398</v>
      </c>
      <c r="AS62" s="148">
        <f t="shared" ca="1" si="38"/>
        <v>96260.665092324823</v>
      </c>
      <c r="AT62" s="48" t="str">
        <f>INDEX('stock fisico '!N:N, MATCH(B62, 'stock fisico '!B:B, 0))</f>
        <v>TV-AUDIO-VIDEO</v>
      </c>
      <c r="AU62" s="46" t="str">
        <f>INDEX('stock fisico '!D:D, MATCH(B62, 'stock fisico '!B:B, 0))</f>
        <v>Camaras</v>
      </c>
      <c r="AV62" s="43" t="str">
        <f>INDEX('stock fisico '!L:L, MATCH(B62, 'stock fisico '!B:B, 0))</f>
        <v>AIWA</v>
      </c>
    </row>
    <row r="63" spans="1:48" x14ac:dyDescent="0.25">
      <c r="A63" s="48">
        <f>INDEX('stock fisico '!M:M, MATCH(B63, 'stock fisico '!B:B, 0))</f>
        <v>9587</v>
      </c>
      <c r="B63" s="47" t="s">
        <v>150</v>
      </c>
      <c r="C63" s="46" t="str">
        <f>INDEX('stock fisico '!C:C, MATCH(B63, 'stock fisico '!B:B, 0))</f>
        <v>CABLE UTP CAT5E PACH CORD 0.5M  NETMAK  EAN:  7792641880044</v>
      </c>
      <c r="D63" s="44">
        <f>INDEX('stock fisico '!I:I, MATCH(B63, 'stock fisico '!B:B, 0))</f>
        <v>2339.35</v>
      </c>
      <c r="E63" s="6">
        <f t="shared" ca="1" si="39"/>
        <v>2852.8658536585367</v>
      </c>
      <c r="F63" s="148">
        <f t="shared" ca="1" si="4"/>
        <v>126.71530109362828</v>
      </c>
      <c r="G63" s="148">
        <f t="shared" ca="1" si="5"/>
        <v>77.229638151605528</v>
      </c>
      <c r="H63" s="148">
        <f t="shared" ca="1" si="6"/>
        <v>37.07022631277065</v>
      </c>
      <c r="I63" s="148">
        <f t="shared" ca="1" si="7"/>
        <v>4.6337782890963313</v>
      </c>
      <c r="J63" s="148">
        <f t="shared" ca="1" si="8"/>
        <v>9.2675565781926625</v>
      </c>
      <c r="K63" s="148">
        <f t="shared" ca="1" si="9"/>
        <v>3089.185526064221</v>
      </c>
      <c r="L63" s="32">
        <f t="shared" ca="1" si="40"/>
        <v>3025.9189376431282</v>
      </c>
      <c r="M63" s="148">
        <f t="shared" ca="1" si="10"/>
        <v>153.33015572328969</v>
      </c>
      <c r="N63" s="148">
        <f t="shared" ca="1" si="11"/>
        <v>93.450690974481162</v>
      </c>
      <c r="O63" s="148">
        <f t="shared" ca="1" si="12"/>
        <v>44.856331667750958</v>
      </c>
      <c r="P63" s="148">
        <f t="shared" ca="1" si="13"/>
        <v>5.6070414584688697</v>
      </c>
      <c r="Q63" s="148">
        <f t="shared" ca="1" si="14"/>
        <v>11.214082916937739</v>
      </c>
      <c r="R63" s="148">
        <f t="shared" ca="1" si="15"/>
        <v>599.29928121934768</v>
      </c>
      <c r="S63" s="148">
        <f t="shared" ca="1" si="16"/>
        <v>3738.0276389792461</v>
      </c>
      <c r="T63" s="28">
        <f t="shared" ca="1" si="41"/>
        <v>3661.5657051858625</v>
      </c>
      <c r="U63" s="148">
        <f t="shared" ca="1" si="17"/>
        <v>177.22486154465517</v>
      </c>
      <c r="V63" s="148">
        <f t="shared" ca="1" si="18"/>
        <v>130.69680054915571</v>
      </c>
      <c r="W63" s="148">
        <f t="shared" ca="1" si="19"/>
        <v>62.734464263594745</v>
      </c>
      <c r="X63" s="148">
        <f t="shared" ca="1" si="20"/>
        <v>7.8418080329493431</v>
      </c>
      <c r="Y63" s="148">
        <f t="shared" ca="1" si="21"/>
        <v>15.683616065898686</v>
      </c>
      <c r="Z63" s="148">
        <f t="shared" ca="1" si="22"/>
        <v>1137.0621647776547</v>
      </c>
      <c r="AA63" s="148">
        <f t="shared" ca="1" si="23"/>
        <v>4320.5553900547347</v>
      </c>
      <c r="AB63" s="24">
        <f t="shared" ca="1" si="42"/>
        <v>4245.5709603103405</v>
      </c>
      <c r="AC63" s="148">
        <f t="shared" ca="1" si="24"/>
        <v>209.90417145575424</v>
      </c>
      <c r="AD63" s="148">
        <f t="shared" ca="1" si="25"/>
        <v>154.79658661928778</v>
      </c>
      <c r="AE63" s="148">
        <f t="shared" ca="1" si="26"/>
        <v>74.302361577258139</v>
      </c>
      <c r="AF63" s="148">
        <f t="shared" ca="1" si="27"/>
        <v>9.2877951971572674</v>
      </c>
      <c r="AG63" s="148">
        <f t="shared" ca="1" si="28"/>
        <v>18.575590394314535</v>
      </c>
      <c r="AH63" s="148">
        <f t="shared" ca="1" si="29"/>
        <v>1873.0386980933822</v>
      </c>
      <c r="AI63" s="148">
        <f t="shared" ca="1" si="30"/>
        <v>5117.2425328690179</v>
      </c>
      <c r="AJ63" s="20">
        <f t="shared" ca="1" si="43"/>
        <v>5028.6866751792459</v>
      </c>
      <c r="AK63" s="148">
        <f t="shared" ca="1" si="31"/>
        <v>245.3283314946583</v>
      </c>
      <c r="AL63" s="148">
        <f t="shared" ca="1" si="32"/>
        <v>180.92059844738813</v>
      </c>
      <c r="AM63" s="148">
        <f t="shared" ca="1" si="33"/>
        <v>86.841887254746311</v>
      </c>
      <c r="AN63" s="148">
        <f t="shared" ca="1" si="34"/>
        <v>10.855235906843289</v>
      </c>
      <c r="AO63" s="148">
        <f t="shared" ca="1" si="35"/>
        <v>21.710471813686578</v>
      </c>
      <c r="AP63" s="148">
        <f t="shared" ca="1" si="36"/>
        <v>2670.388033083449</v>
      </c>
      <c r="AQ63" s="148">
        <f t="shared" ca="1" si="37"/>
        <v>5980.8462296657235</v>
      </c>
      <c r="AR63" s="17">
        <f t="shared" ca="1" si="44"/>
        <v>5877.1345773050771</v>
      </c>
      <c r="AS63" s="148">
        <f t="shared" ca="1" si="38"/>
        <v>2500.7594525976265</v>
      </c>
      <c r="AT63" s="48" t="str">
        <f>INDEX('stock fisico '!N:N, MATCH(B63, 'stock fisico '!B:B, 0))</f>
        <v>MAS CATEGORIAS</v>
      </c>
      <c r="AU63" s="46" t="str">
        <f>INDEX('stock fisico '!D:D, MATCH(B63, 'stock fisico '!B:B, 0))</f>
        <v>Cables</v>
      </c>
      <c r="AV63" s="43" t="str">
        <f>INDEX('stock fisico '!L:L, MATCH(B63, 'stock fisico '!B:B, 0))</f>
        <v>Netmak</v>
      </c>
    </row>
    <row r="64" spans="1:48" x14ac:dyDescent="0.25">
      <c r="A64" s="48">
        <f>INDEX('stock fisico '!M:M, MATCH(B64, 'stock fisico '!B:B, 0))</f>
        <v>9859</v>
      </c>
      <c r="B64" s="47" t="s">
        <v>1200</v>
      </c>
      <c r="C64" s="46" t="str">
        <f>INDEX('stock fisico '!C:C, MATCH(B64, 'stock fisico '!B:B, 0))</f>
        <v>CONSOLA GAMER NETMAK 8 BIT CON 500 JUEGOS 2 JOY EAN 0700306601467</v>
      </c>
      <c r="D64" s="44">
        <f>INDEX('stock fisico '!I:I, MATCH(B64, 'stock fisico '!B:B, 0))</f>
        <v>12584.7</v>
      </c>
      <c r="E64" s="6">
        <f t="shared" ca="1" si="39"/>
        <v>15347.195121951221</v>
      </c>
      <c r="F64" s="148">
        <f t="shared" ca="1" si="4"/>
        <v>681.67399049863593</v>
      </c>
      <c r="G64" s="148">
        <f t="shared" ca="1" si="5"/>
        <v>415.46234092654379</v>
      </c>
      <c r="H64" s="148">
        <f t="shared" ca="1" si="6"/>
        <v>199.42192364474101</v>
      </c>
      <c r="I64" s="148">
        <f t="shared" ca="1" si="7"/>
        <v>24.927740455592627</v>
      </c>
      <c r="J64" s="148">
        <f t="shared" ca="1" si="8"/>
        <v>49.855480911185253</v>
      </c>
      <c r="K64" s="148">
        <f t="shared" ca="1" si="9"/>
        <v>16618.493637061751</v>
      </c>
      <c r="L64" s="32">
        <f t="shared" ca="1" si="40"/>
        <v>16278.146517005784</v>
      </c>
      <c r="M64" s="148">
        <f t="shared" ca="1" si="10"/>
        <v>824.85049724533917</v>
      </c>
      <c r="N64" s="148">
        <f t="shared" ca="1" si="11"/>
        <v>502.72465031164779</v>
      </c>
      <c r="O64" s="148">
        <f t="shared" ca="1" si="12"/>
        <v>241.30783214959092</v>
      </c>
      <c r="P64" s="148">
        <f t="shared" ca="1" si="13"/>
        <v>30.163479018698865</v>
      </c>
      <c r="Q64" s="148">
        <f t="shared" ca="1" si="14"/>
        <v>60.326958037397731</v>
      </c>
      <c r="R64" s="148">
        <f t="shared" ca="1" si="15"/>
        <v>3223.9731824485971</v>
      </c>
      <c r="S64" s="148">
        <f t="shared" ca="1" si="16"/>
        <v>20108.98601246591</v>
      </c>
      <c r="T64" s="28">
        <f t="shared" ca="1" si="41"/>
        <v>19697.653591832146</v>
      </c>
      <c r="U64" s="148">
        <f t="shared" ca="1" si="17"/>
        <v>953.3937696714994</v>
      </c>
      <c r="V64" s="148">
        <f t="shared" ca="1" si="18"/>
        <v>703.09275049520602</v>
      </c>
      <c r="W64" s="148">
        <f t="shared" ca="1" si="19"/>
        <v>337.48452023769892</v>
      </c>
      <c r="X64" s="148">
        <f t="shared" ca="1" si="20"/>
        <v>42.185565029712365</v>
      </c>
      <c r="Y64" s="148">
        <f t="shared" ca="1" si="21"/>
        <v>84.371130059424729</v>
      </c>
      <c r="Z64" s="148">
        <f t="shared" ca="1" si="22"/>
        <v>6116.906929308293</v>
      </c>
      <c r="AA64" s="148">
        <f t="shared" ca="1" si="23"/>
        <v>23242.735553560531</v>
      </c>
      <c r="AB64" s="24">
        <f t="shared" ca="1" si="42"/>
        <v>22839.351471228139</v>
      </c>
      <c r="AC64" s="148">
        <f t="shared" ca="1" si="24"/>
        <v>1129.194445687576</v>
      </c>
      <c r="AD64" s="148">
        <f t="shared" ca="1" si="25"/>
        <v>832.73926673125072</v>
      </c>
      <c r="AE64" s="148">
        <f t="shared" ca="1" si="26"/>
        <v>399.71484803100037</v>
      </c>
      <c r="AF64" s="148">
        <f t="shared" ca="1" si="27"/>
        <v>49.964356003875046</v>
      </c>
      <c r="AG64" s="148">
        <f t="shared" ca="1" si="28"/>
        <v>99.928712007750093</v>
      </c>
      <c r="AH64" s="148">
        <f t="shared" ca="1" si="29"/>
        <v>10076.145127448133</v>
      </c>
      <c r="AI64" s="148">
        <f t="shared" ca="1" si="30"/>
        <v>27528.570801033082</v>
      </c>
      <c r="AJ64" s="20">
        <f t="shared" ca="1" si="43"/>
        <v>27052.178255125684</v>
      </c>
      <c r="AK64" s="148">
        <f t="shared" ca="1" si="31"/>
        <v>1319.7612385324244</v>
      </c>
      <c r="AL64" s="148">
        <f t="shared" ca="1" si="32"/>
        <v>973.27524965518012</v>
      </c>
      <c r="AM64" s="148">
        <f t="shared" ca="1" si="33"/>
        <v>467.17211983448647</v>
      </c>
      <c r="AN64" s="148">
        <f t="shared" ca="1" si="34"/>
        <v>58.396514979310808</v>
      </c>
      <c r="AO64" s="148">
        <f t="shared" ca="1" si="35"/>
        <v>116.79302995862162</v>
      </c>
      <c r="AP64" s="148">
        <f t="shared" ca="1" si="36"/>
        <v>14365.542684910461</v>
      </c>
      <c r="AQ64" s="148">
        <f t="shared" ca="1" si="37"/>
        <v>32174.388418353064</v>
      </c>
      <c r="AR64" s="17">
        <f t="shared" ca="1" si="44"/>
        <v>31616.464195187215</v>
      </c>
      <c r="AS64" s="148">
        <f t="shared" ca="1" si="38"/>
        <v>13453.013650418003</v>
      </c>
      <c r="AT64" s="48" t="str">
        <f>INDEX('stock fisico '!N:N, MATCH(B64, 'stock fisico '!B:B, 0))</f>
        <v>TECNOLOGIA Y CELULARES</v>
      </c>
      <c r="AU64" s="46" t="str">
        <f>INDEX('stock fisico '!D:D, MATCH(B64, 'stock fisico '!B:B, 0))</f>
        <v>Consolas de videojuegos</v>
      </c>
      <c r="AV64" s="43" t="str">
        <f>INDEX('stock fisico '!L:L, MATCH(B64, 'stock fisico '!B:B, 0))</f>
        <v>Netmak</v>
      </c>
    </row>
    <row r="65" spans="1:48" x14ac:dyDescent="0.25">
      <c r="A65" s="48">
        <f>INDEX('stock fisico '!M:M, MATCH(B65, 'stock fisico '!B:B, 0))</f>
        <v>3775</v>
      </c>
      <c r="B65" s="47" t="s">
        <v>166</v>
      </c>
      <c r="C65" s="46" t="str">
        <f>INDEX('stock fisico '!C:C, MATCH(B65, 'stock fisico '!B:B, 0))</f>
        <v>CABLE USB A MICRO USB 0.25 METROS  TL-USBMUSB025  T-LINE  EAN: NO TIENE</v>
      </c>
      <c r="D65" s="44">
        <f>INDEX('stock fisico '!I:I, MATCH(B65, 'stock fisico '!B:B, 0))</f>
        <v>390</v>
      </c>
      <c r="E65" s="6">
        <f t="shared" ca="1" si="39"/>
        <v>475.60975609756099</v>
      </c>
      <c r="F65" s="148">
        <f t="shared" ca="1" si="4"/>
        <v>21.125084928084739</v>
      </c>
      <c r="G65" s="148">
        <f t="shared" ca="1" si="5"/>
        <v>12.875182798267108</v>
      </c>
      <c r="H65" s="148">
        <f t="shared" ca="1" si="6"/>
        <v>6.1800877431682117</v>
      </c>
      <c r="I65" s="148">
        <f t="shared" ca="1" si="7"/>
        <v>0.77251096789602647</v>
      </c>
      <c r="J65" s="148">
        <f t="shared" ca="1" si="8"/>
        <v>1.5450219357920529</v>
      </c>
      <c r="K65" s="148">
        <f t="shared" ca="1" si="9"/>
        <v>515.0073119306843</v>
      </c>
      <c r="L65" s="32">
        <f t="shared" ca="1" si="40"/>
        <v>504.459950704606</v>
      </c>
      <c r="M65" s="148">
        <f t="shared" ca="1" si="10"/>
        <v>25.562126544588445</v>
      </c>
      <c r="N65" s="148">
        <f t="shared" ca="1" si="11"/>
        <v>15.579442785409473</v>
      </c>
      <c r="O65" s="148">
        <f t="shared" ca="1" si="12"/>
        <v>7.4781325369965463</v>
      </c>
      <c r="P65" s="148">
        <f t="shared" ca="1" si="13"/>
        <v>0.93476656712456829</v>
      </c>
      <c r="Q65" s="148">
        <f t="shared" ca="1" si="14"/>
        <v>1.8695331342491366</v>
      </c>
      <c r="R65" s="148">
        <f t="shared" ca="1" si="15"/>
        <v>99.910966582830937</v>
      </c>
      <c r="S65" s="148">
        <f t="shared" ca="1" si="16"/>
        <v>623.17771141637888</v>
      </c>
      <c r="T65" s="28">
        <f t="shared" ca="1" si="41"/>
        <v>610.43051489622599</v>
      </c>
      <c r="U65" s="148">
        <f t="shared" ca="1" si="17"/>
        <v>29.545684058569908</v>
      </c>
      <c r="V65" s="148">
        <f t="shared" ca="1" si="18"/>
        <v>21.788852550567778</v>
      </c>
      <c r="W65" s="148">
        <f t="shared" ca="1" si="19"/>
        <v>10.458649224272534</v>
      </c>
      <c r="X65" s="148">
        <f t="shared" ca="1" si="20"/>
        <v>1.3073311530340668</v>
      </c>
      <c r="Y65" s="148">
        <f t="shared" ca="1" si="21"/>
        <v>2.6146623060681335</v>
      </c>
      <c r="Z65" s="148">
        <f t="shared" ca="1" si="22"/>
        <v>189.56301718993967</v>
      </c>
      <c r="AA65" s="148">
        <f t="shared" ca="1" si="23"/>
        <v>720.29264629976126</v>
      </c>
      <c r="AB65" s="24">
        <f t="shared" ca="1" si="42"/>
        <v>707.7917688764112</v>
      </c>
      <c r="AC65" s="148">
        <f t="shared" ca="1" si="24"/>
        <v>34.993749061809545</v>
      </c>
      <c r="AD65" s="148">
        <f t="shared" ca="1" si="25"/>
        <v>25.806599603104384</v>
      </c>
      <c r="AE65" s="148">
        <f t="shared" ca="1" si="26"/>
        <v>12.387167809490105</v>
      </c>
      <c r="AF65" s="148">
        <f t="shared" ca="1" si="27"/>
        <v>1.5483959761862631</v>
      </c>
      <c r="AG65" s="148">
        <f t="shared" ca="1" si="28"/>
        <v>3.0967919523725262</v>
      </c>
      <c r="AH65" s="148">
        <f t="shared" ca="1" si="29"/>
        <v>312.25985519756307</v>
      </c>
      <c r="AI65" s="148">
        <f t="shared" ca="1" si="30"/>
        <v>853.11073068113672</v>
      </c>
      <c r="AJ65" s="20">
        <f t="shared" ca="1" si="43"/>
        <v>838.34732011879623</v>
      </c>
      <c r="AK65" s="148">
        <f t="shared" ca="1" si="31"/>
        <v>40.899416198053622</v>
      </c>
      <c r="AL65" s="148">
        <f t="shared" ca="1" si="32"/>
        <v>30.16181135549677</v>
      </c>
      <c r="AM65" s="148">
        <f t="shared" ca="1" si="33"/>
        <v>14.47766945063845</v>
      </c>
      <c r="AN65" s="148">
        <f t="shared" ca="1" si="34"/>
        <v>1.8097086813298062</v>
      </c>
      <c r="AO65" s="148">
        <f t="shared" ca="1" si="35"/>
        <v>3.6194173626596124</v>
      </c>
      <c r="AP65" s="148">
        <f t="shared" ca="1" si="36"/>
        <v>445.18833560713233</v>
      </c>
      <c r="AQ65" s="148">
        <f t="shared" ca="1" si="37"/>
        <v>997.0846729089842</v>
      </c>
      <c r="AR65" s="17">
        <f t="shared" ca="1" si="44"/>
        <v>979.79459471604503</v>
      </c>
      <c r="AS65" s="148">
        <f t="shared" ca="1" si="38"/>
        <v>416.90905016909591</v>
      </c>
      <c r="AT65" s="48" t="str">
        <f>INDEX('stock fisico '!N:N, MATCH(B65, 'stock fisico '!B:B, 0))</f>
        <v>MAS CATEGORIAS</v>
      </c>
      <c r="AU65" s="46" t="str">
        <f>INDEX('stock fisico '!D:D, MATCH(B65, 'stock fisico '!B:B, 0))</f>
        <v>Cables</v>
      </c>
      <c r="AV65" s="43" t="str">
        <f>INDEX('stock fisico '!L:L, MATCH(B65, 'stock fisico '!B:B, 0))</f>
        <v>Tline</v>
      </c>
    </row>
    <row r="66" spans="1:48" x14ac:dyDescent="0.25">
      <c r="A66" s="48">
        <f>INDEX('stock fisico '!M:M, MATCH(B66, 'stock fisico '!B:B, 0))</f>
        <v>8772</v>
      </c>
      <c r="B66" s="47" t="s">
        <v>1153</v>
      </c>
      <c r="C66" s="46" t="str">
        <f>INDEX('stock fisico '!C:C, MATCH(B66, 'stock fisico '!B:B, 0))</f>
        <v>AIRE ACONDICIONADO SAMSUNG INVERTER 3150 W AR12BSHQAWK2BG EAN:  8806094615869</v>
      </c>
      <c r="D66" s="44">
        <f>INDEX('stock fisico '!I:I, MATCH(B66, 'stock fisico '!B:B, 0))</f>
        <v>662262</v>
      </c>
      <c r="E66" s="6">
        <f t="shared" ca="1" si="39"/>
        <v>807636.58536585362</v>
      </c>
      <c r="F66" s="148">
        <f t="shared" ca="1" si="4"/>
        <v>35872.669217033981</v>
      </c>
      <c r="G66" s="148">
        <f t="shared" ca="1" si="5"/>
        <v>21863.446949605051</v>
      </c>
      <c r="H66" s="148">
        <f t="shared" ca="1" si="6"/>
        <v>10494.454535810424</v>
      </c>
      <c r="I66" s="148">
        <f t="shared" ca="1" si="7"/>
        <v>1311.806816976303</v>
      </c>
      <c r="J66" s="148">
        <f t="shared" ca="1" si="8"/>
        <v>2623.6136339526061</v>
      </c>
      <c r="K66" s="148">
        <f t="shared" ca="1" si="9"/>
        <v>874537.877984202</v>
      </c>
      <c r="L66" s="32">
        <f t="shared" ca="1" si="40"/>
        <v>856627.32275265059</v>
      </c>
      <c r="M66" s="148">
        <f t="shared" ca="1" si="10"/>
        <v>43407.243717108286</v>
      </c>
      <c r="N66" s="148">
        <f t="shared" ca="1" si="11"/>
        <v>26455.571635771405</v>
      </c>
      <c r="O66" s="148">
        <f t="shared" ca="1" si="12"/>
        <v>12698.674385170274</v>
      </c>
      <c r="P66" s="148">
        <f t="shared" ca="1" si="13"/>
        <v>1587.3342981462843</v>
      </c>
      <c r="Q66" s="148">
        <f t="shared" ca="1" si="14"/>
        <v>3174.6685962925685</v>
      </c>
      <c r="R66" s="148">
        <f t="shared" ca="1" si="15"/>
        <v>169659.58090020201</v>
      </c>
      <c r="S66" s="148">
        <f t="shared" ca="1" si="16"/>
        <v>1058222.8654308561</v>
      </c>
      <c r="T66" s="28">
        <f t="shared" ca="1" si="41"/>
        <v>1036576.7529646268</v>
      </c>
      <c r="U66" s="148">
        <f t="shared" ca="1" si="17"/>
        <v>50171.753374350315</v>
      </c>
      <c r="V66" s="148">
        <f t="shared" ca="1" si="18"/>
        <v>36999.818122677221</v>
      </c>
      <c r="W66" s="148">
        <f t="shared" ca="1" si="19"/>
        <v>17759.912698885069</v>
      </c>
      <c r="X66" s="148">
        <f t="shared" ca="1" si="20"/>
        <v>2219.9890873606337</v>
      </c>
      <c r="Y66" s="148">
        <f t="shared" ca="1" si="21"/>
        <v>4439.9781747212674</v>
      </c>
      <c r="Z66" s="148">
        <f t="shared" ca="1" si="22"/>
        <v>321898.41766729188</v>
      </c>
      <c r="AA66" s="148">
        <f t="shared" ca="1" si="23"/>
        <v>1223134.4833942885</v>
      </c>
      <c r="AB66" s="24">
        <f t="shared" ca="1" si="42"/>
        <v>1201906.6472811021</v>
      </c>
      <c r="AC66" s="148">
        <f t="shared" ca="1" si="24"/>
        <v>59423.154464543877</v>
      </c>
      <c r="AD66" s="148">
        <f t="shared" ca="1" si="25"/>
        <v>43822.385298336194</v>
      </c>
      <c r="AE66" s="148">
        <f t="shared" ca="1" si="26"/>
        <v>21034.744943201375</v>
      </c>
      <c r="AF66" s="148">
        <f t="shared" ca="1" si="27"/>
        <v>2629.3431179001718</v>
      </c>
      <c r="AG66" s="148">
        <f t="shared" ca="1" si="28"/>
        <v>5258.6862358003436</v>
      </c>
      <c r="AH66" s="148">
        <f t="shared" ca="1" si="29"/>
        <v>530250.86210986797</v>
      </c>
      <c r="AI66" s="148">
        <f t="shared" ca="1" si="30"/>
        <v>1448673.8941598742</v>
      </c>
      <c r="AJ66" s="20">
        <f t="shared" ca="1" si="43"/>
        <v>1423604.0331192673</v>
      </c>
      <c r="AK66" s="148">
        <f t="shared" ca="1" si="31"/>
        <v>69451.61325680869</v>
      </c>
      <c r="AL66" s="148">
        <f t="shared" ca="1" si="32"/>
        <v>51218.003876702569</v>
      </c>
      <c r="AM66" s="148">
        <f t="shared" ca="1" si="33"/>
        <v>24584.641860817235</v>
      </c>
      <c r="AN66" s="148">
        <f t="shared" ca="1" si="34"/>
        <v>3073.0802326021544</v>
      </c>
      <c r="AO66" s="148">
        <f t="shared" ca="1" si="35"/>
        <v>6146.1604652043088</v>
      </c>
      <c r="AP66" s="148">
        <f t="shared" ca="1" si="36"/>
        <v>755977.73722012993</v>
      </c>
      <c r="AQ66" s="148">
        <f t="shared" ca="1" si="37"/>
        <v>1693157.1529488454</v>
      </c>
      <c r="AR66" s="17">
        <f t="shared" ca="1" si="44"/>
        <v>1663796.7381688138</v>
      </c>
      <c r="AS66" s="148">
        <f t="shared" ca="1" si="38"/>
        <v>707956.46508483519</v>
      </c>
      <c r="AT66" s="48" t="str">
        <f>INDEX('stock fisico '!N:N, MATCH(B66, 'stock fisico '!B:B, 0))</f>
        <v>ELECTRODOMESTICOS Y AIRES ACOND</v>
      </c>
      <c r="AU66" s="46" t="str">
        <f>INDEX('stock fisico '!D:D, MATCH(B66, 'stock fisico '!B:B, 0))</f>
        <v>Aires acondicionados</v>
      </c>
      <c r="AV66" s="43" t="str">
        <f>INDEX('stock fisico '!L:L, MATCH(B66, 'stock fisico '!B:B, 0))</f>
        <v>Samsung</v>
      </c>
    </row>
    <row r="67" spans="1:48" x14ac:dyDescent="0.25">
      <c r="A67" s="48">
        <f>INDEX('stock fisico '!M:M, MATCH(B67, 'stock fisico '!B:B, 0))</f>
        <v>9892</v>
      </c>
      <c r="B67" s="47" t="s">
        <v>1329</v>
      </c>
      <c r="C67" s="46" t="str">
        <f>INDEX('stock fisico '!C:C, MATCH(B67, 'stock fisico '!B:B, 0))</f>
        <v>Contadora De Billetes Portátil Con Display Digital A Pilas Aa Marca Global Electronics</v>
      </c>
      <c r="D67" s="44">
        <f>INDEX('stock fisico '!I:I, MATCH(B67, 'stock fisico '!B:B, 0))</f>
        <v>28000</v>
      </c>
      <c r="E67" s="6">
        <f t="shared" ca="1" si="39"/>
        <v>34146.341463414632</v>
      </c>
      <c r="F67" s="148">
        <f t="shared" ca="1" si="4"/>
        <v>1516.672764067622</v>
      </c>
      <c r="G67" s="148">
        <f t="shared" ca="1" si="5"/>
        <v>924.37209833712552</v>
      </c>
      <c r="H67" s="148">
        <f t="shared" ca="1" si="6"/>
        <v>443.69860720182027</v>
      </c>
      <c r="I67" s="148">
        <f t="shared" ca="1" si="7"/>
        <v>55.462325900227533</v>
      </c>
      <c r="J67" s="148">
        <f t="shared" ca="1" si="8"/>
        <v>110.92465180045507</v>
      </c>
      <c r="K67" s="148">
        <f t="shared" ca="1" si="9"/>
        <v>36974.88393348502</v>
      </c>
      <c r="L67" s="32">
        <f t="shared" ca="1" si="40"/>
        <v>36217.637486484527</v>
      </c>
      <c r="M67" s="148">
        <f t="shared" ca="1" si="10"/>
        <v>1835.2295980730166</v>
      </c>
      <c r="N67" s="148">
        <f t="shared" ca="1" si="11"/>
        <v>1118.5240974140133</v>
      </c>
      <c r="O67" s="148">
        <f t="shared" ca="1" si="12"/>
        <v>536.89156675872641</v>
      </c>
      <c r="P67" s="148">
        <f t="shared" ca="1" si="13"/>
        <v>67.111445844840802</v>
      </c>
      <c r="Q67" s="148">
        <f t="shared" ca="1" si="14"/>
        <v>134.2228916896816</v>
      </c>
      <c r="R67" s="148">
        <f t="shared" ca="1" si="15"/>
        <v>7173.0950367160676</v>
      </c>
      <c r="S67" s="148">
        <f t="shared" ca="1" si="16"/>
        <v>44740.963896560534</v>
      </c>
      <c r="T67" s="28">
        <f t="shared" ca="1" si="41"/>
        <v>43825.780556652127</v>
      </c>
      <c r="U67" s="148">
        <f t="shared" ca="1" si="17"/>
        <v>2121.2285990768137</v>
      </c>
      <c r="V67" s="148">
        <f t="shared" ca="1" si="18"/>
        <v>1564.3278754253788</v>
      </c>
      <c r="W67" s="148">
        <f t="shared" ca="1" si="19"/>
        <v>750.87738020418192</v>
      </c>
      <c r="X67" s="148">
        <f t="shared" ca="1" si="20"/>
        <v>93.85967252552274</v>
      </c>
      <c r="Y67" s="148">
        <f t="shared" ca="1" si="21"/>
        <v>187.71934505104548</v>
      </c>
      <c r="Z67" s="148">
        <f t="shared" ca="1" si="22"/>
        <v>13609.652516200797</v>
      </c>
      <c r="AA67" s="148">
        <f t="shared" ca="1" si="23"/>
        <v>51713.318195880296</v>
      </c>
      <c r="AB67" s="24">
        <f t="shared" ca="1" si="42"/>
        <v>50815.819303947472</v>
      </c>
      <c r="AC67" s="148">
        <f t="shared" ca="1" si="24"/>
        <v>2512.3717275145314</v>
      </c>
      <c r="AD67" s="148">
        <f t="shared" ca="1" si="25"/>
        <v>1852.7815099664685</v>
      </c>
      <c r="AE67" s="148">
        <f t="shared" ca="1" si="26"/>
        <v>889.33512478390492</v>
      </c>
      <c r="AF67" s="148">
        <f t="shared" ca="1" si="27"/>
        <v>111.16689059798811</v>
      </c>
      <c r="AG67" s="148">
        <f t="shared" ca="1" si="28"/>
        <v>222.33378119597623</v>
      </c>
      <c r="AH67" s="148">
        <f t="shared" ca="1" si="29"/>
        <v>22418.656270594271</v>
      </c>
      <c r="AI67" s="148">
        <f t="shared" ca="1" si="30"/>
        <v>61248.975536081605</v>
      </c>
      <c r="AJ67" s="20">
        <f t="shared" ca="1" si="43"/>
        <v>60189.038367503315</v>
      </c>
      <c r="AK67" s="148">
        <f t="shared" ca="1" si="31"/>
        <v>2936.3683424243627</v>
      </c>
      <c r="AL67" s="148">
        <f t="shared" ca="1" si="32"/>
        <v>2165.4633793689991</v>
      </c>
      <c r="AM67" s="148">
        <f t="shared" ca="1" si="33"/>
        <v>1039.4224220971196</v>
      </c>
      <c r="AN67" s="148">
        <f t="shared" ca="1" si="34"/>
        <v>129.92780276213995</v>
      </c>
      <c r="AO67" s="148">
        <f t="shared" ca="1" si="35"/>
        <v>259.85560552427989</v>
      </c>
      <c r="AP67" s="148">
        <f t="shared" ca="1" si="36"/>
        <v>31962.239479486423</v>
      </c>
      <c r="AQ67" s="148">
        <f t="shared" ca="1" si="37"/>
        <v>71585.566260132196</v>
      </c>
      <c r="AR67" s="17">
        <f t="shared" ca="1" si="44"/>
        <v>70344.227312946809</v>
      </c>
      <c r="AS67" s="148">
        <f t="shared" ca="1" si="38"/>
        <v>29931.931807012006</v>
      </c>
      <c r="AT67" s="48" t="str">
        <f>INDEX('stock fisico '!N:N, MATCH(B67, 'stock fisico '!B:B, 0))</f>
        <v>INFORMATICA</v>
      </c>
      <c r="AU67" s="46" t="str">
        <f>INDEX('stock fisico '!D:D, MATCH(B67, 'stock fisico '!B:B, 0))</f>
        <v xml:space="preserve">Contadora de billetes </v>
      </c>
      <c r="AV67" s="43" t="str">
        <f>INDEX('stock fisico '!L:L, MATCH(B67, 'stock fisico '!B:B, 0))</f>
        <v>Global</v>
      </c>
    </row>
    <row r="68" spans="1:48" x14ac:dyDescent="0.25">
      <c r="A68" s="48">
        <f>INDEX('stock fisico '!M:M, MATCH(B68, 'stock fisico '!B:B, 0))</f>
        <v>9937</v>
      </c>
      <c r="B68" s="47" t="s">
        <v>1357</v>
      </c>
      <c r="C68" s="46" t="str">
        <f>INDEX('stock fisico '!C:C, MATCH(B68, 'stock fisico '!B:B, 0))</f>
        <v>SANDWICHERA AIWA AWK-SW100I EAN: 7798111355685</v>
      </c>
      <c r="D68" s="44">
        <f>INDEX('stock fisico '!I:I, MATCH(B68, 'stock fisico '!B:B, 0))</f>
        <v>17433.830000000002</v>
      </c>
      <c r="E68" s="6">
        <f t="shared" ca="1" si="39"/>
        <v>21260.768292682929</v>
      </c>
      <c r="F68" s="148">
        <f t="shared" ca="1" si="4"/>
        <v>944.33625479946556</v>
      </c>
      <c r="G68" s="148">
        <f t="shared" ca="1" si="5"/>
        <v>575.54807211259765</v>
      </c>
      <c r="H68" s="148">
        <f t="shared" ca="1" si="6"/>
        <v>276.26307461404684</v>
      </c>
      <c r="I68" s="148">
        <f t="shared" ca="1" si="7"/>
        <v>34.532884326755855</v>
      </c>
      <c r="J68" s="148">
        <f t="shared" ca="1" si="8"/>
        <v>69.065768653511711</v>
      </c>
      <c r="K68" s="148">
        <f t="shared" ca="1" si="9"/>
        <v>23021.922884503903</v>
      </c>
      <c r="L68" s="32">
        <f t="shared" ca="1" si="40"/>
        <v>22550.433390749953</v>
      </c>
      <c r="M68" s="148">
        <f t="shared" ca="1" si="10"/>
        <v>1142.6814579919037</v>
      </c>
      <c r="N68" s="148">
        <f t="shared" ca="1" si="11"/>
        <v>696.4342487578341</v>
      </c>
      <c r="O68" s="148">
        <f t="shared" ca="1" si="12"/>
        <v>334.28843940376032</v>
      </c>
      <c r="P68" s="148">
        <f t="shared" ca="1" si="13"/>
        <v>41.78605492547004</v>
      </c>
      <c r="Q68" s="148">
        <f t="shared" ca="1" si="14"/>
        <v>83.57210985094008</v>
      </c>
      <c r="R68" s="148">
        <f t="shared" ca="1" si="15"/>
        <v>4466.2328372839893</v>
      </c>
      <c r="S68" s="148">
        <f t="shared" ca="1" si="16"/>
        <v>27857.369950313361</v>
      </c>
      <c r="T68" s="28">
        <f t="shared" ca="1" si="41"/>
        <v>27287.543137213521</v>
      </c>
      <c r="U68" s="148">
        <f t="shared" ca="1" si="17"/>
        <v>1320.7549566944047</v>
      </c>
      <c r="V68" s="148">
        <f t="shared" ca="1" si="18"/>
        <v>974.0080801581156</v>
      </c>
      <c r="W68" s="148">
        <f t="shared" ca="1" si="19"/>
        <v>467.52387847589546</v>
      </c>
      <c r="X68" s="148">
        <f t="shared" ca="1" si="20"/>
        <v>58.440484809486932</v>
      </c>
      <c r="Y68" s="148">
        <f t="shared" ca="1" si="21"/>
        <v>116.88096961897386</v>
      </c>
      <c r="Z68" s="148">
        <f t="shared" ca="1" si="22"/>
        <v>8473.8702973756044</v>
      </c>
      <c r="AA68" s="148">
        <f t="shared" ca="1" si="23"/>
        <v>32198.614220102994</v>
      </c>
      <c r="AB68" s="24">
        <f t="shared" ca="1" si="42"/>
        <v>31639.798394847807</v>
      </c>
      <c r="AC68" s="148">
        <f t="shared" ca="1" si="24"/>
        <v>1564.2950569390953</v>
      </c>
      <c r="AD68" s="148">
        <f t="shared" ca="1" si="25"/>
        <v>1153.6099239963828</v>
      </c>
      <c r="AE68" s="148">
        <f t="shared" ca="1" si="26"/>
        <v>553.73276351826382</v>
      </c>
      <c r="AF68" s="148">
        <f t="shared" ca="1" si="27"/>
        <v>69.216595439782978</v>
      </c>
      <c r="AG68" s="148">
        <f t="shared" ca="1" si="28"/>
        <v>138.43319087956596</v>
      </c>
      <c r="AH68" s="148">
        <f t="shared" ca="1" si="29"/>
        <v>13958.680080356233</v>
      </c>
      <c r="AI68" s="148">
        <f t="shared" ca="1" si="30"/>
        <v>38135.865256078774</v>
      </c>
      <c r="AJ68" s="20">
        <f t="shared" ca="1" si="43"/>
        <v>37475.909384376086</v>
      </c>
      <c r="AK68" s="148">
        <f t="shared" ca="1" si="31"/>
        <v>1828.2909464002905</v>
      </c>
      <c r="AL68" s="148">
        <f t="shared" ca="1" si="32"/>
        <v>1348.2971581123086</v>
      </c>
      <c r="AM68" s="148">
        <f t="shared" ca="1" si="33"/>
        <v>647.18263589390813</v>
      </c>
      <c r="AN68" s="148">
        <f t="shared" ca="1" si="34"/>
        <v>80.897829486738516</v>
      </c>
      <c r="AO68" s="148">
        <f t="shared" ca="1" si="35"/>
        <v>161.79565897347703</v>
      </c>
      <c r="AP68" s="148">
        <f t="shared" ca="1" si="36"/>
        <v>19900.866053737675</v>
      </c>
      <c r="AQ68" s="148">
        <f t="shared" ca="1" si="37"/>
        <v>44571.806879745738</v>
      </c>
      <c r="AR68" s="17">
        <f t="shared" ca="1" si="44"/>
        <v>43798.903587688284</v>
      </c>
      <c r="AS68" s="148">
        <f t="shared" ca="1" si="38"/>
        <v>18636.72181053715</v>
      </c>
      <c r="AT68" s="48" t="str">
        <f>INDEX('stock fisico '!N:N, MATCH(B68, 'stock fisico '!B:B, 0))</f>
        <v>ELECTRODOMESTICOS Y AIRES ACOND</v>
      </c>
      <c r="AU68" s="46" t="str">
        <f>INDEX('stock fisico '!D:D, MATCH(B68, 'stock fisico '!B:B, 0))</f>
        <v xml:space="preserve">Pequeños Electrodomesticos </v>
      </c>
      <c r="AV68" s="43" t="str">
        <f>INDEX('stock fisico '!L:L, MATCH(B68, 'stock fisico '!B:B, 0))</f>
        <v>AIWA</v>
      </c>
    </row>
    <row r="69" spans="1:48" x14ac:dyDescent="0.25">
      <c r="A69" s="48">
        <f>INDEX('stock fisico '!M:M, MATCH(B69, 'stock fisico '!B:B, 0))</f>
        <v>9172</v>
      </c>
      <c r="B69" s="47" t="s">
        <v>1086</v>
      </c>
      <c r="C69" s="46" t="str">
        <f>INDEX('stock fisico '!C:C, MATCH(B69, 'stock fisico '!B:B, 0))</f>
        <v>AIRE ACONDICIONADO BGH SILENT AIR 3300W BS35WCAT PNB045607/8 EAN 7796885456089</v>
      </c>
      <c r="D69" s="44">
        <f>INDEX('stock fisico '!I:I, MATCH(B69, 'stock fisico '!B:B, 0))</f>
        <v>520000</v>
      </c>
      <c r="E69" s="6">
        <f t="shared" ca="1" si="39"/>
        <v>634146.3414634146</v>
      </c>
      <c r="F69" s="148">
        <f t="shared" ca="1" si="4"/>
        <v>28166.779904112984</v>
      </c>
      <c r="G69" s="148">
        <f t="shared" ca="1" si="5"/>
        <v>17166.910397689477</v>
      </c>
      <c r="H69" s="148">
        <f t="shared" ca="1" si="6"/>
        <v>8240.1169908909487</v>
      </c>
      <c r="I69" s="148">
        <f t="shared" ca="1" si="7"/>
        <v>1030.0146238613686</v>
      </c>
      <c r="J69" s="148">
        <f t="shared" ca="1" si="8"/>
        <v>2060.0292477227372</v>
      </c>
      <c r="K69" s="148">
        <f t="shared" ca="1" si="9"/>
        <v>686676.41590757901</v>
      </c>
      <c r="L69" s="32">
        <f t="shared" ca="1" si="40"/>
        <v>672613.26760614128</v>
      </c>
      <c r="M69" s="148">
        <f t="shared" ca="1" si="10"/>
        <v>34082.835392784589</v>
      </c>
      <c r="N69" s="148">
        <f t="shared" ca="1" si="11"/>
        <v>20772.590380545964</v>
      </c>
      <c r="O69" s="148">
        <f t="shared" ca="1" si="12"/>
        <v>9970.8433826620621</v>
      </c>
      <c r="P69" s="148">
        <f t="shared" ca="1" si="13"/>
        <v>1246.3554228327578</v>
      </c>
      <c r="Q69" s="148">
        <f t="shared" ca="1" si="14"/>
        <v>2492.7108456655155</v>
      </c>
      <c r="R69" s="148">
        <f t="shared" ca="1" si="15"/>
        <v>133214.62211044124</v>
      </c>
      <c r="S69" s="148">
        <f t="shared" ca="1" si="16"/>
        <v>830903.61522183847</v>
      </c>
      <c r="T69" s="28">
        <f t="shared" ca="1" si="41"/>
        <v>813907.35319496808</v>
      </c>
      <c r="U69" s="148">
        <f t="shared" ca="1" si="17"/>
        <v>39394.245411426542</v>
      </c>
      <c r="V69" s="148">
        <f t="shared" ca="1" si="18"/>
        <v>29051.803400757035</v>
      </c>
      <c r="W69" s="148">
        <f t="shared" ca="1" si="19"/>
        <v>13944.865632363377</v>
      </c>
      <c r="X69" s="148">
        <f t="shared" ca="1" si="20"/>
        <v>1743.1082040454221</v>
      </c>
      <c r="Y69" s="148">
        <f t="shared" ca="1" si="21"/>
        <v>3486.2164080908442</v>
      </c>
      <c r="Z69" s="148">
        <f t="shared" ca="1" si="22"/>
        <v>252750.6895865862</v>
      </c>
      <c r="AA69" s="148">
        <f t="shared" ca="1" si="23"/>
        <v>960390.1950663483</v>
      </c>
      <c r="AB69" s="24">
        <f t="shared" ca="1" si="42"/>
        <v>943722.35850188159</v>
      </c>
      <c r="AC69" s="148">
        <f t="shared" ca="1" si="24"/>
        <v>46658.332082412722</v>
      </c>
      <c r="AD69" s="148">
        <f t="shared" ca="1" si="25"/>
        <v>34408.79947080584</v>
      </c>
      <c r="AE69" s="148">
        <f t="shared" ca="1" si="26"/>
        <v>16516.223745986805</v>
      </c>
      <c r="AF69" s="148">
        <f t="shared" ca="1" si="27"/>
        <v>2064.5279682483506</v>
      </c>
      <c r="AG69" s="148">
        <f t="shared" ca="1" si="28"/>
        <v>4129.0559364967012</v>
      </c>
      <c r="AH69" s="148">
        <f t="shared" ca="1" si="29"/>
        <v>416346.47359675064</v>
      </c>
      <c r="AI69" s="148">
        <f t="shared" ca="1" si="30"/>
        <v>1137480.9742415154</v>
      </c>
      <c r="AJ69" s="20">
        <f t="shared" ca="1" si="43"/>
        <v>1117796.4268250614</v>
      </c>
      <c r="AK69" s="148">
        <f t="shared" ca="1" si="31"/>
        <v>54532.554930738159</v>
      </c>
      <c r="AL69" s="148">
        <f t="shared" ca="1" si="32"/>
        <v>40215.748473995693</v>
      </c>
      <c r="AM69" s="148">
        <f t="shared" ca="1" si="33"/>
        <v>19303.559267517932</v>
      </c>
      <c r="AN69" s="148">
        <f t="shared" ca="1" si="34"/>
        <v>2412.9449084397415</v>
      </c>
      <c r="AO69" s="148">
        <f t="shared" ca="1" si="35"/>
        <v>4825.8898168794831</v>
      </c>
      <c r="AP69" s="148">
        <f t="shared" ca="1" si="36"/>
        <v>593584.44747617643</v>
      </c>
      <c r="AQ69" s="148">
        <f t="shared" ca="1" si="37"/>
        <v>1329446.2305453122</v>
      </c>
      <c r="AR69" s="17">
        <f t="shared" ca="1" si="44"/>
        <v>1306392.7929547266</v>
      </c>
      <c r="AS69" s="148">
        <f t="shared" ca="1" si="38"/>
        <v>555878.73355879448</v>
      </c>
      <c r="AT69" s="48" t="str">
        <f>INDEX('stock fisico '!N:N, MATCH(B69, 'stock fisico '!B:B, 0))</f>
        <v>ELECTRODOMESTICOS Y AIRES ACOND</v>
      </c>
      <c r="AU69" s="46" t="str">
        <f>INDEX('stock fisico '!D:D, MATCH(B69, 'stock fisico '!B:B, 0))</f>
        <v>Aires acondicionados</v>
      </c>
      <c r="AV69" s="43" t="str">
        <f>INDEX('stock fisico '!L:L, MATCH(B69, 'stock fisico '!B:B, 0))</f>
        <v>Bgh</v>
      </c>
    </row>
    <row r="70" spans="1:48" x14ac:dyDescent="0.25">
      <c r="A70" s="48">
        <f>INDEX('stock fisico '!M:M, MATCH(B70, 'stock fisico '!B:B, 0))</f>
        <v>9857</v>
      </c>
      <c r="B70" s="47" t="s">
        <v>1211</v>
      </c>
      <c r="C70" s="46" t="str">
        <f>INDEX('stock fisico '!C:C, MATCH(B70, 'stock fisico '!B:B, 0))</f>
        <v>PARLANTE NETMAK FLOW PORTABLE 10W AZUL EAN 0700306602266</v>
      </c>
      <c r="D70" s="44">
        <f>INDEX('stock fisico '!I:I, MATCH(B70, 'stock fisico '!B:B, 0))</f>
        <v>13802.57</v>
      </c>
      <c r="E70" s="6">
        <f t="shared" ca="1" si="39"/>
        <v>16832.40243902439</v>
      </c>
      <c r="F70" s="148">
        <f t="shared" ref="F70:F132" ca="1" si="45">K70*$F$3</f>
        <v>747.6422140406014</v>
      </c>
      <c r="G70" s="148">
        <f t="shared" ref="G70:G132" ca="1" si="46">K70*$G$2</f>
        <v>455.66823547660925</v>
      </c>
      <c r="H70" s="148">
        <f t="shared" ref="H70:H132" ca="1" si="47">K70*$H$2</f>
        <v>218.72075302877244</v>
      </c>
      <c r="I70" s="148">
        <f t="shared" ref="I70:I132" ca="1" si="48">K70*$I$2</f>
        <v>27.340094128596554</v>
      </c>
      <c r="J70" s="148">
        <f t="shared" ref="J70:J132" ca="1" si="49">K70*$J$2</f>
        <v>54.680188257193109</v>
      </c>
      <c r="K70" s="148">
        <f t="shared" ref="K70:K132" ca="1" si="50">E70*$J$1</f>
        <v>18226.72941906437</v>
      </c>
      <c r="L70" s="32">
        <f t="shared" ref="L70:L133" ca="1" si="51">F70+H70+J70+E70</f>
        <v>17853.445594350957</v>
      </c>
      <c r="M70" s="148">
        <f t="shared" ref="M70:M132" ca="1" si="52">S70*$M$3</f>
        <v>904.67446405266708</v>
      </c>
      <c r="N70" s="148">
        <f t="shared" ref="N70:N132" ca="1" si="53">S70*$N$2</f>
        <v>551.37525540156219</v>
      </c>
      <c r="O70" s="148">
        <f t="shared" ref="O70:O132" ca="1" si="54">S70*$O$2</f>
        <v>264.66012259274981</v>
      </c>
      <c r="P70" s="148">
        <f t="shared" ref="P70:P132" ca="1" si="55">S70*$P$2</f>
        <v>33.082515324093727</v>
      </c>
      <c r="Q70" s="148">
        <f t="shared" ref="Q70:Q132" ca="1" si="56">S70*$Q$2</f>
        <v>66.165030648187454</v>
      </c>
      <c r="R70" s="148">
        <f t="shared" ref="R70:R132" ca="1" si="57">S70*$R$3</f>
        <v>3535.9695128902176</v>
      </c>
      <c r="S70" s="148">
        <f t="shared" ref="S70:S132" ca="1" si="58">E70*$S$1</f>
        <v>22055.010216062485</v>
      </c>
      <c r="T70" s="28">
        <f t="shared" ref="T70:T133" ca="1" si="59">R70+Q70+O70+M70+E70</f>
        <v>21603.871569208211</v>
      </c>
      <c r="U70" s="148">
        <f t="shared" ref="U70:U132" ca="1" si="60">AA70*$U$3</f>
        <v>1045.6573651699878</v>
      </c>
      <c r="V70" s="148">
        <f t="shared" ref="V70:V132" ca="1" si="61">AA70*$V$3</f>
        <v>771.13375012535971</v>
      </c>
      <c r="W70" s="148">
        <f t="shared" ref="W70:W132" ca="1" si="62">AA70*$W$3</f>
        <v>370.14420006017269</v>
      </c>
      <c r="X70" s="148">
        <f t="shared" ref="X70:X132" ca="1" si="63">AA70*$X$3</f>
        <v>46.268025007521587</v>
      </c>
      <c r="Y70" s="148">
        <f t="shared" ref="Y70:Y132" ca="1" si="64">AA70*$Y$3</f>
        <v>92.536050015043173</v>
      </c>
      <c r="Z70" s="148">
        <f t="shared" ref="Z70:Z132" ca="1" si="65">AA70*$Z$3</f>
        <v>6708.8636260906296</v>
      </c>
      <c r="AA70" s="148">
        <f t="shared" ref="AA70:AA132" ca="1" si="66">E70*$AA$1</f>
        <v>25492.024797532555</v>
      </c>
      <c r="AB70" s="24">
        <f t="shared" ref="AB70:AB133" ca="1" si="67">U70+W70+Y70+Z70+E70</f>
        <v>25049.603680360226</v>
      </c>
      <c r="AC70" s="148">
        <f t="shared" ref="AC70:AC132" ca="1" si="68">AI70*$AC$3</f>
        <v>1238.4709512514373</v>
      </c>
      <c r="AD70" s="148">
        <f t="shared" ref="AD70:AD132" ca="1" si="69">AI70*$AD$3</f>
        <v>913.32666021492423</v>
      </c>
      <c r="AE70" s="148">
        <f t="shared" ref="AE70:AE132" ca="1" si="70">AI70*$AE$3</f>
        <v>438.39679690316365</v>
      </c>
      <c r="AF70" s="148">
        <f t="shared" ref="AF70:AF132" ca="1" si="71">AI70*$AF$3</f>
        <v>54.799599612895456</v>
      </c>
      <c r="AG70" s="148">
        <f t="shared" ref="AG70:AG132" ca="1" si="72">AI70*$AG$3</f>
        <v>109.59919922579091</v>
      </c>
      <c r="AH70" s="148">
        <f t="shared" ref="AH70:AH132" ca="1" si="73">AI70*$AH$3</f>
        <v>11051.252588600584</v>
      </c>
      <c r="AI70" s="148">
        <f t="shared" ref="AI70:AI132" ca="1" si="74">E70*$AI$1</f>
        <v>30192.616866609067</v>
      </c>
      <c r="AJ70" s="20">
        <f t="shared" ref="AJ70:AJ133" ca="1" si="75">AC70+AE70+AG70+AH70+E70</f>
        <v>29670.121975005364</v>
      </c>
      <c r="AK70" s="148">
        <f t="shared" ref="AK70:AK132" ca="1" si="76">AQ70*$AK$3</f>
        <v>1447.4796282891512</v>
      </c>
      <c r="AL70" s="148">
        <f t="shared" ref="AL70:AL132" ca="1" si="77">AQ70*$AL$3</f>
        <v>1067.462852720613</v>
      </c>
      <c r="AM70" s="148">
        <f t="shared" ref="AM70:AM132" ca="1" si="78">AQ70*$AM$3</f>
        <v>512.38216930589419</v>
      </c>
      <c r="AN70" s="148">
        <f t="shared" ref="AN70:AN132" ca="1" si="79">AQ70*$AN$3</f>
        <v>64.047771163236774</v>
      </c>
      <c r="AO70" s="148">
        <f t="shared" ref="AO70:AO132" ca="1" si="80">AQ70*$AO$3</f>
        <v>128.09554232647355</v>
      </c>
      <c r="AP70" s="148">
        <f t="shared" ref="AP70:AP132" ca="1" si="81">AQ70*$AP$3</f>
        <v>15755.751706156248</v>
      </c>
      <c r="AQ70" s="148">
        <f t="shared" ref="AQ70:AQ132" ca="1" si="82">E70*$AQ$1</f>
        <v>35288.028189111174</v>
      </c>
      <c r="AR70" s="17">
        <f t="shared" ref="AR70:AR133" ca="1" si="83">AK70+AM70+AO70+AP70+E70</f>
        <v>34676.111485102156</v>
      </c>
      <c r="AS70" s="148">
        <f t="shared" ref="AS70:AS132" ca="1" si="84">L70/1.21</f>
        <v>14754.913714339635</v>
      </c>
      <c r="AT70" s="48" t="str">
        <f>INDEX('stock fisico '!N:N, MATCH(B70, 'stock fisico '!B:B, 0))</f>
        <v>TV-AUDIO-VIDEO</v>
      </c>
      <c r="AU70" s="46" t="str">
        <f>INDEX('stock fisico '!D:D, MATCH(B70, 'stock fisico '!B:B, 0))</f>
        <v>Parlantes</v>
      </c>
      <c r="AV70" s="43" t="str">
        <f>INDEX('stock fisico '!L:L, MATCH(B70, 'stock fisico '!B:B, 0))</f>
        <v>Netmak</v>
      </c>
    </row>
    <row r="71" spans="1:48" x14ac:dyDescent="0.25">
      <c r="A71" s="48">
        <f>INDEX('stock fisico '!M:M, MATCH(B71, 'stock fisico '!B:B, 0))</f>
        <v>9924</v>
      </c>
      <c r="B71" s="47" t="s">
        <v>1379</v>
      </c>
      <c r="C71" s="46" t="str">
        <f>INDEX('stock fisico '!C:C, MATCH(B71, 'stock fisico '!B:B, 0))</f>
        <v xml:space="preserve">ANAFE DOBLE AIWA AWK-AN202 EAN </v>
      </c>
      <c r="D71" s="44">
        <f>INDEX('stock fisico '!I:I, MATCH(B71, 'stock fisico '!B:B, 0))</f>
        <v>28330.240000000002</v>
      </c>
      <c r="E71" s="6">
        <f t="shared" ref="E71:E134" ca="1" si="85">PrecioConMargen(D71,B71, AV71, AU71, AT71)</f>
        <v>34549.07317073171</v>
      </c>
      <c r="F71" s="148">
        <f t="shared" ca="1" si="45"/>
        <v>1534.5608359821113</v>
      </c>
      <c r="G71" s="148">
        <f t="shared" ca="1" si="46"/>
        <v>935.27440697122756</v>
      </c>
      <c r="H71" s="148">
        <f t="shared" ca="1" si="47"/>
        <v>448.93171534618921</v>
      </c>
      <c r="I71" s="148">
        <f t="shared" ca="1" si="48"/>
        <v>56.116464418273651</v>
      </c>
      <c r="J71" s="148">
        <f t="shared" ca="1" si="49"/>
        <v>112.2329288365473</v>
      </c>
      <c r="K71" s="148">
        <f t="shared" ca="1" si="50"/>
        <v>37410.976278849099</v>
      </c>
      <c r="L71" s="32">
        <f t="shared" ca="1" si="51"/>
        <v>36644.798650896555</v>
      </c>
      <c r="M71" s="148">
        <f t="shared" ca="1" si="52"/>
        <v>1856.8748203040036</v>
      </c>
      <c r="N71" s="148">
        <f t="shared" ca="1" si="53"/>
        <v>1131.7162901972279</v>
      </c>
      <c r="O71" s="148">
        <f t="shared" ca="1" si="54"/>
        <v>543.2238192946694</v>
      </c>
      <c r="P71" s="148">
        <f t="shared" ca="1" si="55"/>
        <v>67.902977411833675</v>
      </c>
      <c r="Q71" s="148">
        <f t="shared" ca="1" si="56"/>
        <v>135.80595482366735</v>
      </c>
      <c r="R71" s="148">
        <f t="shared" ca="1" si="57"/>
        <v>7257.6965690348225</v>
      </c>
      <c r="S71" s="148">
        <f t="shared" ca="1" si="58"/>
        <v>45268.651607889115</v>
      </c>
      <c r="T71" s="28">
        <f t="shared" ca="1" si="59"/>
        <v>44342.674334188872</v>
      </c>
      <c r="U71" s="148">
        <f t="shared" ca="1" si="60"/>
        <v>2146.2469752396401</v>
      </c>
      <c r="V71" s="148">
        <f t="shared" ca="1" si="61"/>
        <v>1582.7780053389674</v>
      </c>
      <c r="W71" s="148">
        <f t="shared" ca="1" si="62"/>
        <v>759.73344256270434</v>
      </c>
      <c r="X71" s="148">
        <f t="shared" ca="1" si="63"/>
        <v>94.966680320338043</v>
      </c>
      <c r="Y71" s="148">
        <f t="shared" ca="1" si="64"/>
        <v>189.93336064067609</v>
      </c>
      <c r="Z71" s="148">
        <f t="shared" ca="1" si="65"/>
        <v>13770.168646449016</v>
      </c>
      <c r="AA71" s="148">
        <f t="shared" ca="1" si="66"/>
        <v>52323.23984591628</v>
      </c>
      <c r="AB71" s="24">
        <f t="shared" ca="1" si="67"/>
        <v>51415.155595623743</v>
      </c>
      <c r="AC71" s="148">
        <f t="shared" ca="1" si="68"/>
        <v>2542.0033574893314</v>
      </c>
      <c r="AD71" s="148">
        <f t="shared" ca="1" si="69"/>
        <v>1874.6337444611588</v>
      </c>
      <c r="AE71" s="148">
        <f t="shared" ca="1" si="70"/>
        <v>899.82419734135624</v>
      </c>
      <c r="AF71" s="148">
        <f t="shared" ca="1" si="71"/>
        <v>112.47802466766953</v>
      </c>
      <c r="AG71" s="148">
        <f t="shared" ca="1" si="72"/>
        <v>224.95604933533906</v>
      </c>
      <c r="AH71" s="148">
        <f t="shared" ca="1" si="73"/>
        <v>22683.068307980022</v>
      </c>
      <c r="AI71" s="148">
        <f t="shared" ca="1" si="74"/>
        <v>61971.363453261452</v>
      </c>
      <c r="AJ71" s="20">
        <f t="shared" ca="1" si="75"/>
        <v>60898.925082877759</v>
      </c>
      <c r="AK71" s="148">
        <f t="shared" ca="1" si="76"/>
        <v>2971.0007096172994</v>
      </c>
      <c r="AL71" s="148">
        <f t="shared" ca="1" si="77"/>
        <v>2191.0034731690998</v>
      </c>
      <c r="AM71" s="148">
        <f t="shared" ca="1" si="78"/>
        <v>1051.6816671211679</v>
      </c>
      <c r="AN71" s="148">
        <f t="shared" ca="1" si="79"/>
        <v>131.46020839014599</v>
      </c>
      <c r="AO71" s="148">
        <f t="shared" ca="1" si="80"/>
        <v>262.92041678029199</v>
      </c>
      <c r="AP71" s="148">
        <f t="shared" ca="1" si="81"/>
        <v>32339.211263975914</v>
      </c>
      <c r="AQ71" s="148">
        <f t="shared" ca="1" si="82"/>
        <v>72429.866881623137</v>
      </c>
      <c r="AR71" s="17">
        <f t="shared" ca="1" si="83"/>
        <v>71173.887228226376</v>
      </c>
      <c r="AS71" s="148">
        <f t="shared" ca="1" si="84"/>
        <v>30284.957562724427</v>
      </c>
      <c r="AT71" s="48" t="str">
        <f>INDEX('stock fisico '!N:N, MATCH(B71, 'stock fisico '!B:B, 0))</f>
        <v>ELECTRODOMESTICOS Y AIRES ACOND</v>
      </c>
      <c r="AU71" s="46" t="str">
        <f>INDEX('stock fisico '!D:D, MATCH(B71, 'stock fisico '!B:B, 0))</f>
        <v xml:space="preserve">Pequeños Electrodomesticos </v>
      </c>
      <c r="AV71" s="43" t="str">
        <f>INDEX('stock fisico '!L:L, MATCH(B71, 'stock fisico '!B:B, 0))</f>
        <v>AIWA</v>
      </c>
    </row>
    <row r="72" spans="1:48" x14ac:dyDescent="0.25">
      <c r="A72" s="48">
        <f>INDEX('stock fisico '!M:M, MATCH(B72, 'stock fisico '!B:B, 0))</f>
        <v>9302</v>
      </c>
      <c r="B72" s="47" t="s">
        <v>188</v>
      </c>
      <c r="C72" s="46" t="str">
        <f>INDEX('stock fisico '!C:C, MATCH(B72, 'stock fisico '!B:B, 0))</f>
        <v>FREEZER FR2522 GP HC A2 KP BRIKET  EAN:  7798003342557</v>
      </c>
      <c r="D72" s="44">
        <f>INDEX('stock fisico '!I:I, MATCH(B72, 'stock fisico '!B:B, 0))</f>
        <v>502645</v>
      </c>
      <c r="E72" s="6">
        <f t="shared" ca="1" si="85"/>
        <v>612981.70731707313</v>
      </c>
      <c r="F72" s="148">
        <f t="shared" ca="1" si="45"/>
        <v>27226.713624813208</v>
      </c>
      <c r="G72" s="148">
        <f t="shared" ca="1" si="46"/>
        <v>16593.964763166587</v>
      </c>
      <c r="H72" s="148">
        <f t="shared" ca="1" si="47"/>
        <v>7965.1030863199621</v>
      </c>
      <c r="I72" s="148">
        <f t="shared" ca="1" si="48"/>
        <v>995.63788578999527</v>
      </c>
      <c r="J72" s="148">
        <f t="shared" ca="1" si="49"/>
        <v>1991.2757715799905</v>
      </c>
      <c r="K72" s="148">
        <f t="shared" ca="1" si="50"/>
        <v>663758.59052666347</v>
      </c>
      <c r="L72" s="32">
        <f t="shared" ca="1" si="51"/>
        <v>650164.7997997863</v>
      </c>
      <c r="M72" s="148">
        <f t="shared" ca="1" si="52"/>
        <v>32945.320761550407</v>
      </c>
      <c r="N72" s="148">
        <f t="shared" ca="1" si="53"/>
        <v>20079.30517659524</v>
      </c>
      <c r="O72" s="148">
        <f t="shared" ca="1" si="54"/>
        <v>9638.0664847657154</v>
      </c>
      <c r="P72" s="148">
        <f t="shared" ca="1" si="55"/>
        <v>1204.7583105957144</v>
      </c>
      <c r="Q72" s="148">
        <f t="shared" ca="1" si="56"/>
        <v>2409.5166211914288</v>
      </c>
      <c r="R72" s="148">
        <f t="shared" ca="1" si="57"/>
        <v>128768.58409750527</v>
      </c>
      <c r="S72" s="148">
        <f t="shared" ca="1" si="58"/>
        <v>803172.20706380962</v>
      </c>
      <c r="T72" s="28">
        <f t="shared" ca="1" si="59"/>
        <v>786743.19528208592</v>
      </c>
      <c r="U72" s="148">
        <f t="shared" ca="1" si="60"/>
        <v>38079.462470820181</v>
      </c>
      <c r="V72" s="148">
        <f t="shared" ca="1" si="61"/>
        <v>28082.199462256769</v>
      </c>
      <c r="W72" s="148">
        <f t="shared" ca="1" si="62"/>
        <v>13479.455741883248</v>
      </c>
      <c r="X72" s="148">
        <f t="shared" ca="1" si="63"/>
        <v>1684.931967735406</v>
      </c>
      <c r="Y72" s="148">
        <f t="shared" ca="1" si="64"/>
        <v>3369.8639354708121</v>
      </c>
      <c r="Z72" s="148">
        <f t="shared" ca="1" si="65"/>
        <v>244315.13532163389</v>
      </c>
      <c r="AA72" s="148">
        <f t="shared" ca="1" si="66"/>
        <v>928337.17230600887</v>
      </c>
      <c r="AB72" s="24">
        <f t="shared" ca="1" si="67"/>
        <v>912225.62478688126</v>
      </c>
      <c r="AC72" s="148">
        <f t="shared" ca="1" si="68"/>
        <v>45101.1102491622</v>
      </c>
      <c r="AD72" s="148">
        <f t="shared" ca="1" si="69"/>
        <v>33260.405788467695</v>
      </c>
      <c r="AE72" s="148">
        <f t="shared" ca="1" si="70"/>
        <v>15964.994778464496</v>
      </c>
      <c r="AF72" s="148">
        <f t="shared" ca="1" si="71"/>
        <v>1995.6243473080619</v>
      </c>
      <c r="AG72" s="148">
        <f t="shared" ca="1" si="72"/>
        <v>3991.2486946161239</v>
      </c>
      <c r="AH72" s="148">
        <f t="shared" ca="1" si="73"/>
        <v>402450.91004045913</v>
      </c>
      <c r="AI72" s="148">
        <f t="shared" ca="1" si="74"/>
        <v>1099517.5467262049</v>
      </c>
      <c r="AJ72" s="20">
        <f t="shared" ca="1" si="75"/>
        <v>1080489.9710797751</v>
      </c>
      <c r="AK72" s="148">
        <f t="shared" ca="1" si="76"/>
        <v>52712.530909924775</v>
      </c>
      <c r="AL72" s="148">
        <f t="shared" ca="1" si="77"/>
        <v>38873.547868676083</v>
      </c>
      <c r="AM72" s="148">
        <f t="shared" ca="1" si="78"/>
        <v>18659.302976964522</v>
      </c>
      <c r="AN72" s="148">
        <f t="shared" ca="1" si="79"/>
        <v>2332.4128721205652</v>
      </c>
      <c r="AO72" s="148">
        <f t="shared" ca="1" si="80"/>
        <v>4664.8257442411305</v>
      </c>
      <c r="AP72" s="148">
        <f t="shared" ca="1" si="81"/>
        <v>573773.56654165906</v>
      </c>
      <c r="AQ72" s="148">
        <f t="shared" ca="1" si="82"/>
        <v>1285075.9626008624</v>
      </c>
      <c r="AR72" s="17">
        <f t="shared" ca="1" si="83"/>
        <v>1262791.9334898626</v>
      </c>
      <c r="AS72" s="148">
        <f t="shared" ca="1" si="84"/>
        <v>537326.28082626965</v>
      </c>
      <c r="AT72" s="48" t="str">
        <f>INDEX('stock fisico '!N:N, MATCH(B72, 'stock fisico '!B:B, 0))</f>
        <v>ELECTRODOMESTICOS Y AIRES ACOND</v>
      </c>
      <c r="AU72" s="46" t="str">
        <f>INDEX('stock fisico '!D:D, MATCH(B72, 'stock fisico '!B:B, 0))</f>
        <v>Freezer</v>
      </c>
      <c r="AV72" s="43" t="str">
        <f>INDEX('stock fisico '!L:L, MATCH(B72, 'stock fisico '!B:B, 0))</f>
        <v>Briket</v>
      </c>
    </row>
    <row r="73" spans="1:48" x14ac:dyDescent="0.25">
      <c r="A73" s="48">
        <f>INDEX('stock fisico '!M:M, MATCH(B73, 'stock fisico '!B:B, 0))</f>
        <v>3659</v>
      </c>
      <c r="B73" s="47" t="s">
        <v>184</v>
      </c>
      <c r="C73" s="46" t="str">
        <f>INDEX('stock fisico '!C:C, MATCH(B73, 'stock fisico '!B:B, 0))</f>
        <v>CABLE HDMI A MINI HDMI 3 METROS  TL-HDMMII30  T-LINE  EAN:  NO TIENE</v>
      </c>
      <c r="D73" s="44">
        <f>INDEX('stock fisico '!I:I, MATCH(B73, 'stock fisico '!B:B, 0))</f>
        <v>2954.55</v>
      </c>
      <c r="E73" s="6">
        <f t="shared" ca="1" si="85"/>
        <v>3603.1097560975613</v>
      </c>
      <c r="F73" s="148">
        <f t="shared" ca="1" si="45"/>
        <v>160.0387683955712</v>
      </c>
      <c r="G73" s="148">
        <f t="shared" ca="1" si="46"/>
        <v>97.539413683641243</v>
      </c>
      <c r="H73" s="148">
        <f t="shared" ca="1" si="47"/>
        <v>46.818918568147794</v>
      </c>
      <c r="I73" s="148">
        <f t="shared" ca="1" si="48"/>
        <v>5.8523648210184742</v>
      </c>
      <c r="J73" s="148">
        <f t="shared" ca="1" si="49"/>
        <v>11.704729642036948</v>
      </c>
      <c r="K73" s="148">
        <f t="shared" ca="1" si="50"/>
        <v>3901.5765473456495</v>
      </c>
      <c r="L73" s="32">
        <f t="shared" ca="1" si="51"/>
        <v>3821.6721727033173</v>
      </c>
      <c r="M73" s="148">
        <f t="shared" ca="1" si="52"/>
        <v>193.65277174952257</v>
      </c>
      <c r="N73" s="148">
        <f t="shared" ca="1" si="53"/>
        <v>118.02626328623478</v>
      </c>
      <c r="O73" s="148">
        <f t="shared" ca="1" si="54"/>
        <v>56.652606377392694</v>
      </c>
      <c r="P73" s="148">
        <f t="shared" ca="1" si="55"/>
        <v>7.0815757971740867</v>
      </c>
      <c r="Q73" s="148">
        <f t="shared" ca="1" si="56"/>
        <v>14.163151594348173</v>
      </c>
      <c r="R73" s="148">
        <f t="shared" ca="1" si="57"/>
        <v>756.90242645462365</v>
      </c>
      <c r="S73" s="148">
        <f t="shared" ca="1" si="58"/>
        <v>4721.0505314493912</v>
      </c>
      <c r="T73" s="28">
        <f t="shared" ca="1" si="59"/>
        <v>4624.4807122734483</v>
      </c>
      <c r="U73" s="148">
        <f t="shared" ca="1" si="60"/>
        <v>223.83128419294289</v>
      </c>
      <c r="V73" s="148">
        <f t="shared" ca="1" si="61"/>
        <v>165.06731872635905</v>
      </c>
      <c r="W73" s="148">
        <f t="shared" ca="1" si="62"/>
        <v>79.232312988652353</v>
      </c>
      <c r="X73" s="148">
        <f t="shared" ca="1" si="63"/>
        <v>9.9040391235815441</v>
      </c>
      <c r="Y73" s="148">
        <f t="shared" ca="1" si="64"/>
        <v>19.808078247163088</v>
      </c>
      <c r="Z73" s="148">
        <f t="shared" ca="1" si="65"/>
        <v>1436.0856729193238</v>
      </c>
      <c r="AA73" s="148">
        <f t="shared" ca="1" si="66"/>
        <v>5456.7708669870763</v>
      </c>
      <c r="AB73" s="24">
        <f t="shared" ca="1" si="67"/>
        <v>5362.0671044456431</v>
      </c>
      <c r="AC73" s="148">
        <f t="shared" ca="1" si="68"/>
        <v>265.1045674117164</v>
      </c>
      <c r="AD73" s="148">
        <f t="shared" ca="1" si="69"/>
        <v>195.50484322397963</v>
      </c>
      <c r="AE73" s="148">
        <f t="shared" ca="1" si="70"/>
        <v>93.842324747510233</v>
      </c>
      <c r="AF73" s="148">
        <f t="shared" ca="1" si="71"/>
        <v>11.730290593438779</v>
      </c>
      <c r="AG73" s="148">
        <f t="shared" ca="1" si="72"/>
        <v>23.460581186877558</v>
      </c>
      <c r="AH73" s="148">
        <f t="shared" ca="1" si="73"/>
        <v>2365.6086030101537</v>
      </c>
      <c r="AI73" s="148">
        <f t="shared" ca="1" si="74"/>
        <v>6462.9700239332115</v>
      </c>
      <c r="AJ73" s="20">
        <f t="shared" ca="1" si="75"/>
        <v>6351.1258324538194</v>
      </c>
      <c r="AK73" s="148">
        <f t="shared" ca="1" si="76"/>
        <v>309.84453878963933</v>
      </c>
      <c r="AL73" s="148">
        <f t="shared" ca="1" si="77"/>
        <v>228.49892241123842</v>
      </c>
      <c r="AM73" s="148">
        <f t="shared" ca="1" si="78"/>
        <v>109.67948275739445</v>
      </c>
      <c r="AN73" s="148">
        <f t="shared" ca="1" si="79"/>
        <v>13.709935344674307</v>
      </c>
      <c r="AO73" s="148">
        <f t="shared" ca="1" si="80"/>
        <v>27.419870689348613</v>
      </c>
      <c r="AP73" s="148">
        <f t="shared" ca="1" si="81"/>
        <v>3372.6440947898795</v>
      </c>
      <c r="AQ73" s="148">
        <f t="shared" ca="1" si="82"/>
        <v>7553.6833854954857</v>
      </c>
      <c r="AR73" s="17">
        <f t="shared" ca="1" si="83"/>
        <v>7422.6977431238229</v>
      </c>
      <c r="AS73" s="148">
        <f t="shared" ca="1" si="84"/>
        <v>3158.4067543002625</v>
      </c>
      <c r="AT73" s="48" t="str">
        <f>INDEX('stock fisico '!N:N, MATCH(B73, 'stock fisico '!B:B, 0))</f>
        <v>MAS CATEGORIAS</v>
      </c>
      <c r="AU73" s="46" t="str">
        <f>INDEX('stock fisico '!D:D, MATCH(B73, 'stock fisico '!B:B, 0))</f>
        <v>Cables</v>
      </c>
      <c r="AV73" s="43" t="str">
        <f>INDEX('stock fisico '!L:L, MATCH(B73, 'stock fisico '!B:B, 0))</f>
        <v>Tline</v>
      </c>
    </row>
    <row r="74" spans="1:48" x14ac:dyDescent="0.25">
      <c r="A74" s="48">
        <f>INDEX('stock fisico '!M:M, MATCH(B74, 'stock fisico '!B:B, 0))</f>
        <v>9858</v>
      </c>
      <c r="B74" s="47" t="s">
        <v>1212</v>
      </c>
      <c r="C74" s="46" t="str">
        <f>INDEX('stock fisico '!C:C, MATCH(B74, 'stock fisico '!B:B, 0))</f>
        <v>PARLANTE NETMAK FLOW PORTABLE 10W GRIS EAN 0700306602259</v>
      </c>
      <c r="D74" s="44">
        <f>INDEX('stock fisico '!I:I, MATCH(B74, 'stock fisico '!B:B, 0))</f>
        <v>13802.57</v>
      </c>
      <c r="E74" s="6">
        <f t="shared" ca="1" si="85"/>
        <v>16832.40243902439</v>
      </c>
      <c r="F74" s="148">
        <f t="shared" ca="1" si="45"/>
        <v>747.6422140406014</v>
      </c>
      <c r="G74" s="148">
        <f t="shared" ca="1" si="46"/>
        <v>455.66823547660925</v>
      </c>
      <c r="H74" s="148">
        <f t="shared" ca="1" si="47"/>
        <v>218.72075302877244</v>
      </c>
      <c r="I74" s="148">
        <f t="shared" ca="1" si="48"/>
        <v>27.340094128596554</v>
      </c>
      <c r="J74" s="148">
        <f t="shared" ca="1" si="49"/>
        <v>54.680188257193109</v>
      </c>
      <c r="K74" s="148">
        <f t="shared" ca="1" si="50"/>
        <v>18226.72941906437</v>
      </c>
      <c r="L74" s="32">
        <f t="shared" ca="1" si="51"/>
        <v>17853.445594350957</v>
      </c>
      <c r="M74" s="148">
        <f t="shared" ca="1" si="52"/>
        <v>904.67446405266708</v>
      </c>
      <c r="N74" s="148">
        <f t="shared" ca="1" si="53"/>
        <v>551.37525540156219</v>
      </c>
      <c r="O74" s="148">
        <f t="shared" ca="1" si="54"/>
        <v>264.66012259274981</v>
      </c>
      <c r="P74" s="148">
        <f t="shared" ca="1" si="55"/>
        <v>33.082515324093727</v>
      </c>
      <c r="Q74" s="148">
        <f t="shared" ca="1" si="56"/>
        <v>66.165030648187454</v>
      </c>
      <c r="R74" s="148">
        <f t="shared" ca="1" si="57"/>
        <v>3535.9695128902176</v>
      </c>
      <c r="S74" s="148">
        <f t="shared" ca="1" si="58"/>
        <v>22055.010216062485</v>
      </c>
      <c r="T74" s="28">
        <f t="shared" ca="1" si="59"/>
        <v>21603.871569208211</v>
      </c>
      <c r="U74" s="148">
        <f t="shared" ca="1" si="60"/>
        <v>1045.6573651699878</v>
      </c>
      <c r="V74" s="148">
        <f t="shared" ca="1" si="61"/>
        <v>771.13375012535971</v>
      </c>
      <c r="W74" s="148">
        <f t="shared" ca="1" si="62"/>
        <v>370.14420006017269</v>
      </c>
      <c r="X74" s="148">
        <f t="shared" ca="1" si="63"/>
        <v>46.268025007521587</v>
      </c>
      <c r="Y74" s="148">
        <f t="shared" ca="1" si="64"/>
        <v>92.536050015043173</v>
      </c>
      <c r="Z74" s="148">
        <f t="shared" ca="1" si="65"/>
        <v>6708.8636260906296</v>
      </c>
      <c r="AA74" s="148">
        <f t="shared" ca="1" si="66"/>
        <v>25492.024797532555</v>
      </c>
      <c r="AB74" s="24">
        <f t="shared" ca="1" si="67"/>
        <v>25049.603680360226</v>
      </c>
      <c r="AC74" s="148">
        <f t="shared" ca="1" si="68"/>
        <v>1238.4709512514373</v>
      </c>
      <c r="AD74" s="148">
        <f t="shared" ca="1" si="69"/>
        <v>913.32666021492423</v>
      </c>
      <c r="AE74" s="148">
        <f t="shared" ca="1" si="70"/>
        <v>438.39679690316365</v>
      </c>
      <c r="AF74" s="148">
        <f t="shared" ca="1" si="71"/>
        <v>54.799599612895456</v>
      </c>
      <c r="AG74" s="148">
        <f t="shared" ca="1" si="72"/>
        <v>109.59919922579091</v>
      </c>
      <c r="AH74" s="148">
        <f t="shared" ca="1" si="73"/>
        <v>11051.252588600584</v>
      </c>
      <c r="AI74" s="148">
        <f t="shared" ca="1" si="74"/>
        <v>30192.616866609067</v>
      </c>
      <c r="AJ74" s="20">
        <f t="shared" ca="1" si="75"/>
        <v>29670.121975005364</v>
      </c>
      <c r="AK74" s="148">
        <f t="shared" ca="1" si="76"/>
        <v>1447.4796282891512</v>
      </c>
      <c r="AL74" s="148">
        <f t="shared" ca="1" si="77"/>
        <v>1067.462852720613</v>
      </c>
      <c r="AM74" s="148">
        <f t="shared" ca="1" si="78"/>
        <v>512.38216930589419</v>
      </c>
      <c r="AN74" s="148">
        <f t="shared" ca="1" si="79"/>
        <v>64.047771163236774</v>
      </c>
      <c r="AO74" s="148">
        <f t="shared" ca="1" si="80"/>
        <v>128.09554232647355</v>
      </c>
      <c r="AP74" s="148">
        <f t="shared" ca="1" si="81"/>
        <v>15755.751706156248</v>
      </c>
      <c r="AQ74" s="148">
        <f t="shared" ca="1" si="82"/>
        <v>35288.028189111174</v>
      </c>
      <c r="AR74" s="17">
        <f t="shared" ca="1" si="83"/>
        <v>34676.111485102156</v>
      </c>
      <c r="AS74" s="148">
        <f t="shared" ca="1" si="84"/>
        <v>14754.913714339635</v>
      </c>
      <c r="AT74" s="48" t="str">
        <f>INDEX('stock fisico '!N:N, MATCH(B74, 'stock fisico '!B:B, 0))</f>
        <v>TV-AUDIO-VIDEO</v>
      </c>
      <c r="AU74" s="46" t="str">
        <f>INDEX('stock fisico '!D:D, MATCH(B74, 'stock fisico '!B:B, 0))</f>
        <v>Parlantes</v>
      </c>
      <c r="AV74" s="43" t="str">
        <f>INDEX('stock fisico '!L:L, MATCH(B74, 'stock fisico '!B:B, 0))</f>
        <v>Netmak</v>
      </c>
    </row>
    <row r="75" spans="1:48" x14ac:dyDescent="0.25">
      <c r="A75" s="48">
        <f>INDEX('stock fisico '!M:M, MATCH(B75, 'stock fisico '!B:B, 0))</f>
        <v>7375</v>
      </c>
      <c r="B75" s="47" t="s">
        <v>1003</v>
      </c>
      <c r="C75" s="46" t="str">
        <f>INDEX('stock fisico '!C:C, MATCH(B75, 'stock fisico '!B:B, 0))</f>
        <v>SMART TV 55" RCA G55P6UHD GOOGLE 4K EAN: 7796941251047</v>
      </c>
      <c r="D75" s="44">
        <f>INDEX('stock fisico '!I:I, MATCH(B75, 'stock fisico '!B:B, 0))</f>
        <v>429317</v>
      </c>
      <c r="E75" s="6">
        <f t="shared" ca="1" si="85"/>
        <v>523557.31707317074</v>
      </c>
      <c r="F75" s="148">
        <f t="shared" ca="1" si="45"/>
        <v>23254.764323257834</v>
      </c>
      <c r="G75" s="148">
        <f t="shared" ca="1" si="46"/>
        <v>14173.166290778563</v>
      </c>
      <c r="H75" s="148">
        <f t="shared" ca="1" si="47"/>
        <v>6803.1198195737097</v>
      </c>
      <c r="I75" s="148">
        <f t="shared" ca="1" si="48"/>
        <v>850.38997744671371</v>
      </c>
      <c r="J75" s="148">
        <f t="shared" ca="1" si="49"/>
        <v>1700.7799548934274</v>
      </c>
      <c r="K75" s="148">
        <f t="shared" ca="1" si="50"/>
        <v>566926.65163114248</v>
      </c>
      <c r="L75" s="32">
        <f t="shared" ca="1" si="51"/>
        <v>555315.98117089574</v>
      </c>
      <c r="M75" s="148">
        <f t="shared" ca="1" si="52"/>
        <v>28139.116619854045</v>
      </c>
      <c r="N75" s="148">
        <f t="shared" ca="1" si="53"/>
        <v>17150.050354624716</v>
      </c>
      <c r="O75" s="148">
        <f t="shared" ca="1" si="54"/>
        <v>8232.0241702198637</v>
      </c>
      <c r="P75" s="148">
        <f t="shared" ca="1" si="55"/>
        <v>1029.003021277483</v>
      </c>
      <c r="Q75" s="148">
        <f t="shared" ca="1" si="56"/>
        <v>2058.0060425549659</v>
      </c>
      <c r="R75" s="148">
        <f t="shared" ca="1" si="57"/>
        <v>109983.27292420829</v>
      </c>
      <c r="S75" s="148">
        <f t="shared" ca="1" si="58"/>
        <v>686002.01418498857</v>
      </c>
      <c r="T75" s="28">
        <f t="shared" ca="1" si="59"/>
        <v>671969.73683000787</v>
      </c>
      <c r="U75" s="148">
        <f t="shared" ca="1" si="60"/>
        <v>32524.267802495015</v>
      </c>
      <c r="V75" s="148">
        <f t="shared" ca="1" si="61"/>
        <v>23985.448231928476</v>
      </c>
      <c r="W75" s="148">
        <f t="shared" ca="1" si="62"/>
        <v>11513.01515132567</v>
      </c>
      <c r="X75" s="148">
        <f t="shared" ca="1" si="63"/>
        <v>1439.1268939157087</v>
      </c>
      <c r="Y75" s="148">
        <f t="shared" ca="1" si="64"/>
        <v>2878.2537878314174</v>
      </c>
      <c r="Z75" s="148">
        <f t="shared" ca="1" si="65"/>
        <v>208673.39961777776</v>
      </c>
      <c r="AA75" s="148">
        <f t="shared" ca="1" si="66"/>
        <v>792907.37956788356</v>
      </c>
      <c r="AB75" s="24">
        <f t="shared" ca="1" si="67"/>
        <v>779146.25343260053</v>
      </c>
      <c r="AC75" s="148">
        <f t="shared" ca="1" si="68"/>
        <v>38521.567605048433</v>
      </c>
      <c r="AD75" s="148">
        <f t="shared" ca="1" si="69"/>
        <v>28408.235696938373</v>
      </c>
      <c r="AE75" s="148">
        <f t="shared" ca="1" si="70"/>
        <v>13635.953134530419</v>
      </c>
      <c r="AF75" s="148">
        <f t="shared" ca="1" si="71"/>
        <v>1704.4941418163023</v>
      </c>
      <c r="AG75" s="148">
        <f t="shared" ca="1" si="72"/>
        <v>3408.9882836326046</v>
      </c>
      <c r="AH75" s="148">
        <f t="shared" ca="1" si="73"/>
        <v>343739.65193295432</v>
      </c>
      <c r="AI75" s="148">
        <f t="shared" ca="1" si="74"/>
        <v>939115.2296508553</v>
      </c>
      <c r="AJ75" s="20">
        <f t="shared" ca="1" si="75"/>
        <v>922863.47802933655</v>
      </c>
      <c r="AK75" s="148">
        <f t="shared" ca="1" si="76"/>
        <v>45022.601702307147</v>
      </c>
      <c r="AL75" s="148">
        <f t="shared" ca="1" si="77"/>
        <v>33202.50863002002</v>
      </c>
      <c r="AM75" s="148">
        <f t="shared" ca="1" si="78"/>
        <v>15937.20414240961</v>
      </c>
      <c r="AN75" s="148">
        <f t="shared" ca="1" si="79"/>
        <v>1992.1505178012012</v>
      </c>
      <c r="AO75" s="148">
        <f t="shared" ca="1" si="80"/>
        <v>3984.3010356024024</v>
      </c>
      <c r="AP75" s="148">
        <f t="shared" ca="1" si="81"/>
        <v>490069.0273790955</v>
      </c>
      <c r="AQ75" s="148">
        <f t="shared" ca="1" si="82"/>
        <v>1097603.591075042</v>
      </c>
      <c r="AR75" s="17">
        <f t="shared" ca="1" si="83"/>
        <v>1078570.4513325854</v>
      </c>
      <c r="AS75" s="148">
        <f t="shared" ca="1" si="84"/>
        <v>458938.82741396344</v>
      </c>
      <c r="AT75" s="48" t="str">
        <f>INDEX('stock fisico '!N:N, MATCH(B75, 'stock fisico '!B:B, 0))</f>
        <v>TV-AUDIO-VIDEO</v>
      </c>
      <c r="AU75" s="46" t="str">
        <f>INDEX('stock fisico '!D:D, MATCH(B75, 'stock fisico '!B:B, 0))</f>
        <v>Televisores</v>
      </c>
      <c r="AV75" s="43" t="str">
        <f>INDEX('stock fisico '!L:L, MATCH(B75, 'stock fisico '!B:B, 0))</f>
        <v>Rca</v>
      </c>
    </row>
    <row r="76" spans="1:48" x14ac:dyDescent="0.25">
      <c r="A76" s="48">
        <f>INDEX('stock fisico '!M:M, MATCH(B76, 'stock fisico '!B:B, 0))</f>
        <v>9906</v>
      </c>
      <c r="B76" s="47" t="s">
        <v>1412</v>
      </c>
      <c r="C76" s="46" t="str">
        <f>INDEX('stock fisico '!C:C, MATCH(B76, 'stock fisico '!B:B, 0))</f>
        <v>PARLANTE AIWA AW-PP2016 1X6 5W PMPO EAN 7798111354701</v>
      </c>
      <c r="D76" s="44">
        <f>INDEX('stock fisico '!I:I, MATCH(B76, 'stock fisico '!B:B, 0))</f>
        <v>97661.68</v>
      </c>
      <c r="E76" s="6">
        <f t="shared" ca="1" si="85"/>
        <v>119099.60975609755</v>
      </c>
      <c r="F76" s="148">
        <f t="shared" ca="1" si="45"/>
        <v>5290.0289338959856</v>
      </c>
      <c r="G76" s="148">
        <f t="shared" ca="1" si="46"/>
        <v>3224.1332881688886</v>
      </c>
      <c r="H76" s="148">
        <f t="shared" ca="1" si="47"/>
        <v>1547.5839783210665</v>
      </c>
      <c r="I76" s="148">
        <f t="shared" ca="1" si="48"/>
        <v>193.44799729013332</v>
      </c>
      <c r="J76" s="148">
        <f t="shared" ca="1" si="49"/>
        <v>386.89599458026663</v>
      </c>
      <c r="K76" s="148">
        <f t="shared" ca="1" si="50"/>
        <v>128965.33152675554</v>
      </c>
      <c r="L76" s="32">
        <f t="shared" ca="1" si="51"/>
        <v>126324.11866289486</v>
      </c>
      <c r="M76" s="148">
        <f t="shared" ca="1" si="52"/>
        <v>6401.1287761976973</v>
      </c>
      <c r="N76" s="148">
        <f t="shared" ca="1" si="53"/>
        <v>3901.3193740691495</v>
      </c>
      <c r="O76" s="148">
        <f t="shared" ca="1" si="54"/>
        <v>1872.6332995531918</v>
      </c>
      <c r="P76" s="148">
        <f t="shared" ca="1" si="55"/>
        <v>234.07916244414898</v>
      </c>
      <c r="Q76" s="148">
        <f t="shared" ca="1" si="56"/>
        <v>468.15832488829795</v>
      </c>
      <c r="R76" s="148">
        <f t="shared" ca="1" si="57"/>
        <v>25019.161145905455</v>
      </c>
      <c r="S76" s="148">
        <f t="shared" ca="1" si="58"/>
        <v>156052.77496276598</v>
      </c>
      <c r="T76" s="28">
        <f t="shared" ca="1" si="59"/>
        <v>152860.6913026422</v>
      </c>
      <c r="U76" s="148">
        <f t="shared" ca="1" si="60"/>
        <v>7398.6695946388591</v>
      </c>
      <c r="V76" s="148">
        <f t="shared" ca="1" si="61"/>
        <v>5456.2460137454718</v>
      </c>
      <c r="W76" s="148">
        <f t="shared" ca="1" si="62"/>
        <v>2618.9980865978264</v>
      </c>
      <c r="X76" s="148">
        <f t="shared" ca="1" si="63"/>
        <v>327.3747608247283</v>
      </c>
      <c r="Y76" s="148">
        <f t="shared" ca="1" si="64"/>
        <v>654.7495216494566</v>
      </c>
      <c r="Z76" s="148">
        <f t="shared" ca="1" si="65"/>
        <v>47469.340319585601</v>
      </c>
      <c r="AA76" s="148">
        <f t="shared" ca="1" si="66"/>
        <v>180371.76904943708</v>
      </c>
      <c r="AB76" s="24">
        <f t="shared" ca="1" si="67"/>
        <v>177241.36727856929</v>
      </c>
      <c r="AC76" s="148">
        <f t="shared" ca="1" si="68"/>
        <v>8762.9444176275465</v>
      </c>
      <c r="AD76" s="148">
        <f t="shared" ca="1" si="69"/>
        <v>6462.3483905807871</v>
      </c>
      <c r="AE76" s="148">
        <f t="shared" ca="1" si="70"/>
        <v>3101.9272274787777</v>
      </c>
      <c r="AF76" s="148">
        <f t="shared" ca="1" si="71"/>
        <v>387.74090343484721</v>
      </c>
      <c r="AG76" s="148">
        <f t="shared" ca="1" si="72"/>
        <v>775.48180686969442</v>
      </c>
      <c r="AH76" s="148">
        <f t="shared" ca="1" si="73"/>
        <v>78194.415526027529</v>
      </c>
      <c r="AI76" s="148">
        <f t="shared" ca="1" si="74"/>
        <v>213631.35175473677</v>
      </c>
      <c r="AJ76" s="20">
        <f t="shared" ca="1" si="75"/>
        <v>209934.37873410108</v>
      </c>
      <c r="AK76" s="148">
        <f t="shared" ca="1" si="76"/>
        <v>10241.809479284946</v>
      </c>
      <c r="AL76" s="148">
        <f t="shared" ca="1" si="77"/>
        <v>7552.9568431304915</v>
      </c>
      <c r="AM76" s="148">
        <f t="shared" ca="1" si="78"/>
        <v>3625.4192847026361</v>
      </c>
      <c r="AN76" s="148">
        <f t="shared" ca="1" si="79"/>
        <v>453.17741058782951</v>
      </c>
      <c r="AO76" s="148">
        <f t="shared" ca="1" si="80"/>
        <v>906.35482117565903</v>
      </c>
      <c r="AP76" s="148">
        <f t="shared" ca="1" si="81"/>
        <v>111481.64300460606</v>
      </c>
      <c r="AQ76" s="148">
        <f t="shared" ca="1" si="82"/>
        <v>249684.52373985096</v>
      </c>
      <c r="AR76" s="17">
        <f t="shared" ca="1" si="83"/>
        <v>245354.83634586685</v>
      </c>
      <c r="AS76" s="148">
        <f t="shared" ca="1" si="84"/>
        <v>104400.09806850816</v>
      </c>
      <c r="AT76" s="48" t="str">
        <f>INDEX('stock fisico '!N:N, MATCH(B76, 'stock fisico '!B:B, 0))</f>
        <v>TV-AUDIO-VIDEO</v>
      </c>
      <c r="AU76" s="46" t="str">
        <f>INDEX('stock fisico '!D:D, MATCH(B76, 'stock fisico '!B:B, 0))</f>
        <v>Parlantes</v>
      </c>
      <c r="AV76" s="43" t="str">
        <f>INDEX('stock fisico '!L:L, MATCH(B76, 'stock fisico '!B:B, 0))</f>
        <v>AIWA</v>
      </c>
    </row>
    <row r="77" spans="1:48" x14ac:dyDescent="0.25">
      <c r="A77" s="48">
        <f>INDEX('stock fisico '!M:M, MATCH(B77, 'stock fisico '!B:B, 0))</f>
        <v>9093</v>
      </c>
      <c r="B77" s="47" t="s">
        <v>162</v>
      </c>
      <c r="C77" s="46" t="str">
        <f>INDEX('stock fisico '!C:C, MATCH(B77, 'stock fisico '!B:B, 0))</f>
        <v>HELADERA WHIRLPOOL WRA09R3 RETRO 76 LITROS ROJA EAN:  7891129529823</v>
      </c>
      <c r="D77" s="44">
        <f>INDEX('stock fisico '!I:I, MATCH(B77, 'stock fisico '!B:B, 0))</f>
        <v>388396.23</v>
      </c>
      <c r="E77" s="6">
        <f t="shared" ca="1" si="85"/>
        <v>473653.93902439025</v>
      </c>
      <c r="F77" s="148">
        <f t="shared" ca="1" si="45"/>
        <v>21038.213703840855</v>
      </c>
      <c r="G77" s="148">
        <f t="shared" ca="1" si="46"/>
        <v>12822.237075404602</v>
      </c>
      <c r="H77" s="148">
        <f t="shared" ca="1" si="47"/>
        <v>6154.673796194209</v>
      </c>
      <c r="I77" s="148">
        <f t="shared" ca="1" si="48"/>
        <v>769.33422452427612</v>
      </c>
      <c r="J77" s="148">
        <f t="shared" ca="1" si="49"/>
        <v>1538.6684490485522</v>
      </c>
      <c r="K77" s="148">
        <f t="shared" ca="1" si="50"/>
        <v>512889.48301618407</v>
      </c>
      <c r="L77" s="32">
        <f t="shared" ca="1" si="51"/>
        <v>502385.49497347383</v>
      </c>
      <c r="M77" s="148">
        <f t="shared" ca="1" si="52"/>
        <v>25457.009181284819</v>
      </c>
      <c r="N77" s="148">
        <f t="shared" ca="1" si="53"/>
        <v>15515.376521419843</v>
      </c>
      <c r="O77" s="148">
        <f t="shared" ca="1" si="54"/>
        <v>7447.3807302815239</v>
      </c>
      <c r="P77" s="148">
        <f t="shared" ca="1" si="55"/>
        <v>930.92259128519049</v>
      </c>
      <c r="Q77" s="148">
        <f t="shared" ca="1" si="56"/>
        <v>1861.845182570381</v>
      </c>
      <c r="R77" s="148">
        <f t="shared" ca="1" si="57"/>
        <v>99500.109631865445</v>
      </c>
      <c r="S77" s="148">
        <f t="shared" ca="1" si="58"/>
        <v>620615.06085679366</v>
      </c>
      <c r="T77" s="28">
        <f t="shared" ca="1" si="59"/>
        <v>607920.28375039238</v>
      </c>
      <c r="U77" s="148">
        <f t="shared" ca="1" si="60"/>
        <v>29424.185387486286</v>
      </c>
      <c r="V77" s="148">
        <f t="shared" ca="1" si="61"/>
        <v>21699.251760683102</v>
      </c>
      <c r="W77" s="148">
        <f t="shared" ca="1" si="62"/>
        <v>10415.640845127889</v>
      </c>
      <c r="X77" s="148">
        <f t="shared" ca="1" si="63"/>
        <v>1301.9551056409862</v>
      </c>
      <c r="Y77" s="148">
        <f t="shared" ca="1" si="64"/>
        <v>2603.9102112819724</v>
      </c>
      <c r="Z77" s="148">
        <f t="shared" ca="1" si="65"/>
        <v>188783.49031794298</v>
      </c>
      <c r="AA77" s="148">
        <f t="shared" ca="1" si="66"/>
        <v>717330.63671679678</v>
      </c>
      <c r="AB77" s="24">
        <f t="shared" ca="1" si="67"/>
        <v>704881.16578622931</v>
      </c>
      <c r="AC77" s="148">
        <f t="shared" ca="1" si="68"/>
        <v>34849.846690186831</v>
      </c>
      <c r="AD77" s="148">
        <f t="shared" ca="1" si="69"/>
        <v>25700.476910167279</v>
      </c>
      <c r="AE77" s="148">
        <f t="shared" ca="1" si="70"/>
        <v>12336.228916880294</v>
      </c>
      <c r="AF77" s="148">
        <f t="shared" ca="1" si="71"/>
        <v>1542.0286146100368</v>
      </c>
      <c r="AG77" s="148">
        <f t="shared" ca="1" si="72"/>
        <v>3084.0572292200736</v>
      </c>
      <c r="AH77" s="148">
        <f t="shared" ca="1" si="73"/>
        <v>310975.77061302407</v>
      </c>
      <c r="AI77" s="148">
        <f t="shared" ca="1" si="74"/>
        <v>849602.54248486878</v>
      </c>
      <c r="AJ77" s="20">
        <f t="shared" ca="1" si="75"/>
        <v>834899.84247370157</v>
      </c>
      <c r="AK77" s="148">
        <f t="shared" ca="1" si="76"/>
        <v>40731.228360320412</v>
      </c>
      <c r="AL77" s="148">
        <f t="shared" ca="1" si="77"/>
        <v>30037.779026784963</v>
      </c>
      <c r="AM77" s="148">
        <f t="shared" ca="1" si="78"/>
        <v>14418.133932856783</v>
      </c>
      <c r="AN77" s="148">
        <f t="shared" ca="1" si="79"/>
        <v>1802.2667416070979</v>
      </c>
      <c r="AO77" s="148">
        <f t="shared" ca="1" si="80"/>
        <v>3604.5334832141957</v>
      </c>
      <c r="AP77" s="148">
        <f t="shared" ca="1" si="81"/>
        <v>443357.61843534606</v>
      </c>
      <c r="AQ77" s="148">
        <f t="shared" ca="1" si="82"/>
        <v>992984.43063751946</v>
      </c>
      <c r="AR77" s="17">
        <f t="shared" ca="1" si="83"/>
        <v>975765.45323612774</v>
      </c>
      <c r="AS77" s="148">
        <f t="shared" ca="1" si="84"/>
        <v>415194.62394501973</v>
      </c>
      <c r="AT77" s="48" t="str">
        <f>INDEX('stock fisico '!N:N, MATCH(B77, 'stock fisico '!B:B, 0))</f>
        <v>ELECTRODOMESTICOS Y AIRES ACOND</v>
      </c>
      <c r="AU77" s="46" t="str">
        <f>INDEX('stock fisico '!D:D, MATCH(B77, 'stock fisico '!B:B, 0))</f>
        <v>Heladeras</v>
      </c>
      <c r="AV77" s="43" t="str">
        <f>INDEX('stock fisico '!L:L, MATCH(B77, 'stock fisico '!B:B, 0))</f>
        <v>Whirlpool</v>
      </c>
    </row>
    <row r="78" spans="1:48" x14ac:dyDescent="0.25">
      <c r="A78" s="48">
        <f>INDEX('stock fisico '!M:M, MATCH(B78, 'stock fisico '!B:B, 0))</f>
        <v>9904</v>
      </c>
      <c r="B78" s="47" t="s">
        <v>1490</v>
      </c>
      <c r="C78" s="46" t="str">
        <f>INDEX('stock fisico '!C:C, MATCH(B78, 'stock fisico '!B:B, 0))</f>
        <v>PARLANTE PORTATIL AIWA AW-PP265 NEGRO 13W EAN 7798111355173</v>
      </c>
      <c r="D78" s="44">
        <f>INDEX('stock fisico '!I:I, MATCH(B78, 'stock fisico '!B:B, 0))</f>
        <v>54045.78</v>
      </c>
      <c r="E78" s="6">
        <f t="shared" ca="1" si="85"/>
        <v>65909.487804878052</v>
      </c>
      <c r="F78" s="148">
        <f t="shared" ca="1" si="45"/>
        <v>2927.4915192425224</v>
      </c>
      <c r="G78" s="148">
        <f t="shared" ca="1" si="46"/>
        <v>1784.2289666023808</v>
      </c>
      <c r="H78" s="148">
        <f t="shared" ca="1" si="47"/>
        <v>856.42990396914274</v>
      </c>
      <c r="I78" s="148">
        <f t="shared" ca="1" si="48"/>
        <v>107.05373799614284</v>
      </c>
      <c r="J78" s="148">
        <f t="shared" ca="1" si="49"/>
        <v>214.10747599228569</v>
      </c>
      <c r="K78" s="148">
        <f t="shared" ca="1" si="50"/>
        <v>71369.15866409523</v>
      </c>
      <c r="L78" s="32">
        <f t="shared" ca="1" si="51"/>
        <v>69907.516704082009</v>
      </c>
      <c r="M78" s="148">
        <f t="shared" ca="1" si="52"/>
        <v>3542.3719681050957</v>
      </c>
      <c r="N78" s="148">
        <f t="shared" ca="1" si="53"/>
        <v>2158.9824033405835</v>
      </c>
      <c r="O78" s="148">
        <f t="shared" ca="1" si="54"/>
        <v>1036.3115536034802</v>
      </c>
      <c r="P78" s="148">
        <f t="shared" ca="1" si="55"/>
        <v>129.53894420043503</v>
      </c>
      <c r="Q78" s="148">
        <f t="shared" ca="1" si="56"/>
        <v>259.07788840087005</v>
      </c>
      <c r="R78" s="148">
        <f t="shared" ca="1" si="57"/>
        <v>13845.554152623163</v>
      </c>
      <c r="S78" s="148">
        <f t="shared" ca="1" si="58"/>
        <v>86359.296133623342</v>
      </c>
      <c r="T78" s="28">
        <f t="shared" ca="1" si="59"/>
        <v>84592.803367610657</v>
      </c>
      <c r="U78" s="148">
        <f t="shared" ca="1" si="60"/>
        <v>4094.409078407632</v>
      </c>
      <c r="V78" s="148">
        <f t="shared" ca="1" si="61"/>
        <v>3019.4757215395516</v>
      </c>
      <c r="W78" s="148">
        <f t="shared" ca="1" si="62"/>
        <v>1449.3483463389848</v>
      </c>
      <c r="X78" s="148">
        <f t="shared" ca="1" si="63"/>
        <v>181.1685432923731</v>
      </c>
      <c r="Y78" s="148">
        <f t="shared" ca="1" si="64"/>
        <v>362.3370865847462</v>
      </c>
      <c r="Z78" s="148">
        <f t="shared" ca="1" si="65"/>
        <v>26269.438777394098</v>
      </c>
      <c r="AA78" s="148">
        <f t="shared" ca="1" si="66"/>
        <v>99817.379224447985</v>
      </c>
      <c r="AB78" s="24">
        <f t="shared" ca="1" si="67"/>
        <v>98085.021093603515</v>
      </c>
      <c r="AC78" s="148">
        <f t="shared" ca="1" si="68"/>
        <v>4849.3960594096543</v>
      </c>
      <c r="AD78" s="148">
        <f t="shared" ca="1" si="69"/>
        <v>3576.2507812755557</v>
      </c>
      <c r="AE78" s="148">
        <f t="shared" ca="1" si="70"/>
        <v>1716.6003750122668</v>
      </c>
      <c r="AF78" s="148">
        <f t="shared" ca="1" si="71"/>
        <v>214.57504687653335</v>
      </c>
      <c r="AG78" s="148">
        <f t="shared" ca="1" si="72"/>
        <v>429.1500937530667</v>
      </c>
      <c r="AH78" s="148">
        <f t="shared" ca="1" si="73"/>
        <v>43272.634453434228</v>
      </c>
      <c r="AI78" s="148">
        <f t="shared" ca="1" si="74"/>
        <v>118223.16632315888</v>
      </c>
      <c r="AJ78" s="20">
        <f t="shared" ca="1" si="75"/>
        <v>116177.26878648726</v>
      </c>
      <c r="AK78" s="148">
        <f t="shared" ca="1" si="76"/>
        <v>5667.7970512011352</v>
      </c>
      <c r="AL78" s="148">
        <f t="shared" ca="1" si="77"/>
        <v>4179.7913356940526</v>
      </c>
      <c r="AM78" s="148">
        <f t="shared" ca="1" si="78"/>
        <v>2006.2998411331453</v>
      </c>
      <c r="AN78" s="148">
        <f t="shared" ca="1" si="79"/>
        <v>250.78748014164316</v>
      </c>
      <c r="AO78" s="148">
        <f t="shared" ca="1" si="80"/>
        <v>501.57496028328632</v>
      </c>
      <c r="AP78" s="148">
        <f t="shared" ca="1" si="81"/>
        <v>61693.720114844211</v>
      </c>
      <c r="AQ78" s="148">
        <f t="shared" ca="1" si="82"/>
        <v>138174.92018823314</v>
      </c>
      <c r="AR78" s="17">
        <f t="shared" ca="1" si="83"/>
        <v>135778.87977233983</v>
      </c>
      <c r="AS78" s="148">
        <f t="shared" ca="1" si="84"/>
        <v>57774.80719345621</v>
      </c>
      <c r="AT78" s="48" t="str">
        <f>INDEX('stock fisico '!N:N, MATCH(B78, 'stock fisico '!B:B, 0))</f>
        <v>TV-AUDIO-VIDEO</v>
      </c>
      <c r="AU78" s="46" t="str">
        <f>INDEX('stock fisico '!D:D, MATCH(B78, 'stock fisico '!B:B, 0))</f>
        <v>Parlantes</v>
      </c>
      <c r="AV78" s="43" t="str">
        <f>INDEX('stock fisico '!L:L, MATCH(B78, 'stock fisico '!B:B, 0))</f>
        <v>AIWA</v>
      </c>
    </row>
    <row r="79" spans="1:48" x14ac:dyDescent="0.25">
      <c r="A79" s="48">
        <f>INDEX('stock fisico '!M:M, MATCH(B79, 'stock fisico '!B:B, 0))</f>
        <v>9899</v>
      </c>
      <c r="B79" s="47" t="s">
        <v>1407</v>
      </c>
      <c r="C79" s="46" t="str">
        <f>INDEX('stock fisico '!C:C, MATCH(B79, 'stock fisico '!B:B, 0))</f>
        <v>AURICULAR AIWA IN EAR TWA-80B BLANCO EAN 7798111354787</v>
      </c>
      <c r="D79" s="44">
        <f>INDEX('stock fisico '!I:I, MATCH(B79, 'stock fisico '!B:B, 0))</f>
        <v>15001.24</v>
      </c>
      <c r="E79" s="6">
        <f t="shared" ca="1" si="85"/>
        <v>18294.195121951219</v>
      </c>
      <c r="F79" s="148">
        <f t="shared" ca="1" si="45"/>
        <v>812.57043340149198</v>
      </c>
      <c r="G79" s="148">
        <f t="shared" ca="1" si="46"/>
        <v>495.24027487352936</v>
      </c>
      <c r="H79" s="148">
        <f t="shared" ca="1" si="47"/>
        <v>237.71533193929409</v>
      </c>
      <c r="I79" s="148">
        <f t="shared" ca="1" si="48"/>
        <v>29.714416492411761</v>
      </c>
      <c r="J79" s="148">
        <f t="shared" ca="1" si="49"/>
        <v>59.428832984823522</v>
      </c>
      <c r="K79" s="148">
        <f t="shared" ca="1" si="50"/>
        <v>19809.610994941173</v>
      </c>
      <c r="L79" s="32">
        <f t="shared" ca="1" si="51"/>
        <v>19403.909720276828</v>
      </c>
      <c r="M79" s="148">
        <f t="shared" ca="1" si="52"/>
        <v>983.23998770703065</v>
      </c>
      <c r="N79" s="148">
        <f t="shared" ca="1" si="53"/>
        <v>599.25887253896406</v>
      </c>
      <c r="O79" s="148">
        <f t="shared" ca="1" si="54"/>
        <v>287.64425881870278</v>
      </c>
      <c r="P79" s="148">
        <f t="shared" ca="1" si="55"/>
        <v>35.955532352337848</v>
      </c>
      <c r="Q79" s="148">
        <f t="shared" ca="1" si="56"/>
        <v>71.911064704675695</v>
      </c>
      <c r="R79" s="148">
        <f t="shared" ca="1" si="57"/>
        <v>3843.0471495923766</v>
      </c>
      <c r="S79" s="148">
        <f t="shared" ca="1" si="58"/>
        <v>23970.354901558563</v>
      </c>
      <c r="T79" s="28">
        <f t="shared" ca="1" si="59"/>
        <v>23480.037582774006</v>
      </c>
      <c r="U79" s="148">
        <f t="shared" ca="1" si="60"/>
        <v>1136.4664039148236</v>
      </c>
      <c r="V79" s="148">
        <f t="shared" ca="1" si="61"/>
        <v>838.10206778379325</v>
      </c>
      <c r="W79" s="148">
        <f t="shared" ca="1" si="62"/>
        <v>402.28899253622075</v>
      </c>
      <c r="X79" s="148">
        <f t="shared" ca="1" si="63"/>
        <v>50.286124067027593</v>
      </c>
      <c r="Y79" s="148">
        <f t="shared" ca="1" si="64"/>
        <v>100.57224813405519</v>
      </c>
      <c r="Z79" s="148">
        <f t="shared" ca="1" si="65"/>
        <v>7291.4879897190012</v>
      </c>
      <c r="AA79" s="148">
        <f t="shared" ca="1" si="66"/>
        <v>27705.853480455975</v>
      </c>
      <c r="AB79" s="24">
        <f t="shared" ca="1" si="67"/>
        <v>27225.01075625532</v>
      </c>
      <c r="AC79" s="148">
        <f t="shared" ca="1" si="68"/>
        <v>1346.0246876307174</v>
      </c>
      <c r="AD79" s="148">
        <f t="shared" ca="1" si="69"/>
        <v>992.64357494890669</v>
      </c>
      <c r="AE79" s="148">
        <f t="shared" ca="1" si="70"/>
        <v>476.46891597547523</v>
      </c>
      <c r="AF79" s="148">
        <f t="shared" ca="1" si="71"/>
        <v>59.558614496934403</v>
      </c>
      <c r="AG79" s="148">
        <f t="shared" ca="1" si="72"/>
        <v>119.11722899386881</v>
      </c>
      <c r="AH79" s="148">
        <f t="shared" ca="1" si="73"/>
        <v>12010.98725688177</v>
      </c>
      <c r="AI79" s="148">
        <f t="shared" ca="1" si="74"/>
        <v>32814.663634674602</v>
      </c>
      <c r="AJ79" s="20">
        <f t="shared" ca="1" si="75"/>
        <v>32246.793211433051</v>
      </c>
      <c r="AK79" s="148">
        <f t="shared" ca="1" si="76"/>
        <v>1573.1845083253586</v>
      </c>
      <c r="AL79" s="148">
        <f t="shared" ca="1" si="77"/>
        <v>1160.1655666116214</v>
      </c>
      <c r="AM79" s="148">
        <f t="shared" ca="1" si="78"/>
        <v>556.87947197357835</v>
      </c>
      <c r="AN79" s="148">
        <f t="shared" ca="1" si="79"/>
        <v>69.609933996697293</v>
      </c>
      <c r="AO79" s="148">
        <f t="shared" ca="1" si="80"/>
        <v>139.21986799339459</v>
      </c>
      <c r="AP79" s="148">
        <f t="shared" ca="1" si="81"/>
        <v>17124.043763187532</v>
      </c>
      <c r="AQ79" s="148">
        <f t="shared" ca="1" si="82"/>
        <v>38352.580714433767</v>
      </c>
      <c r="AR79" s="17">
        <f t="shared" ca="1" si="83"/>
        <v>37687.522733431084</v>
      </c>
      <c r="AS79" s="148">
        <f t="shared" ca="1" si="84"/>
        <v>16036.289025022172</v>
      </c>
      <c r="AT79" s="48" t="str">
        <f>INDEX('stock fisico '!N:N, MATCH(B79, 'stock fisico '!B:B, 0))</f>
        <v>TV-AUDIO-VIDEO</v>
      </c>
      <c r="AU79" s="46" t="str">
        <f>INDEX('stock fisico '!D:D, MATCH(B79, 'stock fisico '!B:B, 0))</f>
        <v>Auriculares</v>
      </c>
      <c r="AV79" s="43" t="str">
        <f>INDEX('stock fisico '!L:L, MATCH(B79, 'stock fisico '!B:B, 0))</f>
        <v>AIWA</v>
      </c>
    </row>
    <row r="80" spans="1:48" x14ac:dyDescent="0.25">
      <c r="A80" s="48">
        <f>INDEX('stock fisico '!M:M, MATCH(B80, 'stock fisico '!B:B, 0))</f>
        <v>9929</v>
      </c>
      <c r="B80" s="47" t="s">
        <v>1418</v>
      </c>
      <c r="C80" s="46" t="str">
        <f>INDEX('stock fisico '!C:C, MATCH(B80, 'stock fisico '!B:B, 0))</f>
        <v>YOGURTERA AIWA MANUAL ON/OFF AW-YG715 1.5L EAN</v>
      </c>
      <c r="D80" s="44">
        <f>INDEX('stock fisico '!I:I, MATCH(B80, 'stock fisico '!B:B, 0))</f>
        <v>23971.67</v>
      </c>
      <c r="E80" s="6">
        <f t="shared" ca="1" si="85"/>
        <v>29233.743902439022</v>
      </c>
      <c r="F80" s="148">
        <f t="shared" ca="1" si="45"/>
        <v>1298.4706785077462</v>
      </c>
      <c r="G80" s="148">
        <f t="shared" ca="1" si="46"/>
        <v>791.38367494804015</v>
      </c>
      <c r="H80" s="148">
        <f t="shared" ca="1" si="47"/>
        <v>379.86416397505923</v>
      </c>
      <c r="I80" s="148">
        <f t="shared" ca="1" si="48"/>
        <v>47.483020496882403</v>
      </c>
      <c r="J80" s="148">
        <f t="shared" ca="1" si="49"/>
        <v>94.966040993764807</v>
      </c>
      <c r="K80" s="148">
        <f t="shared" ca="1" si="50"/>
        <v>31655.346997921602</v>
      </c>
      <c r="L80" s="32">
        <f t="shared" ca="1" si="51"/>
        <v>31007.044785915594</v>
      </c>
      <c r="M80" s="148">
        <f t="shared" ca="1" si="52"/>
        <v>1571.1970821156781</v>
      </c>
      <c r="N80" s="148">
        <f t="shared" ca="1" si="53"/>
        <v>957.60323393773513</v>
      </c>
      <c r="O80" s="148">
        <f t="shared" ca="1" si="54"/>
        <v>459.64955229011287</v>
      </c>
      <c r="P80" s="148">
        <f t="shared" ca="1" si="55"/>
        <v>57.456194036264108</v>
      </c>
      <c r="Q80" s="148">
        <f t="shared" ca="1" si="56"/>
        <v>114.91238807252822</v>
      </c>
      <c r="R80" s="148">
        <f t="shared" ca="1" si="57"/>
        <v>6141.1095392426951</v>
      </c>
      <c r="S80" s="148">
        <f t="shared" ca="1" si="58"/>
        <v>38304.129357509402</v>
      </c>
      <c r="T80" s="28">
        <f t="shared" ca="1" si="59"/>
        <v>37520.612464160033</v>
      </c>
      <c r="U80" s="148">
        <f t="shared" ca="1" si="60"/>
        <v>1816.0497132725602</v>
      </c>
      <c r="V80" s="148">
        <f t="shared" ca="1" si="61"/>
        <v>1339.2697000535104</v>
      </c>
      <c r="W80" s="148">
        <f t="shared" ca="1" si="62"/>
        <v>642.84945602568496</v>
      </c>
      <c r="X80" s="148">
        <f t="shared" ca="1" si="63"/>
        <v>80.35618200321062</v>
      </c>
      <c r="Y80" s="148">
        <f t="shared" ca="1" si="64"/>
        <v>160.71236400642124</v>
      </c>
      <c r="Z80" s="148">
        <f t="shared" ca="1" si="65"/>
        <v>11651.646390465541</v>
      </c>
      <c r="AA80" s="148">
        <f t="shared" ca="1" si="66"/>
        <v>44273.378514165634</v>
      </c>
      <c r="AB80" s="24">
        <f t="shared" ca="1" si="67"/>
        <v>43505.001826209234</v>
      </c>
      <c r="AC80" s="148">
        <f t="shared" ca="1" si="68"/>
        <v>2150.9194989038665</v>
      </c>
      <c r="AD80" s="148">
        <f t="shared" ca="1" si="69"/>
        <v>1586.2238192506388</v>
      </c>
      <c r="AE80" s="148">
        <f t="shared" ca="1" si="70"/>
        <v>761.38743324030668</v>
      </c>
      <c r="AF80" s="148">
        <f t="shared" ca="1" si="71"/>
        <v>95.173429155038335</v>
      </c>
      <c r="AG80" s="148">
        <f t="shared" ca="1" si="72"/>
        <v>190.34685831007667</v>
      </c>
      <c r="AH80" s="148">
        <f t="shared" ca="1" si="73"/>
        <v>19193.30821293273</v>
      </c>
      <c r="AI80" s="148">
        <f t="shared" ca="1" si="74"/>
        <v>52437.151049607899</v>
      </c>
      <c r="AJ80" s="20">
        <f t="shared" ca="1" si="75"/>
        <v>51529.705905826006</v>
      </c>
      <c r="AK80" s="148">
        <f t="shared" ca="1" si="76"/>
        <v>2513.9161751087076</v>
      </c>
      <c r="AL80" s="148">
        <f t="shared" ca="1" si="77"/>
        <v>1853.9204831185161</v>
      </c>
      <c r="AM80" s="148">
        <f t="shared" ca="1" si="78"/>
        <v>889.88183189688766</v>
      </c>
      <c r="AN80" s="148">
        <f t="shared" ca="1" si="79"/>
        <v>111.23522898711096</v>
      </c>
      <c r="AO80" s="148">
        <f t="shared" ca="1" si="80"/>
        <v>222.47045797422192</v>
      </c>
      <c r="AP80" s="148">
        <f t="shared" ca="1" si="81"/>
        <v>27363.866330829296</v>
      </c>
      <c r="AQ80" s="148">
        <f t="shared" ca="1" si="82"/>
        <v>61286.62754110797</v>
      </c>
      <c r="AR80" s="17">
        <f t="shared" ca="1" si="83"/>
        <v>60223.87869824814</v>
      </c>
      <c r="AS80" s="148">
        <f t="shared" ca="1" si="84"/>
        <v>25625.656847864127</v>
      </c>
      <c r="AT80" s="48" t="str">
        <f>INDEX('stock fisico '!N:N, MATCH(B80, 'stock fisico '!B:B, 0))</f>
        <v>ELECTRODOMESTICOS Y AIRES ACOND</v>
      </c>
      <c r="AU80" s="46" t="str">
        <f>INDEX('stock fisico '!D:D, MATCH(B80, 'stock fisico '!B:B, 0))</f>
        <v xml:space="preserve">Pequeños Electrodomesticos </v>
      </c>
      <c r="AV80" s="43" t="str">
        <f>INDEX('stock fisico '!L:L, MATCH(B80, 'stock fisico '!B:B, 0))</f>
        <v>AIWA</v>
      </c>
    </row>
    <row r="81" spans="1:48" x14ac:dyDescent="0.25">
      <c r="A81" s="48">
        <f>INDEX('stock fisico '!M:M, MATCH(B81, 'stock fisico '!B:B, 0))</f>
        <v>9925</v>
      </c>
      <c r="B81" s="47" t="s">
        <v>1368</v>
      </c>
      <c r="C81" s="46" t="str">
        <f>INDEX('stock fisico '!C:C, MATCH(B81, 'stock fisico '!B:B, 0))</f>
        <v>FREIDORA DE AIRE AIWA AW-FA35B 1200W BLANCA EAN</v>
      </c>
      <c r="D81" s="44">
        <f>INDEX('stock fisico '!I:I, MATCH(B81, 'stock fisico '!B:B, 0))</f>
        <v>47943.78</v>
      </c>
      <c r="E81" s="6">
        <f t="shared" ca="1" si="85"/>
        <v>58468.024390243903</v>
      </c>
      <c r="F81" s="148">
        <f t="shared" ca="1" si="45"/>
        <v>2596.9651904446423</v>
      </c>
      <c r="G81" s="148">
        <f t="shared" ca="1" si="46"/>
        <v>1582.7818757433399</v>
      </c>
      <c r="H81" s="148">
        <f t="shared" ca="1" si="47"/>
        <v>759.73530035680312</v>
      </c>
      <c r="I81" s="148">
        <f t="shared" ca="1" si="48"/>
        <v>94.96691254460039</v>
      </c>
      <c r="J81" s="148">
        <f t="shared" ca="1" si="49"/>
        <v>189.93382508920078</v>
      </c>
      <c r="K81" s="148">
        <f t="shared" ca="1" si="50"/>
        <v>63311.275029733595</v>
      </c>
      <c r="L81" s="32">
        <f t="shared" ca="1" si="51"/>
        <v>62014.658706134549</v>
      </c>
      <c r="M81" s="148">
        <f t="shared" ca="1" si="52"/>
        <v>3142.423003553612</v>
      </c>
      <c r="N81" s="148">
        <f t="shared" ca="1" si="53"/>
        <v>1915.2240446827154</v>
      </c>
      <c r="O81" s="148">
        <f t="shared" ca="1" si="54"/>
        <v>919.30754144770333</v>
      </c>
      <c r="P81" s="148">
        <f t="shared" ca="1" si="55"/>
        <v>114.91344268096292</v>
      </c>
      <c r="Q81" s="148">
        <f t="shared" ca="1" si="56"/>
        <v>229.82688536192583</v>
      </c>
      <c r="R81" s="148">
        <f t="shared" ca="1" si="57"/>
        <v>12282.331798550253</v>
      </c>
      <c r="S81" s="148">
        <f t="shared" ca="1" si="58"/>
        <v>76608.96178730861</v>
      </c>
      <c r="T81" s="28">
        <f t="shared" ca="1" si="59"/>
        <v>75041.913619157393</v>
      </c>
      <c r="U81" s="148">
        <f t="shared" ca="1" si="60"/>
        <v>3632.1327601373914</v>
      </c>
      <c r="V81" s="148">
        <f t="shared" ca="1" si="61"/>
        <v>2678.563982402206</v>
      </c>
      <c r="W81" s="148">
        <f t="shared" ca="1" si="62"/>
        <v>1285.7107115530589</v>
      </c>
      <c r="X81" s="148">
        <f t="shared" ca="1" si="63"/>
        <v>160.71383894413236</v>
      </c>
      <c r="Y81" s="148">
        <f t="shared" ca="1" si="64"/>
        <v>321.42767788826472</v>
      </c>
      <c r="Z81" s="148">
        <f t="shared" ca="1" si="65"/>
        <v>23303.506646899194</v>
      </c>
      <c r="AA81" s="148">
        <f t="shared" ca="1" si="66"/>
        <v>88547.569666188632</v>
      </c>
      <c r="AB81" s="24">
        <f t="shared" ca="1" si="67"/>
        <v>87010.802186721819</v>
      </c>
      <c r="AC81" s="148">
        <f t="shared" ca="1" si="68"/>
        <v>4301.8784779348798</v>
      </c>
      <c r="AD81" s="148">
        <f t="shared" ca="1" si="69"/>
        <v>3172.4767536392919</v>
      </c>
      <c r="AE81" s="148">
        <f t="shared" ca="1" si="70"/>
        <v>1522.7888417468603</v>
      </c>
      <c r="AF81" s="148">
        <f t="shared" ca="1" si="71"/>
        <v>190.34860521835753</v>
      </c>
      <c r="AG81" s="148">
        <f t="shared" ca="1" si="72"/>
        <v>380.69721043671507</v>
      </c>
      <c r="AH81" s="148">
        <f t="shared" ca="1" si="73"/>
        <v>38386.968719035431</v>
      </c>
      <c r="AI81" s="148">
        <f t="shared" ca="1" si="74"/>
        <v>104875.2645831171</v>
      </c>
      <c r="AJ81" s="20">
        <f t="shared" ca="1" si="75"/>
        <v>103060.35763939779</v>
      </c>
      <c r="AK81" s="148">
        <f t="shared" ca="1" si="76"/>
        <v>5027.8784931485116</v>
      </c>
      <c r="AL81" s="148">
        <f t="shared" ca="1" si="77"/>
        <v>3707.8749949472794</v>
      </c>
      <c r="AM81" s="148">
        <f t="shared" ca="1" si="78"/>
        <v>1779.7799975746943</v>
      </c>
      <c r="AN81" s="148">
        <f t="shared" ca="1" si="79"/>
        <v>222.47249969683679</v>
      </c>
      <c r="AO81" s="148">
        <f t="shared" ca="1" si="80"/>
        <v>444.94499939367358</v>
      </c>
      <c r="AP81" s="148">
        <f t="shared" ca="1" si="81"/>
        <v>54728.23492542185</v>
      </c>
      <c r="AQ81" s="148">
        <f t="shared" ca="1" si="82"/>
        <v>122574.37999825718</v>
      </c>
      <c r="AR81" s="17">
        <f t="shared" ca="1" si="83"/>
        <v>120448.86280578264</v>
      </c>
      <c r="AS81" s="148">
        <f t="shared" ca="1" si="84"/>
        <v>51251.784054656651</v>
      </c>
      <c r="AT81" s="48" t="str">
        <f>INDEX('stock fisico '!N:N, MATCH(B81, 'stock fisico '!B:B, 0))</f>
        <v>ELECTRODOMESTICOS Y AIRES ACOND</v>
      </c>
      <c r="AU81" s="46" t="str">
        <f>INDEX('stock fisico '!D:D, MATCH(B81, 'stock fisico '!B:B, 0))</f>
        <v xml:space="preserve">Pequeños Electrodomesticos </v>
      </c>
      <c r="AV81" s="43" t="str">
        <f>INDEX('stock fisico '!L:L, MATCH(B81, 'stock fisico '!B:B, 0))</f>
        <v>AIWA</v>
      </c>
    </row>
    <row r="82" spans="1:48" x14ac:dyDescent="0.25">
      <c r="A82" s="48">
        <f>INDEX('stock fisico '!M:M, MATCH(B82, 'stock fisico '!B:B, 0))</f>
        <v>9923</v>
      </c>
      <c r="B82" s="47" t="s">
        <v>1409</v>
      </c>
      <c r="C82" s="46" t="str">
        <f>INDEX('stock fisico '!C:C, MATCH(B82, 'stock fisico '!B:B, 0))</f>
        <v xml:space="preserve">ANAFE INDIVIDUAL AIWA AWK-AN101 EAN </v>
      </c>
      <c r="D82" s="44">
        <f>INDEX('stock fisico '!I:I, MATCH(B82, 'stock fisico '!B:B, 0))</f>
        <v>14382.83</v>
      </c>
      <c r="E82" s="6">
        <f t="shared" ca="1" si="85"/>
        <v>17540.036585365855</v>
      </c>
      <c r="F82" s="148">
        <f t="shared" ca="1" si="45"/>
        <v>779.07309040052564</v>
      </c>
      <c r="G82" s="148">
        <f t="shared" ca="1" si="46"/>
        <v>474.82452668307718</v>
      </c>
      <c r="H82" s="148">
        <f t="shared" ca="1" si="47"/>
        <v>227.91577280787703</v>
      </c>
      <c r="I82" s="148">
        <f t="shared" ca="1" si="48"/>
        <v>28.489471600984629</v>
      </c>
      <c r="J82" s="148">
        <f t="shared" ca="1" si="49"/>
        <v>56.978943201969258</v>
      </c>
      <c r="K82" s="148">
        <f t="shared" ca="1" si="50"/>
        <v>18992.981067323086</v>
      </c>
      <c r="L82" s="32">
        <f t="shared" ca="1" si="51"/>
        <v>18604.004391776227</v>
      </c>
      <c r="M82" s="148">
        <f t="shared" ca="1" si="52"/>
        <v>942.70697571616176</v>
      </c>
      <c r="N82" s="148">
        <f t="shared" ca="1" si="53"/>
        <v>574.55506942889986</v>
      </c>
      <c r="O82" s="148">
        <f t="shared" ca="1" si="54"/>
        <v>275.78643332587194</v>
      </c>
      <c r="P82" s="148">
        <f t="shared" ca="1" si="55"/>
        <v>34.473304165733992</v>
      </c>
      <c r="Q82" s="148">
        <f t="shared" ca="1" si="56"/>
        <v>68.946608331467985</v>
      </c>
      <c r="R82" s="148">
        <f t="shared" ca="1" si="57"/>
        <v>3684.6216602475347</v>
      </c>
      <c r="S82" s="148">
        <f t="shared" ca="1" si="58"/>
        <v>22982.202777155995</v>
      </c>
      <c r="T82" s="28">
        <f t="shared" ca="1" si="59"/>
        <v>22512.098262986892</v>
      </c>
      <c r="U82" s="148">
        <f t="shared" ca="1" si="60"/>
        <v>1089.6167975592846</v>
      </c>
      <c r="V82" s="148">
        <f t="shared" ca="1" si="61"/>
        <v>803.55221058944301</v>
      </c>
      <c r="W82" s="148">
        <f t="shared" ca="1" si="62"/>
        <v>385.70506108293262</v>
      </c>
      <c r="X82" s="148">
        <f t="shared" ca="1" si="63"/>
        <v>48.213132635366577</v>
      </c>
      <c r="Y82" s="148">
        <f t="shared" ca="1" si="64"/>
        <v>96.426265270733154</v>
      </c>
      <c r="Z82" s="148">
        <f t="shared" ca="1" si="65"/>
        <v>6990.904232128154</v>
      </c>
      <c r="AA82" s="148">
        <f t="shared" ca="1" si="66"/>
        <v>26563.709440973322</v>
      </c>
      <c r="AB82" s="24">
        <f t="shared" ca="1" si="67"/>
        <v>26102.688941406959</v>
      </c>
      <c r="AC82" s="148">
        <f t="shared" ca="1" si="68"/>
        <v>1290.5362662017083</v>
      </c>
      <c r="AD82" s="148">
        <f t="shared" ca="1" si="69"/>
        <v>951.72291017825091</v>
      </c>
      <c r="AE82" s="148">
        <f t="shared" ca="1" si="70"/>
        <v>456.82699688556045</v>
      </c>
      <c r="AF82" s="148">
        <f t="shared" ca="1" si="71"/>
        <v>57.103374610695056</v>
      </c>
      <c r="AG82" s="148">
        <f t="shared" ca="1" si="72"/>
        <v>114.20674922139011</v>
      </c>
      <c r="AH82" s="148">
        <f t="shared" ca="1" si="73"/>
        <v>11515.847213156836</v>
      </c>
      <c r="AI82" s="148">
        <f t="shared" ca="1" si="74"/>
        <v>31461.914386057881</v>
      </c>
      <c r="AJ82" s="20">
        <f t="shared" ca="1" si="75"/>
        <v>30917.45381083135</v>
      </c>
      <c r="AK82" s="148">
        <f t="shared" ca="1" si="76"/>
        <v>1508.3316673739785</v>
      </c>
      <c r="AL82" s="148">
        <f t="shared" ca="1" si="77"/>
        <v>1112.3389877389222</v>
      </c>
      <c r="AM82" s="148">
        <f t="shared" ca="1" si="78"/>
        <v>533.92271411468266</v>
      </c>
      <c r="AN82" s="148">
        <f t="shared" ca="1" si="79"/>
        <v>66.740339264335333</v>
      </c>
      <c r="AO82" s="148">
        <f t="shared" ca="1" si="80"/>
        <v>133.48067852867067</v>
      </c>
      <c r="AP82" s="148">
        <f t="shared" ca="1" si="81"/>
        <v>16418.12345902649</v>
      </c>
      <c r="AQ82" s="148">
        <f t="shared" ca="1" si="82"/>
        <v>36771.536784757758</v>
      </c>
      <c r="AR82" s="17">
        <f t="shared" ca="1" si="83"/>
        <v>36133.895104409676</v>
      </c>
      <c r="AS82" s="148">
        <f t="shared" ca="1" si="84"/>
        <v>15375.210241137378</v>
      </c>
      <c r="AT82" s="48" t="str">
        <f>INDEX('stock fisico '!N:N, MATCH(B82, 'stock fisico '!B:B, 0))</f>
        <v>ELECTRODOMESTICOS Y AIRES ACOND</v>
      </c>
      <c r="AU82" s="46" t="str">
        <f>INDEX('stock fisico '!D:D, MATCH(B82, 'stock fisico '!B:B, 0))</f>
        <v xml:space="preserve">Pequeños Electrodomesticos </v>
      </c>
      <c r="AV82" s="43" t="str">
        <f>INDEX('stock fisico '!L:L, MATCH(B82, 'stock fisico '!B:B, 0))</f>
        <v>AIWA</v>
      </c>
    </row>
    <row r="83" spans="1:48" x14ac:dyDescent="0.25">
      <c r="A83" s="48">
        <f>INDEX('stock fisico '!M:M, MATCH(B83, 'stock fisico '!B:B, 0))</f>
        <v>5172</v>
      </c>
      <c r="B83" s="47" t="s">
        <v>894</v>
      </c>
      <c r="C83" s="46" t="str">
        <f>INDEX('stock fisico '!C:C, MATCH(B83, 'stock fisico '!B:B, 0))</f>
        <v>FUNDA TPU GALAXY J7 NEO SAMSUNG</v>
      </c>
      <c r="D83" s="44">
        <f>INDEX('stock fisico '!I:I, MATCH(B83, 'stock fisico '!B:B, 0))</f>
        <v>1000</v>
      </c>
      <c r="E83" s="6">
        <f t="shared" ca="1" si="85"/>
        <v>1219.5121951219512</v>
      </c>
      <c r="F83" s="148">
        <f t="shared" ca="1" si="45"/>
        <v>54.166884430986507</v>
      </c>
      <c r="G83" s="148">
        <f t="shared" ca="1" si="46"/>
        <v>33.013289226325917</v>
      </c>
      <c r="H83" s="148">
        <f t="shared" ca="1" si="47"/>
        <v>15.846378828636439</v>
      </c>
      <c r="I83" s="148">
        <f t="shared" ca="1" si="48"/>
        <v>1.9807973535795549</v>
      </c>
      <c r="J83" s="148">
        <f t="shared" ca="1" si="49"/>
        <v>3.9615947071591098</v>
      </c>
      <c r="K83" s="148">
        <f t="shared" ca="1" si="50"/>
        <v>1320.5315690530365</v>
      </c>
      <c r="L83" s="32">
        <f t="shared" ca="1" si="51"/>
        <v>1293.4870530887333</v>
      </c>
      <c r="M83" s="148">
        <f t="shared" ca="1" si="52"/>
        <v>65.543914216893441</v>
      </c>
      <c r="N83" s="148">
        <f t="shared" ca="1" si="53"/>
        <v>39.947289193357619</v>
      </c>
      <c r="O83" s="148">
        <f t="shared" ca="1" si="54"/>
        <v>19.174698812811659</v>
      </c>
      <c r="P83" s="148">
        <f t="shared" ca="1" si="55"/>
        <v>2.3968373516014574</v>
      </c>
      <c r="Q83" s="148">
        <f t="shared" ca="1" si="56"/>
        <v>4.7936747032029148</v>
      </c>
      <c r="R83" s="148">
        <f t="shared" ca="1" si="57"/>
        <v>256.18196559700243</v>
      </c>
      <c r="S83" s="148">
        <f t="shared" ca="1" si="58"/>
        <v>1597.8915677343048</v>
      </c>
      <c r="T83" s="28">
        <f t="shared" ca="1" si="59"/>
        <v>1565.2064484518617</v>
      </c>
      <c r="U83" s="148">
        <f t="shared" ca="1" si="60"/>
        <v>75.758164252743342</v>
      </c>
      <c r="V83" s="148">
        <f t="shared" ca="1" si="61"/>
        <v>55.868852693763529</v>
      </c>
      <c r="W83" s="148">
        <f t="shared" ca="1" si="62"/>
        <v>26.817049293006495</v>
      </c>
      <c r="X83" s="148">
        <f t="shared" ca="1" si="63"/>
        <v>3.3521311616258118</v>
      </c>
      <c r="Y83" s="148">
        <f t="shared" ca="1" si="64"/>
        <v>6.7042623232516236</v>
      </c>
      <c r="Z83" s="148">
        <f t="shared" ca="1" si="65"/>
        <v>486.0590184357427</v>
      </c>
      <c r="AA83" s="148">
        <f t="shared" ca="1" si="66"/>
        <v>1846.904221281439</v>
      </c>
      <c r="AB83" s="24">
        <f t="shared" ca="1" si="67"/>
        <v>1814.8506894266952</v>
      </c>
      <c r="AC83" s="148">
        <f t="shared" ca="1" si="68"/>
        <v>89.727561696947546</v>
      </c>
      <c r="AD83" s="148">
        <f t="shared" ca="1" si="69"/>
        <v>66.170768213088166</v>
      </c>
      <c r="AE83" s="148">
        <f t="shared" ca="1" si="70"/>
        <v>31.76196874228232</v>
      </c>
      <c r="AF83" s="148">
        <f t="shared" ca="1" si="71"/>
        <v>3.9702460927852901</v>
      </c>
      <c r="AG83" s="148">
        <f t="shared" ca="1" si="72"/>
        <v>7.9404921855705801</v>
      </c>
      <c r="AH83" s="148">
        <f t="shared" ca="1" si="73"/>
        <v>800.66629537836673</v>
      </c>
      <c r="AI83" s="148">
        <f t="shared" ca="1" si="74"/>
        <v>2187.4634120029145</v>
      </c>
      <c r="AJ83" s="20">
        <f t="shared" ca="1" si="75"/>
        <v>2149.6085131251184</v>
      </c>
      <c r="AK83" s="148">
        <f t="shared" ca="1" si="76"/>
        <v>104.87029794372725</v>
      </c>
      <c r="AL83" s="148">
        <f t="shared" ca="1" si="77"/>
        <v>77.337977834607116</v>
      </c>
      <c r="AM83" s="148">
        <f t="shared" ca="1" si="78"/>
        <v>37.122229360611414</v>
      </c>
      <c r="AN83" s="148">
        <f t="shared" ca="1" si="79"/>
        <v>4.6402786700764267</v>
      </c>
      <c r="AO83" s="148">
        <f t="shared" ca="1" si="80"/>
        <v>9.2805573401528534</v>
      </c>
      <c r="AP83" s="148">
        <f t="shared" ca="1" si="81"/>
        <v>1141.5085528388011</v>
      </c>
      <c r="AQ83" s="148">
        <f t="shared" ca="1" si="82"/>
        <v>2556.627366433293</v>
      </c>
      <c r="AR83" s="17">
        <f t="shared" ca="1" si="83"/>
        <v>2512.2938326052436</v>
      </c>
      <c r="AS83" s="148">
        <f t="shared" ca="1" si="84"/>
        <v>1068.9975645361433</v>
      </c>
      <c r="AT83" s="48" t="str">
        <f>INDEX('stock fisico '!N:N, MATCH(B83, 'stock fisico '!B:B, 0))</f>
        <v>TECNOLOGIA Y CELULARES</v>
      </c>
      <c r="AU83" s="46" t="str">
        <f>INDEX('stock fisico '!D:D, MATCH(B83, 'stock fisico '!B:B, 0))</f>
        <v>Accesorios</v>
      </c>
      <c r="AV83" s="43" t="str">
        <f>INDEX('stock fisico '!L:L, MATCH(B83, 'stock fisico '!B:B, 0))</f>
        <v>Neo</v>
      </c>
    </row>
    <row r="84" spans="1:48" x14ac:dyDescent="0.25">
      <c r="A84" s="48">
        <f>INDEX('stock fisico '!M:M, MATCH(B84, 'stock fisico '!B:B, 0))</f>
        <v>9931</v>
      </c>
      <c r="B84" s="47" t="s">
        <v>1381</v>
      </c>
      <c r="C84" s="46" t="str">
        <f>INDEX('stock fisico '!C:C, MATCH(B84, 'stock fisico '!B:B, 0))</f>
        <v>CAFETERA DE FILTRO AIWA AWK-CF125N 1.25L EAN</v>
      </c>
      <c r="D84" s="44">
        <f>INDEX('stock fisico '!I:I, MATCH(B84, 'stock fisico '!B:B, 0))</f>
        <v>27022.66</v>
      </c>
      <c r="E84" s="6">
        <f t="shared" ca="1" si="85"/>
        <v>32954.463414634149</v>
      </c>
      <c r="F84" s="148">
        <f t="shared" ca="1" si="45"/>
        <v>1463.7333012378419</v>
      </c>
      <c r="G84" s="148">
        <f t="shared" ca="1" si="46"/>
        <v>892.10689024466831</v>
      </c>
      <c r="H84" s="148">
        <f t="shared" ca="1" si="47"/>
        <v>428.2113073174408</v>
      </c>
      <c r="I84" s="148">
        <f t="shared" ca="1" si="48"/>
        <v>53.5264134146801</v>
      </c>
      <c r="J84" s="148">
        <f t="shared" ca="1" si="49"/>
        <v>107.0528268293602</v>
      </c>
      <c r="K84" s="148">
        <f t="shared" ca="1" si="50"/>
        <v>35684.275609786731</v>
      </c>
      <c r="L84" s="32">
        <f t="shared" ca="1" si="51"/>
        <v>34953.46085001879</v>
      </c>
      <c r="M84" s="148">
        <f t="shared" ca="1" si="52"/>
        <v>1771.1709089522781</v>
      </c>
      <c r="N84" s="148">
        <f t="shared" ca="1" si="53"/>
        <v>1079.4820137937775</v>
      </c>
      <c r="O84" s="148">
        <f t="shared" ca="1" si="54"/>
        <v>518.15136662101315</v>
      </c>
      <c r="P84" s="148">
        <f t="shared" ca="1" si="55"/>
        <v>64.768920827626644</v>
      </c>
      <c r="Q84" s="148">
        <f t="shared" ca="1" si="56"/>
        <v>129.53784165525329</v>
      </c>
      <c r="R84" s="148">
        <f t="shared" ca="1" si="57"/>
        <v>6922.7181544594941</v>
      </c>
      <c r="S84" s="148">
        <f t="shared" ca="1" si="58"/>
        <v>43179.280551751093</v>
      </c>
      <c r="T84" s="28">
        <f t="shared" ca="1" si="59"/>
        <v>42296.041686322191</v>
      </c>
      <c r="U84" s="148">
        <f t="shared" ca="1" si="60"/>
        <v>2047.1871148260379</v>
      </c>
      <c r="V84" s="148">
        <f t="shared" ca="1" si="61"/>
        <v>1509.7250109336562</v>
      </c>
      <c r="W84" s="148">
        <f t="shared" ca="1" si="62"/>
        <v>724.66800524815505</v>
      </c>
      <c r="X84" s="148">
        <f t="shared" ca="1" si="63"/>
        <v>90.583500656019382</v>
      </c>
      <c r="Y84" s="148">
        <f t="shared" ca="1" si="64"/>
        <v>181.16700131203876</v>
      </c>
      <c r="Z84" s="148">
        <f t="shared" ca="1" si="65"/>
        <v>13134.607595122809</v>
      </c>
      <c r="AA84" s="148">
        <f t="shared" ca="1" si="66"/>
        <v>49908.2648242531</v>
      </c>
      <c r="AB84" s="24">
        <f t="shared" ca="1" si="67"/>
        <v>49042.093131143192</v>
      </c>
      <c r="AC84" s="148">
        <f t="shared" ca="1" si="68"/>
        <v>2424.6773923656369</v>
      </c>
      <c r="AD84" s="148">
        <f t="shared" ca="1" si="69"/>
        <v>1788.1101713610892</v>
      </c>
      <c r="AE84" s="148">
        <f t="shared" ca="1" si="70"/>
        <v>858.29288225332277</v>
      </c>
      <c r="AF84" s="148">
        <f t="shared" ca="1" si="71"/>
        <v>107.28661028166535</v>
      </c>
      <c r="AG84" s="148">
        <f t="shared" ca="1" si="72"/>
        <v>214.57322056333069</v>
      </c>
      <c r="AH84" s="148">
        <f t="shared" ca="1" si="73"/>
        <v>21636.13307346918</v>
      </c>
      <c r="AI84" s="148">
        <f t="shared" ca="1" si="74"/>
        <v>59111.080044994684</v>
      </c>
      <c r="AJ84" s="20">
        <f t="shared" ca="1" si="75"/>
        <v>58088.139983285619</v>
      </c>
      <c r="AK84" s="148">
        <f t="shared" ca="1" si="76"/>
        <v>2833.8744054320405</v>
      </c>
      <c r="AL84" s="148">
        <f t="shared" ca="1" si="77"/>
        <v>2089.8778801121243</v>
      </c>
      <c r="AM84" s="148">
        <f t="shared" ca="1" si="78"/>
        <v>1003.1413824538197</v>
      </c>
      <c r="AN84" s="148">
        <f t="shared" ca="1" si="79"/>
        <v>125.39267280672746</v>
      </c>
      <c r="AO84" s="148">
        <f t="shared" ca="1" si="80"/>
        <v>250.78534561345492</v>
      </c>
      <c r="AP84" s="148">
        <f t="shared" ca="1" si="81"/>
        <v>30846.597510454954</v>
      </c>
      <c r="AQ84" s="148">
        <f t="shared" ca="1" si="82"/>
        <v>69086.87206982229</v>
      </c>
      <c r="AR84" s="17">
        <f t="shared" ca="1" si="83"/>
        <v>67888.86205858842</v>
      </c>
      <c r="AS84" s="148">
        <f t="shared" ca="1" si="84"/>
        <v>28887.157727288257</v>
      </c>
      <c r="AT84" s="48" t="str">
        <f>INDEX('stock fisico '!N:N, MATCH(B84, 'stock fisico '!B:B, 0))</f>
        <v>ELECTRODOMESTICOS Y AIRES ACOND</v>
      </c>
      <c r="AU84" s="46" t="str">
        <f>INDEX('stock fisico '!D:D, MATCH(B84, 'stock fisico '!B:B, 0))</f>
        <v xml:space="preserve">Pequeños Electrodomesticos </v>
      </c>
      <c r="AV84" s="43" t="str">
        <f>INDEX('stock fisico '!L:L, MATCH(B84, 'stock fisico '!B:B, 0))</f>
        <v>AIWA</v>
      </c>
    </row>
    <row r="85" spans="1:48" x14ac:dyDescent="0.25">
      <c r="A85" s="48">
        <f>INDEX('stock fisico '!M:M, MATCH(B85, 'stock fisico '!B:B, 0))</f>
        <v>9426</v>
      </c>
      <c r="B85" s="47" t="s">
        <v>931</v>
      </c>
      <c r="C85" s="46" t="str">
        <f>INDEX('stock fisico '!C:C, MATCH(B85, 'stock fisico '!B:B, 0))</f>
        <v>ESTUFA A CUARZO DOBLE POSICION STQZ21 STAR-TRAK  EAN:  7798185861754</v>
      </c>
      <c r="D85" s="44">
        <f>INDEX('stock fisico '!I:I, MATCH(B85, 'stock fisico '!B:B, 0))</f>
        <v>12798</v>
      </c>
      <c r="E85" s="6">
        <f t="shared" ca="1" si="85"/>
        <v>15607.317073170732</v>
      </c>
      <c r="F85" s="148">
        <f t="shared" ca="1" si="45"/>
        <v>693.22778694776525</v>
      </c>
      <c r="G85" s="148">
        <f t="shared" ca="1" si="46"/>
        <v>422.50407551851907</v>
      </c>
      <c r="H85" s="148">
        <f t="shared" ca="1" si="47"/>
        <v>202.80195624888916</v>
      </c>
      <c r="I85" s="148">
        <f t="shared" ca="1" si="48"/>
        <v>25.350244531111144</v>
      </c>
      <c r="J85" s="148">
        <f t="shared" ca="1" si="49"/>
        <v>50.700489062222289</v>
      </c>
      <c r="K85" s="148">
        <f t="shared" ca="1" si="50"/>
        <v>16900.163020740762</v>
      </c>
      <c r="L85" s="32">
        <f t="shared" ca="1" si="51"/>
        <v>16554.047305429609</v>
      </c>
      <c r="M85" s="148">
        <f t="shared" ca="1" si="52"/>
        <v>838.83101414780242</v>
      </c>
      <c r="N85" s="148">
        <f t="shared" ca="1" si="53"/>
        <v>511.2454070965909</v>
      </c>
      <c r="O85" s="148">
        <f t="shared" ca="1" si="54"/>
        <v>245.39779540636363</v>
      </c>
      <c r="P85" s="148">
        <f t="shared" ca="1" si="55"/>
        <v>30.674724425795453</v>
      </c>
      <c r="Q85" s="148">
        <f t="shared" ca="1" si="56"/>
        <v>61.349448851590907</v>
      </c>
      <c r="R85" s="148">
        <f t="shared" ca="1" si="57"/>
        <v>3278.6167957104371</v>
      </c>
      <c r="S85" s="148">
        <f t="shared" ca="1" si="58"/>
        <v>20449.816283863634</v>
      </c>
      <c r="T85" s="28">
        <f t="shared" ca="1" si="59"/>
        <v>20031.512127286926</v>
      </c>
      <c r="U85" s="148">
        <f t="shared" ca="1" si="60"/>
        <v>969.55298610660941</v>
      </c>
      <c r="V85" s="148">
        <f t="shared" ca="1" si="61"/>
        <v>715.00957677478573</v>
      </c>
      <c r="W85" s="148">
        <f t="shared" ca="1" si="62"/>
        <v>343.20459685189712</v>
      </c>
      <c r="X85" s="148">
        <f t="shared" ca="1" si="63"/>
        <v>42.90057460648714</v>
      </c>
      <c r="Y85" s="148">
        <f t="shared" ca="1" si="64"/>
        <v>85.801149212974281</v>
      </c>
      <c r="Z85" s="148">
        <f t="shared" ca="1" si="65"/>
        <v>6220.5833179406354</v>
      </c>
      <c r="AA85" s="148">
        <f t="shared" ca="1" si="66"/>
        <v>23636.680223959858</v>
      </c>
      <c r="AB85" s="24">
        <f t="shared" ca="1" si="67"/>
        <v>23226.45912328285</v>
      </c>
      <c r="AC85" s="148">
        <f t="shared" ca="1" si="68"/>
        <v>1148.3333345975348</v>
      </c>
      <c r="AD85" s="148">
        <f t="shared" ca="1" si="69"/>
        <v>846.85349159110228</v>
      </c>
      <c r="AE85" s="148">
        <f t="shared" ca="1" si="70"/>
        <v>406.4896759637291</v>
      </c>
      <c r="AF85" s="148">
        <f t="shared" ca="1" si="71"/>
        <v>50.811209495466137</v>
      </c>
      <c r="AG85" s="148">
        <f t="shared" ca="1" si="72"/>
        <v>101.62241899093227</v>
      </c>
      <c r="AH85" s="148">
        <f t="shared" ca="1" si="73"/>
        <v>10246.927248252337</v>
      </c>
      <c r="AI85" s="148">
        <f t="shared" ca="1" si="74"/>
        <v>27995.1567468133</v>
      </c>
      <c r="AJ85" s="20">
        <f t="shared" ca="1" si="75"/>
        <v>27510.689750975267</v>
      </c>
      <c r="AK85" s="148">
        <f t="shared" ca="1" si="76"/>
        <v>1342.1300730838213</v>
      </c>
      <c r="AL85" s="148">
        <f t="shared" ca="1" si="77"/>
        <v>989.77144032730189</v>
      </c>
      <c r="AM85" s="148">
        <f t="shared" ca="1" si="78"/>
        <v>475.09029135710489</v>
      </c>
      <c r="AN85" s="148">
        <f t="shared" ca="1" si="79"/>
        <v>59.386286419638111</v>
      </c>
      <c r="AO85" s="148">
        <f t="shared" ca="1" si="80"/>
        <v>118.77257283927622</v>
      </c>
      <c r="AP85" s="148">
        <f t="shared" ca="1" si="81"/>
        <v>14609.026459230976</v>
      </c>
      <c r="AQ85" s="148">
        <f t="shared" ca="1" si="82"/>
        <v>32719.717035613285</v>
      </c>
      <c r="AR85" s="17">
        <f t="shared" ca="1" si="83"/>
        <v>32152.336469681912</v>
      </c>
      <c r="AS85" s="148">
        <f t="shared" ca="1" si="84"/>
        <v>13681.030830933561</v>
      </c>
      <c r="AT85" s="48" t="str">
        <f>INDEX('stock fisico '!N:N, MATCH(B85, 'stock fisico '!B:B, 0))</f>
        <v>ELECTRODOMESTICOS Y AIRES ACOND</v>
      </c>
      <c r="AU85" s="46" t="str">
        <f>INDEX('stock fisico '!D:D, MATCH(B85, 'stock fisico '!B:B, 0))</f>
        <v>Estufas y Calefactores Eléctricos</v>
      </c>
      <c r="AV85" s="43" t="str">
        <f>INDEX('stock fisico '!L:L, MATCH(B85, 'stock fisico '!B:B, 0))</f>
        <v>Star-trak</v>
      </c>
    </row>
    <row r="86" spans="1:48" x14ac:dyDescent="0.25">
      <c r="A86" s="48">
        <f>INDEX('stock fisico '!M:M, MATCH(B86, 'stock fisico '!B:B, 0))</f>
        <v>9902</v>
      </c>
      <c r="B86" s="47" t="s">
        <v>1375</v>
      </c>
      <c r="C86" s="46" t="str">
        <f>INDEX('stock fisico '!C:C, MATCH(B86, 'stock fisico '!B:B, 0))</f>
        <v xml:space="preserve">PARLANTE PORTATILA AIWA AW-PP580 EAN </v>
      </c>
      <c r="D86" s="44">
        <f>INDEX('stock fisico '!I:I, MATCH(B86, 'stock fisico '!B:B, 0))</f>
        <v>239720.64</v>
      </c>
      <c r="E86" s="6">
        <f t="shared" ca="1" si="85"/>
        <v>292342.24390243902</v>
      </c>
      <c r="F86" s="148">
        <f t="shared" ca="1" si="45"/>
        <v>12984.920202602121</v>
      </c>
      <c r="G86" s="148">
        <f t="shared" ca="1" si="46"/>
        <v>7913.9668218399529</v>
      </c>
      <c r="H86" s="148">
        <f t="shared" ca="1" si="47"/>
        <v>3798.7040744831775</v>
      </c>
      <c r="I86" s="148">
        <f t="shared" ca="1" si="48"/>
        <v>474.83800931039718</v>
      </c>
      <c r="J86" s="148">
        <f t="shared" ca="1" si="49"/>
        <v>949.67601862079437</v>
      </c>
      <c r="K86" s="148">
        <f t="shared" ca="1" si="50"/>
        <v>316558.67287359812</v>
      </c>
      <c r="L86" s="32">
        <f t="shared" ca="1" si="51"/>
        <v>310075.5441981451</v>
      </c>
      <c r="M86" s="148">
        <f t="shared" ca="1" si="52"/>
        <v>15712.229064178799</v>
      </c>
      <c r="N86" s="148">
        <f t="shared" ca="1" si="53"/>
        <v>9576.1897316967734</v>
      </c>
      <c r="O86" s="148">
        <f t="shared" ca="1" si="54"/>
        <v>4596.571071214451</v>
      </c>
      <c r="P86" s="148">
        <f t="shared" ca="1" si="55"/>
        <v>574.57138390180637</v>
      </c>
      <c r="Q86" s="148">
        <f t="shared" ca="1" si="56"/>
        <v>1149.1427678036127</v>
      </c>
      <c r="R86" s="148">
        <f t="shared" ca="1" si="57"/>
        <v>61412.104749371407</v>
      </c>
      <c r="S86" s="148">
        <f t="shared" ca="1" si="58"/>
        <v>383047.58926787094</v>
      </c>
      <c r="T86" s="28">
        <f t="shared" ca="1" si="59"/>
        <v>375212.29155500728</v>
      </c>
      <c r="U86" s="148">
        <f t="shared" ca="1" si="60"/>
        <v>18160.795619892757</v>
      </c>
      <c r="V86" s="148">
        <f t="shared" ca="1" si="61"/>
        <v>13392.917123814717</v>
      </c>
      <c r="W86" s="148">
        <f t="shared" ca="1" si="62"/>
        <v>6428.6002194310649</v>
      </c>
      <c r="X86" s="148">
        <f t="shared" ca="1" si="63"/>
        <v>803.57502742888312</v>
      </c>
      <c r="Y86" s="148">
        <f t="shared" ca="1" si="64"/>
        <v>1607.1500548577662</v>
      </c>
      <c r="Z86" s="148">
        <f t="shared" ca="1" si="65"/>
        <v>116518.37897718804</v>
      </c>
      <c r="AA86" s="148">
        <f t="shared" ca="1" si="66"/>
        <v>442741.0619442882</v>
      </c>
      <c r="AB86" s="24">
        <f t="shared" ca="1" si="67"/>
        <v>435057.16877380863</v>
      </c>
      <c r="AC86" s="148">
        <f t="shared" ca="1" si="68"/>
        <v>21509.548515631755</v>
      </c>
      <c r="AD86" s="148">
        <f t="shared" ca="1" si="69"/>
        <v>15862.498905333152</v>
      </c>
      <c r="AE86" s="148">
        <f t="shared" ca="1" si="70"/>
        <v>7613.9994745599133</v>
      </c>
      <c r="AF86" s="148">
        <f t="shared" ca="1" si="71"/>
        <v>951.74993431998917</v>
      </c>
      <c r="AG86" s="148">
        <f t="shared" ca="1" si="72"/>
        <v>1903.4998686399783</v>
      </c>
      <c r="AH86" s="148">
        <f t="shared" ca="1" si="73"/>
        <v>191936.23675453113</v>
      </c>
      <c r="AI86" s="148">
        <f t="shared" ca="1" si="74"/>
        <v>524380.12910192239</v>
      </c>
      <c r="AJ86" s="20">
        <f t="shared" ca="1" si="75"/>
        <v>515305.52851580177</v>
      </c>
      <c r="AK86" s="148">
        <f t="shared" ca="1" si="76"/>
        <v>25139.574940060978</v>
      </c>
      <c r="AL86" s="148">
        <f t="shared" ca="1" si="77"/>
        <v>18539.509542817832</v>
      </c>
      <c r="AM86" s="148">
        <f t="shared" ca="1" si="78"/>
        <v>8898.9645805525597</v>
      </c>
      <c r="AN86" s="148">
        <f t="shared" ca="1" si="79"/>
        <v>1112.37057256907</v>
      </c>
      <c r="AO86" s="148">
        <f t="shared" ca="1" si="80"/>
        <v>2224.7411451381399</v>
      </c>
      <c r="AP86" s="148">
        <f t="shared" ca="1" si="81"/>
        <v>273643.16085199121</v>
      </c>
      <c r="AQ86" s="148">
        <f t="shared" ca="1" si="82"/>
        <v>612876.34852290351</v>
      </c>
      <c r="AR86" s="17">
        <f t="shared" ca="1" si="83"/>
        <v>602248.68542018184</v>
      </c>
      <c r="AS86" s="148">
        <f t="shared" ca="1" si="84"/>
        <v>256260.78032904555</v>
      </c>
      <c r="AT86" s="48" t="str">
        <f>INDEX('stock fisico '!N:N, MATCH(B86, 'stock fisico '!B:B, 0))</f>
        <v>TV-AUDIO-VIDEO</v>
      </c>
      <c r="AU86" s="46" t="str">
        <f>INDEX('stock fisico '!D:D, MATCH(B86, 'stock fisico '!B:B, 0))</f>
        <v>Parlantes</v>
      </c>
      <c r="AV86" s="43" t="str">
        <f>INDEX('stock fisico '!L:L, MATCH(B86, 'stock fisico '!B:B, 0))</f>
        <v>AIWA</v>
      </c>
    </row>
    <row r="87" spans="1:48" x14ac:dyDescent="0.25">
      <c r="A87" s="48">
        <f>INDEX('stock fisico '!M:M, MATCH(B87, 'stock fisico '!B:B, 0))</f>
        <v>9566</v>
      </c>
      <c r="B87" s="47" t="s">
        <v>437</v>
      </c>
      <c r="C87" s="46" t="str">
        <f>INDEX('stock fisico '!C:C, MATCH(B87, 'stock fisico '!B:B, 0))</f>
        <v>AURICULAR BT IN EAR TWA-90B BLANCO AIWA  EAN:  7798111354794</v>
      </c>
      <c r="D87" s="44">
        <f>INDEX('stock fisico '!I:I, MATCH(B87, 'stock fisico '!B:B, 0))</f>
        <v>14092.05</v>
      </c>
      <c r="E87" s="6">
        <f t="shared" ca="1" si="85"/>
        <v>17185.426829268294</v>
      </c>
      <c r="F87" s="148">
        <f t="shared" ca="1" si="45"/>
        <v>763.32244374568347</v>
      </c>
      <c r="G87" s="148">
        <f t="shared" ca="1" si="46"/>
        <v>465.22492244184616</v>
      </c>
      <c r="H87" s="148">
        <f t="shared" ca="1" si="47"/>
        <v>223.30796277208614</v>
      </c>
      <c r="I87" s="148">
        <f t="shared" ca="1" si="48"/>
        <v>27.913495346510768</v>
      </c>
      <c r="J87" s="148">
        <f t="shared" ca="1" si="49"/>
        <v>55.826990693021536</v>
      </c>
      <c r="K87" s="148">
        <f t="shared" ca="1" si="50"/>
        <v>18608.996897673846</v>
      </c>
      <c r="L87" s="32">
        <f t="shared" ca="1" si="51"/>
        <v>18227.884226479084</v>
      </c>
      <c r="M87" s="148">
        <f t="shared" ca="1" si="52"/>
        <v>923.64811634017337</v>
      </c>
      <c r="N87" s="148">
        <f t="shared" ca="1" si="53"/>
        <v>562.93919667725538</v>
      </c>
      <c r="O87" s="148">
        <f t="shared" ca="1" si="54"/>
        <v>270.21081440508254</v>
      </c>
      <c r="P87" s="148">
        <f t="shared" ca="1" si="55"/>
        <v>33.776351800635318</v>
      </c>
      <c r="Q87" s="148">
        <f t="shared" ca="1" si="56"/>
        <v>67.552703601270636</v>
      </c>
      <c r="R87" s="148">
        <f t="shared" ca="1" si="57"/>
        <v>3610.1290682912381</v>
      </c>
      <c r="S87" s="148">
        <f t="shared" ca="1" si="58"/>
        <v>22517.567867090213</v>
      </c>
      <c r="T87" s="28">
        <f t="shared" ca="1" si="59"/>
        <v>22056.967531906059</v>
      </c>
      <c r="U87" s="148">
        <f t="shared" ca="1" si="60"/>
        <v>1067.5878385578719</v>
      </c>
      <c r="V87" s="148">
        <f t="shared" ca="1" si="61"/>
        <v>787.30666560315046</v>
      </c>
      <c r="W87" s="148">
        <f t="shared" ca="1" si="62"/>
        <v>377.90719948951221</v>
      </c>
      <c r="X87" s="148">
        <f t="shared" ca="1" si="63"/>
        <v>47.238399936189026</v>
      </c>
      <c r="Y87" s="148">
        <f t="shared" ca="1" si="64"/>
        <v>94.476799872378052</v>
      </c>
      <c r="Z87" s="148">
        <f t="shared" ca="1" si="65"/>
        <v>6849.5679907474087</v>
      </c>
      <c r="AA87" s="148">
        <f t="shared" ca="1" si="66"/>
        <v>26026.666631509106</v>
      </c>
      <c r="AB87" s="24">
        <f t="shared" ca="1" si="67"/>
        <v>25574.966657935467</v>
      </c>
      <c r="AC87" s="148">
        <f t="shared" ca="1" si="68"/>
        <v>1264.4452858114698</v>
      </c>
      <c r="AD87" s="148">
        <f t="shared" ca="1" si="69"/>
        <v>932.48177419724914</v>
      </c>
      <c r="AE87" s="148">
        <f t="shared" ca="1" si="70"/>
        <v>447.59125161467961</v>
      </c>
      <c r="AF87" s="148">
        <f t="shared" ca="1" si="71"/>
        <v>55.948906451834951</v>
      </c>
      <c r="AG87" s="148">
        <f t="shared" ca="1" si="72"/>
        <v>111.8978129036699</v>
      </c>
      <c r="AH87" s="148">
        <f t="shared" ca="1" si="73"/>
        <v>11283.029467786715</v>
      </c>
      <c r="AI87" s="148">
        <f t="shared" ca="1" si="74"/>
        <v>30825.843775115674</v>
      </c>
      <c r="AJ87" s="20">
        <f t="shared" ca="1" si="75"/>
        <v>30292.390647384826</v>
      </c>
      <c r="AK87" s="148">
        <f t="shared" ca="1" si="76"/>
        <v>1477.8374821379016</v>
      </c>
      <c r="AL87" s="148">
        <f t="shared" ca="1" si="77"/>
        <v>1089.8506505441753</v>
      </c>
      <c r="AM87" s="148">
        <f t="shared" ca="1" si="78"/>
        <v>523.12831226120409</v>
      </c>
      <c r="AN87" s="148">
        <f t="shared" ca="1" si="79"/>
        <v>65.391039032650511</v>
      </c>
      <c r="AO87" s="148">
        <f t="shared" ca="1" si="80"/>
        <v>130.78207806530102</v>
      </c>
      <c r="AP87" s="148">
        <f t="shared" ca="1" si="81"/>
        <v>16086.195602032027</v>
      </c>
      <c r="AQ87" s="148">
        <f t="shared" ca="1" si="82"/>
        <v>36028.12067914629</v>
      </c>
      <c r="AR87" s="17">
        <f t="shared" ca="1" si="83"/>
        <v>35403.370303764728</v>
      </c>
      <c r="AS87" s="148">
        <f t="shared" ca="1" si="84"/>
        <v>15064.367129321558</v>
      </c>
      <c r="AT87" s="48" t="str">
        <f>INDEX('stock fisico '!N:N, MATCH(B87, 'stock fisico '!B:B, 0))</f>
        <v>TV-AUDIO-VIDEO</v>
      </c>
      <c r="AU87" s="46" t="str">
        <f>INDEX('stock fisico '!D:D, MATCH(B87, 'stock fisico '!B:B, 0))</f>
        <v>Auriculares</v>
      </c>
      <c r="AV87" s="43" t="str">
        <f>INDEX('stock fisico '!L:L, MATCH(B87, 'stock fisico '!B:B, 0))</f>
        <v>AIWA</v>
      </c>
    </row>
    <row r="88" spans="1:48" x14ac:dyDescent="0.25">
      <c r="A88" s="48">
        <f>INDEX('stock fisico '!M:M, MATCH(B88, 'stock fisico '!B:B, 0))</f>
        <v>9072</v>
      </c>
      <c r="B88" s="47" t="s">
        <v>240</v>
      </c>
      <c r="C88" s="46" t="str">
        <f>INDEX('stock fisico '!C:C, MATCH(B88, 'stock fisico '!B:B, 0))</f>
        <v>CARRY DISK EXTERNO P/SSD M2 SATA/NVME TIPO C  NETMAK  EAN:  0700306603690</v>
      </c>
      <c r="D88" s="44">
        <f>INDEX('stock fisico '!I:I, MATCH(B88, 'stock fisico '!B:B, 0))</f>
        <v>27168.9</v>
      </c>
      <c r="E88" s="6">
        <f t="shared" ca="1" si="85"/>
        <v>33132.804878048781</v>
      </c>
      <c r="F88" s="148">
        <f t="shared" ca="1" si="45"/>
        <v>1471.6546664170294</v>
      </c>
      <c r="G88" s="148">
        <f t="shared" ca="1" si="46"/>
        <v>896.93475366112625</v>
      </c>
      <c r="H88" s="148">
        <f t="shared" ca="1" si="47"/>
        <v>430.52868175734056</v>
      </c>
      <c r="I88" s="148">
        <f t="shared" ca="1" si="48"/>
        <v>53.816085219667571</v>
      </c>
      <c r="J88" s="148">
        <f t="shared" ca="1" si="49"/>
        <v>107.63217043933514</v>
      </c>
      <c r="K88" s="148">
        <f t="shared" ca="1" si="50"/>
        <v>35877.390146445046</v>
      </c>
      <c r="L88" s="32">
        <f t="shared" ca="1" si="51"/>
        <v>35142.620396662489</v>
      </c>
      <c r="M88" s="148">
        <f t="shared" ca="1" si="52"/>
        <v>1780.7560509673565</v>
      </c>
      <c r="N88" s="148">
        <f t="shared" ca="1" si="53"/>
        <v>1085.323905365414</v>
      </c>
      <c r="O88" s="148">
        <f t="shared" ca="1" si="54"/>
        <v>520.95547457539863</v>
      </c>
      <c r="P88" s="148">
        <f t="shared" ca="1" si="55"/>
        <v>65.119434321924828</v>
      </c>
      <c r="Q88" s="148">
        <f t="shared" ca="1" si="56"/>
        <v>130.23886864384966</v>
      </c>
      <c r="R88" s="148">
        <f t="shared" ca="1" si="57"/>
        <v>6960.1822051083991</v>
      </c>
      <c r="S88" s="148">
        <f t="shared" ca="1" si="58"/>
        <v>43412.956214616555</v>
      </c>
      <c r="T88" s="28">
        <f t="shared" ca="1" si="59"/>
        <v>42524.937477343788</v>
      </c>
      <c r="U88" s="148">
        <f t="shared" ca="1" si="60"/>
        <v>2058.265988766359</v>
      </c>
      <c r="V88" s="148">
        <f t="shared" ca="1" si="61"/>
        <v>1517.8952719515919</v>
      </c>
      <c r="W88" s="148">
        <f t="shared" ca="1" si="62"/>
        <v>728.58973053676414</v>
      </c>
      <c r="X88" s="148">
        <f t="shared" ca="1" si="63"/>
        <v>91.073716317095517</v>
      </c>
      <c r="Y88" s="148">
        <f t="shared" ca="1" si="64"/>
        <v>182.14743263419103</v>
      </c>
      <c r="Z88" s="148">
        <f t="shared" ca="1" si="65"/>
        <v>13205.688865978851</v>
      </c>
      <c r="AA88" s="148">
        <f t="shared" ca="1" si="66"/>
        <v>50178.356097573291</v>
      </c>
      <c r="AB88" s="24">
        <f t="shared" ca="1" si="67"/>
        <v>49307.496895964941</v>
      </c>
      <c r="AC88" s="148">
        <f t="shared" ca="1" si="68"/>
        <v>2437.7991509881981</v>
      </c>
      <c r="AD88" s="148">
        <f t="shared" ca="1" si="69"/>
        <v>1797.7869845045709</v>
      </c>
      <c r="AE88" s="148">
        <f t="shared" ca="1" si="70"/>
        <v>862.93775256219408</v>
      </c>
      <c r="AF88" s="148">
        <f t="shared" ca="1" si="71"/>
        <v>107.86721907027426</v>
      </c>
      <c r="AG88" s="148">
        <f t="shared" ca="1" si="72"/>
        <v>215.73443814054852</v>
      </c>
      <c r="AH88" s="148">
        <f t="shared" ca="1" si="73"/>
        <v>21753.222512505308</v>
      </c>
      <c r="AI88" s="148">
        <f t="shared" ca="1" si="74"/>
        <v>59430.974694365985</v>
      </c>
      <c r="AJ88" s="20">
        <f t="shared" ca="1" si="75"/>
        <v>58402.498732245032</v>
      </c>
      <c r="AK88" s="148">
        <f t="shared" ca="1" si="76"/>
        <v>2849.2106378033309</v>
      </c>
      <c r="AL88" s="148">
        <f t="shared" ca="1" si="77"/>
        <v>2101.1877859906572</v>
      </c>
      <c r="AM88" s="148">
        <f t="shared" ca="1" si="78"/>
        <v>1008.5701372755153</v>
      </c>
      <c r="AN88" s="148">
        <f t="shared" ca="1" si="79"/>
        <v>126.07126715943942</v>
      </c>
      <c r="AO88" s="148">
        <f t="shared" ca="1" si="80"/>
        <v>252.14253431887883</v>
      </c>
      <c r="AP88" s="148">
        <f t="shared" ca="1" si="81"/>
        <v>31013.531721222098</v>
      </c>
      <c r="AQ88" s="148">
        <f t="shared" ca="1" si="82"/>
        <v>69460.753255889489</v>
      </c>
      <c r="AR88" s="17">
        <f t="shared" ca="1" si="83"/>
        <v>68256.25990866861</v>
      </c>
      <c r="AS88" s="148">
        <f t="shared" ca="1" si="84"/>
        <v>29043.487931126027</v>
      </c>
      <c r="AT88" s="48" t="str">
        <f>INDEX('stock fisico '!N:N, MATCH(B88, 'stock fisico '!B:B, 0))</f>
        <v>INFORMATICA</v>
      </c>
      <c r="AU88" s="46" t="str">
        <f>INDEX('stock fisico '!D:D, MATCH(B88, 'stock fisico '!B:B, 0))</f>
        <v>Discos rígidos y SSD</v>
      </c>
      <c r="AV88" s="43" t="str">
        <f>INDEX('stock fisico '!L:L, MATCH(B88, 'stock fisico '!B:B, 0))</f>
        <v>Netmak</v>
      </c>
    </row>
    <row r="89" spans="1:48" x14ac:dyDescent="0.25">
      <c r="A89" s="48">
        <f>INDEX('stock fisico '!M:M, MATCH(B89, 'stock fisico '!B:B, 0))</f>
        <v>5406</v>
      </c>
      <c r="B89" s="47" t="s">
        <v>1055</v>
      </c>
      <c r="C89" s="46" t="str">
        <f>INDEX('stock fisico '!C:C, MATCH(B89, 'stock fisico '!B:B, 0))</f>
        <v>HORNO ELECTRICO BGH BHE25M19 PIH048219</v>
      </c>
      <c r="D89" s="44">
        <f>INDEX('stock fisico '!I:I, MATCH(B89, 'stock fisico '!B:B, 0))</f>
        <v>35577</v>
      </c>
      <c r="E89" s="6">
        <f t="shared" ca="1" si="85"/>
        <v>43386.585365853658</v>
      </c>
      <c r="F89" s="148">
        <f t="shared" ca="1" si="45"/>
        <v>1927.095247401207</v>
      </c>
      <c r="G89" s="148">
        <f t="shared" ca="1" si="46"/>
        <v>1174.5137908049971</v>
      </c>
      <c r="H89" s="148">
        <f t="shared" ca="1" si="47"/>
        <v>563.76661958639852</v>
      </c>
      <c r="I89" s="148">
        <f t="shared" ca="1" si="48"/>
        <v>70.470827448299815</v>
      </c>
      <c r="J89" s="148">
        <f t="shared" ca="1" si="49"/>
        <v>140.94165489659963</v>
      </c>
      <c r="K89" s="148">
        <f t="shared" ca="1" si="50"/>
        <v>46980.55163219988</v>
      </c>
      <c r="L89" s="32">
        <f t="shared" ca="1" si="51"/>
        <v>46018.388887737863</v>
      </c>
      <c r="M89" s="148">
        <f t="shared" ca="1" si="52"/>
        <v>2331.8558360944185</v>
      </c>
      <c r="N89" s="148">
        <f t="shared" ca="1" si="53"/>
        <v>1421.2047076320841</v>
      </c>
      <c r="O89" s="148">
        <f t="shared" ca="1" si="54"/>
        <v>682.17825966340035</v>
      </c>
      <c r="P89" s="148">
        <f t="shared" ca="1" si="55"/>
        <v>85.272282457925044</v>
      </c>
      <c r="Q89" s="148">
        <f t="shared" ca="1" si="56"/>
        <v>170.54456491585009</v>
      </c>
      <c r="R89" s="148">
        <f t="shared" ca="1" si="57"/>
        <v>9114.1857900445557</v>
      </c>
      <c r="S89" s="148">
        <f t="shared" ca="1" si="58"/>
        <v>56848.188305283365</v>
      </c>
      <c r="T89" s="28">
        <f t="shared" ca="1" si="59"/>
        <v>55685.349816571885</v>
      </c>
      <c r="U89" s="148">
        <f t="shared" ca="1" si="60"/>
        <v>2695.2482096198505</v>
      </c>
      <c r="V89" s="148">
        <f t="shared" ca="1" si="61"/>
        <v>1987.6461722860254</v>
      </c>
      <c r="W89" s="148">
        <f t="shared" ca="1" si="62"/>
        <v>954.07016269729218</v>
      </c>
      <c r="X89" s="148">
        <f t="shared" ca="1" si="63"/>
        <v>119.25877033716152</v>
      </c>
      <c r="Y89" s="148">
        <f t="shared" ca="1" si="64"/>
        <v>238.51754067432304</v>
      </c>
      <c r="Z89" s="148">
        <f t="shared" ca="1" si="65"/>
        <v>17292.52169888842</v>
      </c>
      <c r="AA89" s="148">
        <f t="shared" ca="1" si="66"/>
        <v>65707.311480529766</v>
      </c>
      <c r="AB89" s="24">
        <f t="shared" ca="1" si="67"/>
        <v>64566.942977733546</v>
      </c>
      <c r="AC89" s="148">
        <f t="shared" ca="1" si="68"/>
        <v>3192.2374624923032</v>
      </c>
      <c r="AD89" s="148">
        <f t="shared" ca="1" si="69"/>
        <v>2354.1574207170374</v>
      </c>
      <c r="AE89" s="148">
        <f t="shared" ca="1" si="70"/>
        <v>1129.995561944178</v>
      </c>
      <c r="AF89" s="148">
        <f t="shared" ca="1" si="71"/>
        <v>141.24944524302225</v>
      </c>
      <c r="AG89" s="148">
        <f t="shared" ca="1" si="72"/>
        <v>282.4988904860445</v>
      </c>
      <c r="AH89" s="148">
        <f t="shared" ca="1" si="73"/>
        <v>28485.304790676153</v>
      </c>
      <c r="AI89" s="148">
        <f t="shared" ca="1" si="74"/>
        <v>77823.38580882769</v>
      </c>
      <c r="AJ89" s="20">
        <f t="shared" ca="1" si="75"/>
        <v>76476.622071452337</v>
      </c>
      <c r="AK89" s="148">
        <f t="shared" ca="1" si="76"/>
        <v>3730.9705899439837</v>
      </c>
      <c r="AL89" s="148">
        <f t="shared" ca="1" si="77"/>
        <v>2751.453237421817</v>
      </c>
      <c r="AM89" s="148">
        <f t="shared" ca="1" si="78"/>
        <v>1320.6975539624721</v>
      </c>
      <c r="AN89" s="148">
        <f t="shared" ca="1" si="79"/>
        <v>165.08719424530901</v>
      </c>
      <c r="AO89" s="148">
        <f t="shared" ca="1" si="80"/>
        <v>330.17438849061801</v>
      </c>
      <c r="AP89" s="148">
        <f t="shared" ca="1" si="81"/>
        <v>40611.449784346019</v>
      </c>
      <c r="AQ89" s="148">
        <f t="shared" ca="1" si="82"/>
        <v>90957.131815597255</v>
      </c>
      <c r="AR89" s="17">
        <f t="shared" ca="1" si="83"/>
        <v>89379.877682596751</v>
      </c>
      <c r="AS89" s="148">
        <f t="shared" ca="1" si="84"/>
        <v>38031.726353502367</v>
      </c>
      <c r="AT89" s="48" t="str">
        <f>INDEX('stock fisico '!N:N, MATCH(B89, 'stock fisico '!B:B, 0))</f>
        <v>ELECTRODOMESTICOS Y AIRES ACOND</v>
      </c>
      <c r="AU89" s="46" t="str">
        <f>INDEX('stock fisico '!D:D, MATCH(B89, 'stock fisico '!B:B, 0))</f>
        <v>Horno</v>
      </c>
      <c r="AV89" s="43" t="str">
        <f>INDEX('stock fisico '!L:L, MATCH(B89, 'stock fisico '!B:B, 0))</f>
        <v>Bgh</v>
      </c>
    </row>
    <row r="90" spans="1:48" x14ac:dyDescent="0.25">
      <c r="A90" s="48">
        <f>INDEX('stock fisico '!M:M, MATCH(B90, 'stock fisico '!B:B, 0))</f>
        <v>9928</v>
      </c>
      <c r="B90" s="47" t="s">
        <v>1400</v>
      </c>
      <c r="C90" s="46" t="str">
        <f>INDEX('stock fisico '!C:C, MATCH(B90, 'stock fisico '!B:B, 0))</f>
        <v>YOGURTERA AIWA DIGITAL-TIMER AW-YG816 1.6L EAN</v>
      </c>
      <c r="D90" s="44">
        <f>INDEX('stock fisico '!I:I, MATCH(B90, 'stock fisico '!B:B, 0))</f>
        <v>34868.089999999997</v>
      </c>
      <c r="E90" s="6">
        <f t="shared" ca="1" si="85"/>
        <v>42522.060975609755</v>
      </c>
      <c r="F90" s="148">
        <f t="shared" ca="1" si="45"/>
        <v>1888.6958013592362</v>
      </c>
      <c r="G90" s="148">
        <f t="shared" ca="1" si="46"/>
        <v>1151.1103399395622</v>
      </c>
      <c r="H90" s="148">
        <f t="shared" ca="1" si="47"/>
        <v>552.53296317098989</v>
      </c>
      <c r="I90" s="148">
        <f t="shared" ca="1" si="48"/>
        <v>69.066620396373736</v>
      </c>
      <c r="J90" s="148">
        <f t="shared" ca="1" si="49"/>
        <v>138.13324079274747</v>
      </c>
      <c r="K90" s="148">
        <f t="shared" ca="1" si="50"/>
        <v>46044.41359758249</v>
      </c>
      <c r="L90" s="32">
        <f t="shared" ca="1" si="51"/>
        <v>45101.42298093273</v>
      </c>
      <c r="M90" s="148">
        <f t="shared" ca="1" si="52"/>
        <v>2285.3910998669203</v>
      </c>
      <c r="N90" s="148">
        <f t="shared" ca="1" si="53"/>
        <v>1392.8856748500211</v>
      </c>
      <c r="O90" s="148">
        <f t="shared" ca="1" si="54"/>
        <v>668.58512392801003</v>
      </c>
      <c r="P90" s="148">
        <f t="shared" ca="1" si="55"/>
        <v>83.573140491001254</v>
      </c>
      <c r="Q90" s="148">
        <f t="shared" ca="1" si="56"/>
        <v>167.14628098200251</v>
      </c>
      <c r="R90" s="148">
        <f t="shared" ca="1" si="57"/>
        <v>8932.5758328131833</v>
      </c>
      <c r="S90" s="148">
        <f t="shared" ca="1" si="58"/>
        <v>55715.426994000838</v>
      </c>
      <c r="T90" s="28">
        <f t="shared" ca="1" si="59"/>
        <v>54575.759313199873</v>
      </c>
      <c r="U90" s="148">
        <f t="shared" ca="1" si="60"/>
        <v>2641.5424893994382</v>
      </c>
      <c r="V90" s="148">
        <f t="shared" ca="1" si="61"/>
        <v>1948.0401839228894</v>
      </c>
      <c r="W90" s="148">
        <f t="shared" ca="1" si="62"/>
        <v>935.05928828298693</v>
      </c>
      <c r="X90" s="148">
        <f t="shared" ca="1" si="63"/>
        <v>116.88241103537337</v>
      </c>
      <c r="Y90" s="148">
        <f t="shared" ca="1" si="64"/>
        <v>233.76482207074673</v>
      </c>
      <c r="Z90" s="148">
        <f t="shared" ca="1" si="65"/>
        <v>16947.949600129137</v>
      </c>
      <c r="AA90" s="148">
        <f t="shared" ca="1" si="66"/>
        <v>64398.022609021136</v>
      </c>
      <c r="AB90" s="24">
        <f t="shared" ca="1" si="67"/>
        <v>63280.37717549206</v>
      </c>
      <c r="AC90" s="148">
        <f t="shared" ca="1" si="68"/>
        <v>3128.6286967297201</v>
      </c>
      <c r="AD90" s="148">
        <f t="shared" ca="1" si="69"/>
        <v>2307.248301423097</v>
      </c>
      <c r="AE90" s="148">
        <f t="shared" ca="1" si="70"/>
        <v>1107.4791846830867</v>
      </c>
      <c r="AF90" s="148">
        <f t="shared" ca="1" si="71"/>
        <v>138.43489808538584</v>
      </c>
      <c r="AG90" s="148">
        <f t="shared" ca="1" si="72"/>
        <v>276.86979617077168</v>
      </c>
      <c r="AH90" s="148">
        <f t="shared" ca="1" si="73"/>
        <v>27917.704447219476</v>
      </c>
      <c r="AI90" s="148">
        <f t="shared" ca="1" si="74"/>
        <v>76272.671121424704</v>
      </c>
      <c r="AJ90" s="20">
        <f t="shared" ca="1" si="75"/>
        <v>74952.743100412801</v>
      </c>
      <c r="AK90" s="148">
        <f t="shared" ca="1" si="76"/>
        <v>3656.626987028696</v>
      </c>
      <c r="AL90" s="148">
        <f t="shared" ca="1" si="77"/>
        <v>2696.6275715550855</v>
      </c>
      <c r="AM90" s="148">
        <f t="shared" ca="1" si="78"/>
        <v>1294.381234346441</v>
      </c>
      <c r="AN90" s="148">
        <f t="shared" ca="1" si="79"/>
        <v>161.79765429330513</v>
      </c>
      <c r="AO90" s="148">
        <f t="shared" ca="1" si="80"/>
        <v>323.59530858661026</v>
      </c>
      <c r="AP90" s="148">
        <f t="shared" ca="1" si="81"/>
        <v>39802.222956153062</v>
      </c>
      <c r="AQ90" s="148">
        <f t="shared" ca="1" si="82"/>
        <v>89144.713109259028</v>
      </c>
      <c r="AR90" s="17">
        <f t="shared" ca="1" si="83"/>
        <v>87598.887461724575</v>
      </c>
      <c r="AS90" s="148">
        <f t="shared" ca="1" si="84"/>
        <v>37273.903290027054</v>
      </c>
      <c r="AT90" s="48" t="str">
        <f>INDEX('stock fisico '!N:N, MATCH(B90, 'stock fisico '!B:B, 0))</f>
        <v>ELECTRODOMESTICOS Y AIRES ACOND</v>
      </c>
      <c r="AU90" s="46" t="str">
        <f>INDEX('stock fisico '!D:D, MATCH(B90, 'stock fisico '!B:B, 0))</f>
        <v xml:space="preserve">Pequeños Electrodomesticos </v>
      </c>
      <c r="AV90" s="43" t="str">
        <f>INDEX('stock fisico '!L:L, MATCH(B90, 'stock fisico '!B:B, 0))</f>
        <v>AIWA</v>
      </c>
    </row>
    <row r="91" spans="1:48" x14ac:dyDescent="0.25">
      <c r="A91" s="48">
        <f>INDEX('stock fisico '!M:M, MATCH(B91, 'stock fisico '!B:B, 0))</f>
        <v>9914</v>
      </c>
      <c r="B91" s="47" t="s">
        <v>1383</v>
      </c>
      <c r="C91" s="46" t="str">
        <f>INDEX('stock fisico '!C:C, MATCH(B91, 'stock fisico '!B:B, 0))</f>
        <v xml:space="preserve">TOSTADORA ELECTRICA AIWA AWK-TO800B 800W BLANCA EAN </v>
      </c>
      <c r="D91" s="44">
        <f>INDEX('stock fisico '!I:I, MATCH(B91, 'stock fisico '!B:B, 0))</f>
        <v>26150.959999999999</v>
      </c>
      <c r="E91" s="6">
        <f t="shared" ca="1" si="85"/>
        <v>31891.414634146342</v>
      </c>
      <c r="F91" s="148">
        <f t="shared" ca="1" si="45"/>
        <v>1416.5160280793509</v>
      </c>
      <c r="G91" s="148">
        <f t="shared" ca="1" si="46"/>
        <v>863.32920602607999</v>
      </c>
      <c r="H91" s="148">
        <f t="shared" ca="1" si="47"/>
        <v>414.39801889251839</v>
      </c>
      <c r="I91" s="148">
        <f t="shared" ca="1" si="48"/>
        <v>51.799752361564799</v>
      </c>
      <c r="J91" s="148">
        <f t="shared" ca="1" si="49"/>
        <v>103.5995047231296</v>
      </c>
      <c r="K91" s="148">
        <f t="shared" ca="1" si="50"/>
        <v>34533.168241043197</v>
      </c>
      <c r="L91" s="32">
        <f t="shared" ca="1" si="51"/>
        <v>33825.928185841338</v>
      </c>
      <c r="M91" s="148">
        <f t="shared" ca="1" si="52"/>
        <v>1714.036278929412</v>
      </c>
      <c r="N91" s="148">
        <f t="shared" ca="1" si="53"/>
        <v>1044.6599618039274</v>
      </c>
      <c r="O91" s="148">
        <f t="shared" ca="1" si="54"/>
        <v>501.43678166588518</v>
      </c>
      <c r="P91" s="148">
        <f t="shared" ca="1" si="55"/>
        <v>62.679597708235647</v>
      </c>
      <c r="Q91" s="148">
        <f t="shared" ca="1" si="56"/>
        <v>125.35919541647129</v>
      </c>
      <c r="R91" s="148">
        <f t="shared" ca="1" si="57"/>
        <v>6699.4043350485863</v>
      </c>
      <c r="S91" s="148">
        <f t="shared" ca="1" si="58"/>
        <v>41786.398472157096</v>
      </c>
      <c r="T91" s="28">
        <f t="shared" ca="1" si="59"/>
        <v>40931.651225206697</v>
      </c>
      <c r="U91" s="148">
        <f t="shared" ca="1" si="60"/>
        <v>1981.1487230469213</v>
      </c>
      <c r="V91" s="148">
        <f t="shared" ca="1" si="61"/>
        <v>1461.0241320405023</v>
      </c>
      <c r="W91" s="148">
        <f t="shared" ca="1" si="62"/>
        <v>701.29158337944114</v>
      </c>
      <c r="X91" s="148">
        <f t="shared" ca="1" si="63"/>
        <v>87.661447922430142</v>
      </c>
      <c r="Y91" s="148">
        <f t="shared" ca="1" si="64"/>
        <v>175.32289584486028</v>
      </c>
      <c r="Z91" s="148">
        <f t="shared" ca="1" si="65"/>
        <v>12710.909948752371</v>
      </c>
      <c r="AA91" s="148">
        <f t="shared" ca="1" si="66"/>
        <v>48298.318414562062</v>
      </c>
      <c r="AB91" s="24">
        <f t="shared" ca="1" si="67"/>
        <v>47460.087785169933</v>
      </c>
      <c r="AC91" s="148">
        <f t="shared" ca="1" si="68"/>
        <v>2346.4618768344076</v>
      </c>
      <c r="AD91" s="148">
        <f t="shared" ca="1" si="69"/>
        <v>1730.4291127097401</v>
      </c>
      <c r="AE91" s="148">
        <f t="shared" ca="1" si="70"/>
        <v>830.60597410067521</v>
      </c>
      <c r="AF91" s="148">
        <f t="shared" ca="1" si="71"/>
        <v>103.8257467625844</v>
      </c>
      <c r="AG91" s="148">
        <f t="shared" ca="1" si="72"/>
        <v>207.6514935251688</v>
      </c>
      <c r="AH91" s="148">
        <f t="shared" ca="1" si="73"/>
        <v>20938.192263787856</v>
      </c>
      <c r="AI91" s="148">
        <f t="shared" ca="1" si="74"/>
        <v>57204.268188751739</v>
      </c>
      <c r="AJ91" s="20">
        <f t="shared" ca="1" si="75"/>
        <v>56214.326242394454</v>
      </c>
      <c r="AK91" s="148">
        <f t="shared" ca="1" si="76"/>
        <v>2742.4589667144933</v>
      </c>
      <c r="AL91" s="148">
        <f t="shared" ca="1" si="77"/>
        <v>2022.4623648336969</v>
      </c>
      <c r="AM91" s="148">
        <f t="shared" ca="1" si="78"/>
        <v>970.78193512017458</v>
      </c>
      <c r="AN91" s="148">
        <f t="shared" ca="1" si="79"/>
        <v>121.34774189002182</v>
      </c>
      <c r="AO91" s="148">
        <f t="shared" ca="1" si="80"/>
        <v>242.69548378004365</v>
      </c>
      <c r="AP91" s="148">
        <f t="shared" ca="1" si="81"/>
        <v>29851.54450494537</v>
      </c>
      <c r="AQ91" s="148">
        <f t="shared" ca="1" si="82"/>
        <v>66858.259994502383</v>
      </c>
      <c r="AR91" s="17">
        <f t="shared" ca="1" si="83"/>
        <v>65698.89552470643</v>
      </c>
      <c r="AS91" s="148">
        <f t="shared" ca="1" si="84"/>
        <v>27955.312550282099</v>
      </c>
      <c r="AT91" s="48" t="str">
        <f>INDEX('stock fisico '!N:N, MATCH(B91, 'stock fisico '!B:B, 0))</f>
        <v>ELECTRODOMESTICOS Y AIRES ACOND</v>
      </c>
      <c r="AU91" s="46" t="str">
        <f>INDEX('stock fisico '!D:D, MATCH(B91, 'stock fisico '!B:B, 0))</f>
        <v xml:space="preserve">Pequeños Electrodomesticos </v>
      </c>
      <c r="AV91" s="43" t="str">
        <f>INDEX('stock fisico '!L:L, MATCH(B91, 'stock fisico '!B:B, 0))</f>
        <v>AIWA</v>
      </c>
    </row>
    <row r="92" spans="1:48" x14ac:dyDescent="0.25">
      <c r="A92" s="48">
        <f>INDEX('stock fisico '!M:M, MATCH(B92, 'stock fisico '!B:B, 0))</f>
        <v>9915</v>
      </c>
      <c r="B92" s="47" t="s">
        <v>1385</v>
      </c>
      <c r="C92" s="46" t="str">
        <f>INDEX('stock fisico '!C:C, MATCH(B92, 'stock fisico '!B:B, 0))</f>
        <v xml:space="preserve">TOSTADORA ELECTRICA AIWA AWK-TO800N 800W NEGRA EAN </v>
      </c>
      <c r="D92" s="44">
        <f>INDEX('stock fisico '!I:I, MATCH(B92, 'stock fisico '!B:B, 0))</f>
        <v>26150.959999999999</v>
      </c>
      <c r="E92" s="6">
        <f t="shared" ca="1" si="85"/>
        <v>31891.414634146342</v>
      </c>
      <c r="F92" s="148">
        <f t="shared" ca="1" si="45"/>
        <v>1416.5160280793509</v>
      </c>
      <c r="G92" s="148">
        <f t="shared" ca="1" si="46"/>
        <v>863.32920602607999</v>
      </c>
      <c r="H92" s="148">
        <f t="shared" ca="1" si="47"/>
        <v>414.39801889251839</v>
      </c>
      <c r="I92" s="148">
        <f t="shared" ca="1" si="48"/>
        <v>51.799752361564799</v>
      </c>
      <c r="J92" s="148">
        <f t="shared" ca="1" si="49"/>
        <v>103.5995047231296</v>
      </c>
      <c r="K92" s="148">
        <f t="shared" ca="1" si="50"/>
        <v>34533.168241043197</v>
      </c>
      <c r="L92" s="32">
        <f t="shared" ca="1" si="51"/>
        <v>33825.928185841338</v>
      </c>
      <c r="M92" s="148">
        <f t="shared" ca="1" si="52"/>
        <v>1714.036278929412</v>
      </c>
      <c r="N92" s="148">
        <f t="shared" ca="1" si="53"/>
        <v>1044.6599618039274</v>
      </c>
      <c r="O92" s="148">
        <f t="shared" ca="1" si="54"/>
        <v>501.43678166588518</v>
      </c>
      <c r="P92" s="148">
        <f t="shared" ca="1" si="55"/>
        <v>62.679597708235647</v>
      </c>
      <c r="Q92" s="148">
        <f t="shared" ca="1" si="56"/>
        <v>125.35919541647129</v>
      </c>
      <c r="R92" s="148">
        <f t="shared" ca="1" si="57"/>
        <v>6699.4043350485863</v>
      </c>
      <c r="S92" s="148">
        <f t="shared" ca="1" si="58"/>
        <v>41786.398472157096</v>
      </c>
      <c r="T92" s="28">
        <f t="shared" ca="1" si="59"/>
        <v>40931.651225206697</v>
      </c>
      <c r="U92" s="148">
        <f t="shared" ca="1" si="60"/>
        <v>1981.1487230469213</v>
      </c>
      <c r="V92" s="148">
        <f t="shared" ca="1" si="61"/>
        <v>1461.0241320405023</v>
      </c>
      <c r="W92" s="148">
        <f t="shared" ca="1" si="62"/>
        <v>701.29158337944114</v>
      </c>
      <c r="X92" s="148">
        <f t="shared" ca="1" si="63"/>
        <v>87.661447922430142</v>
      </c>
      <c r="Y92" s="148">
        <f t="shared" ca="1" si="64"/>
        <v>175.32289584486028</v>
      </c>
      <c r="Z92" s="148">
        <f t="shared" ca="1" si="65"/>
        <v>12710.909948752371</v>
      </c>
      <c r="AA92" s="148">
        <f t="shared" ca="1" si="66"/>
        <v>48298.318414562062</v>
      </c>
      <c r="AB92" s="24">
        <f t="shared" ca="1" si="67"/>
        <v>47460.087785169933</v>
      </c>
      <c r="AC92" s="148">
        <f t="shared" ca="1" si="68"/>
        <v>2346.4618768344076</v>
      </c>
      <c r="AD92" s="148">
        <f t="shared" ca="1" si="69"/>
        <v>1730.4291127097401</v>
      </c>
      <c r="AE92" s="148">
        <f t="shared" ca="1" si="70"/>
        <v>830.60597410067521</v>
      </c>
      <c r="AF92" s="148">
        <f t="shared" ca="1" si="71"/>
        <v>103.8257467625844</v>
      </c>
      <c r="AG92" s="148">
        <f t="shared" ca="1" si="72"/>
        <v>207.6514935251688</v>
      </c>
      <c r="AH92" s="148">
        <f t="shared" ca="1" si="73"/>
        <v>20938.192263787856</v>
      </c>
      <c r="AI92" s="148">
        <f t="shared" ca="1" si="74"/>
        <v>57204.268188751739</v>
      </c>
      <c r="AJ92" s="20">
        <f t="shared" ca="1" si="75"/>
        <v>56214.326242394454</v>
      </c>
      <c r="AK92" s="148">
        <f t="shared" ca="1" si="76"/>
        <v>2742.4589667144933</v>
      </c>
      <c r="AL92" s="148">
        <f t="shared" ca="1" si="77"/>
        <v>2022.4623648336969</v>
      </c>
      <c r="AM92" s="148">
        <f t="shared" ca="1" si="78"/>
        <v>970.78193512017458</v>
      </c>
      <c r="AN92" s="148">
        <f t="shared" ca="1" si="79"/>
        <v>121.34774189002182</v>
      </c>
      <c r="AO92" s="148">
        <f t="shared" ca="1" si="80"/>
        <v>242.69548378004365</v>
      </c>
      <c r="AP92" s="148">
        <f t="shared" ca="1" si="81"/>
        <v>29851.54450494537</v>
      </c>
      <c r="AQ92" s="148">
        <f t="shared" ca="1" si="82"/>
        <v>66858.259994502383</v>
      </c>
      <c r="AR92" s="17">
        <f t="shared" ca="1" si="83"/>
        <v>65698.89552470643</v>
      </c>
      <c r="AS92" s="148">
        <f t="shared" ca="1" si="84"/>
        <v>27955.312550282099</v>
      </c>
      <c r="AT92" s="48" t="str">
        <f>INDEX('stock fisico '!N:N, MATCH(B92, 'stock fisico '!B:B, 0))</f>
        <v>ELECTRODOMESTICOS Y AIRES ACOND</v>
      </c>
      <c r="AU92" s="46" t="str">
        <f>INDEX('stock fisico '!D:D, MATCH(B92, 'stock fisico '!B:B, 0))</f>
        <v xml:space="preserve">Pequeños Electrodomesticos </v>
      </c>
      <c r="AV92" s="43" t="str">
        <f>INDEX('stock fisico '!L:L, MATCH(B92, 'stock fisico '!B:B, 0))</f>
        <v>AIWA</v>
      </c>
    </row>
    <row r="93" spans="1:48" x14ac:dyDescent="0.25">
      <c r="A93" s="48">
        <f>INDEX('stock fisico '!M:M, MATCH(B93, 'stock fisico '!B:B, 0))</f>
        <v>9825</v>
      </c>
      <c r="B93" s="47" t="s">
        <v>1122</v>
      </c>
      <c r="C93" s="46" t="str">
        <f>INDEX('stock fisico '!C:C, MATCH(B93, 'stock fisico '!B:B, 0))</f>
        <v>SMART TV LED TCL 32" FHD L32S5400-F ANDROID EAN 7796941328862</v>
      </c>
      <c r="D93" s="44">
        <f>INDEX('stock fisico '!I:I, MATCH(B93, 'stock fisico '!B:B, 0))</f>
        <v>201600.01</v>
      </c>
      <c r="E93" s="6">
        <f t="shared" ca="1" si="85"/>
        <v>245853.67073170733</v>
      </c>
      <c r="F93" s="148">
        <f t="shared" ca="1" si="45"/>
        <v>10920.044442955725</v>
      </c>
      <c r="G93" s="148">
        <f t="shared" ca="1" si="46"/>
        <v>6655.4794381601969</v>
      </c>
      <c r="H93" s="148">
        <f t="shared" ca="1" si="47"/>
        <v>3194.6301303168948</v>
      </c>
      <c r="I93" s="148">
        <f t="shared" ca="1" si="48"/>
        <v>399.32876628961185</v>
      </c>
      <c r="J93" s="148">
        <f t="shared" ca="1" si="49"/>
        <v>798.6575325792237</v>
      </c>
      <c r="K93" s="148">
        <f t="shared" ca="1" si="50"/>
        <v>266219.17752640788</v>
      </c>
      <c r="L93" s="32">
        <f t="shared" ca="1" si="51"/>
        <v>260767.00283755918</v>
      </c>
      <c r="M93" s="148">
        <f t="shared" ca="1" si="52"/>
        <v>13213.653761564863</v>
      </c>
      <c r="N93" s="148">
        <f t="shared" ca="1" si="53"/>
        <v>8053.3739008537887</v>
      </c>
      <c r="O93" s="148">
        <f t="shared" ca="1" si="54"/>
        <v>3865.6194724098186</v>
      </c>
      <c r="P93" s="148">
        <f t="shared" ca="1" si="55"/>
        <v>483.20243405122733</v>
      </c>
      <c r="Q93" s="148">
        <f t="shared" ca="1" si="56"/>
        <v>966.40486810245466</v>
      </c>
      <c r="R93" s="148">
        <f t="shared" ca="1" si="57"/>
        <v>51646.286826175347</v>
      </c>
      <c r="S93" s="148">
        <f t="shared" ca="1" si="58"/>
        <v>322134.95603415155</v>
      </c>
      <c r="T93" s="28">
        <f t="shared" ca="1" si="59"/>
        <v>315545.63565995981</v>
      </c>
      <c r="U93" s="148">
        <f t="shared" ca="1" si="60"/>
        <v>15272.846670934703</v>
      </c>
      <c r="V93" s="148">
        <f t="shared" ca="1" si="61"/>
        <v>11263.161261751255</v>
      </c>
      <c r="W93" s="148">
        <f t="shared" ca="1" si="62"/>
        <v>5406.3174056406024</v>
      </c>
      <c r="X93" s="148">
        <f t="shared" ca="1" si="63"/>
        <v>675.7896757050753</v>
      </c>
      <c r="Y93" s="148">
        <f t="shared" ca="1" si="64"/>
        <v>1351.5793514101506</v>
      </c>
      <c r="Z93" s="148">
        <f t="shared" ca="1" si="65"/>
        <v>97989.502977235927</v>
      </c>
      <c r="AA93" s="148">
        <f t="shared" ca="1" si="66"/>
        <v>372335.90947938035</v>
      </c>
      <c r="AB93" s="24">
        <f t="shared" ca="1" si="67"/>
        <v>365873.91713692871</v>
      </c>
      <c r="AC93" s="148">
        <f t="shared" ca="1" si="68"/>
        <v>18089.077335380243</v>
      </c>
      <c r="AD93" s="148">
        <f t="shared" ca="1" si="69"/>
        <v>13340.027533466257</v>
      </c>
      <c r="AE93" s="148">
        <f t="shared" ca="1" si="70"/>
        <v>6403.2132160638039</v>
      </c>
      <c r="AF93" s="148">
        <f t="shared" ca="1" si="71"/>
        <v>800.40165200797549</v>
      </c>
      <c r="AG93" s="148">
        <f t="shared" ca="1" si="72"/>
        <v>1600.803304015951</v>
      </c>
      <c r="AH93" s="148">
        <f t="shared" ca="1" si="73"/>
        <v>161414.33315494171</v>
      </c>
      <c r="AI93" s="148">
        <f t="shared" ca="1" si="74"/>
        <v>440992.64573442173</v>
      </c>
      <c r="AJ93" s="20">
        <f t="shared" ca="1" si="75"/>
        <v>433361.09774210904</v>
      </c>
      <c r="AK93" s="148">
        <f t="shared" ca="1" si="76"/>
        <v>21141.853114158392</v>
      </c>
      <c r="AL93" s="148">
        <f t="shared" ca="1" si="77"/>
        <v>15591.337104836572</v>
      </c>
      <c r="AM93" s="148">
        <f t="shared" ca="1" si="78"/>
        <v>7483.8418103215545</v>
      </c>
      <c r="AN93" s="148">
        <f t="shared" ca="1" si="79"/>
        <v>935.48022629019431</v>
      </c>
      <c r="AO93" s="148">
        <f t="shared" ca="1" si="80"/>
        <v>1870.9604525803886</v>
      </c>
      <c r="AP93" s="148">
        <f t="shared" ca="1" si="81"/>
        <v>230128.1356673878</v>
      </c>
      <c r="AQ93" s="148">
        <f t="shared" ca="1" si="82"/>
        <v>515416.10263922554</v>
      </c>
      <c r="AR93" s="17">
        <f t="shared" ca="1" si="83"/>
        <v>506478.46177615551</v>
      </c>
      <c r="AS93" s="148">
        <f t="shared" ca="1" si="84"/>
        <v>215509.91970046214</v>
      </c>
      <c r="AT93" s="48" t="str">
        <f>INDEX('stock fisico '!N:N, MATCH(B93, 'stock fisico '!B:B, 0))</f>
        <v>TV-AUDIO-VIDEO</v>
      </c>
      <c r="AU93" s="46" t="str">
        <f>INDEX('stock fisico '!D:D, MATCH(B93, 'stock fisico '!B:B, 0))</f>
        <v>Televisores</v>
      </c>
      <c r="AV93" s="43" t="str">
        <f>INDEX('stock fisico '!L:L, MATCH(B93, 'stock fisico '!B:B, 0))</f>
        <v>Tcl</v>
      </c>
    </row>
    <row r="94" spans="1:48" x14ac:dyDescent="0.25">
      <c r="A94" s="48">
        <f>INDEX('stock fisico '!M:M, MATCH(B94, 'stock fisico '!B:B, 0))</f>
        <v>9740</v>
      </c>
      <c r="B94" s="47" t="s">
        <v>235</v>
      </c>
      <c r="C94" s="46" t="str">
        <f>INDEX('stock fisico '!C:C, MATCH(B94, 'stock fisico '!B:B, 0))</f>
        <v>CD VIRGEN BULK X50 UNIDADES 700MB 52X GLOBAL</v>
      </c>
      <c r="D94" s="44">
        <f>INDEX('stock fisico '!I:I, MATCH(B94, 'stock fisico '!B:B, 0))</f>
        <v>11700</v>
      </c>
      <c r="E94" s="6">
        <f t="shared" ca="1" si="85"/>
        <v>14268.292682926829</v>
      </c>
      <c r="F94" s="148">
        <f t="shared" ca="1" si="45"/>
        <v>633.75254784254207</v>
      </c>
      <c r="G94" s="148">
        <f t="shared" ca="1" si="46"/>
        <v>386.25548394801319</v>
      </c>
      <c r="H94" s="148">
        <f t="shared" ca="1" si="47"/>
        <v>185.40263229504632</v>
      </c>
      <c r="I94" s="148">
        <f t="shared" ca="1" si="48"/>
        <v>23.17532903688079</v>
      </c>
      <c r="J94" s="148">
        <f t="shared" ca="1" si="49"/>
        <v>46.350658073761579</v>
      </c>
      <c r="K94" s="148">
        <f t="shared" ca="1" si="50"/>
        <v>15450.219357920527</v>
      </c>
      <c r="L94" s="32">
        <f t="shared" ca="1" si="51"/>
        <v>15133.798521138178</v>
      </c>
      <c r="M94" s="148">
        <f t="shared" ca="1" si="52"/>
        <v>766.86379633765341</v>
      </c>
      <c r="N94" s="148">
        <f t="shared" ca="1" si="53"/>
        <v>467.38328356228425</v>
      </c>
      <c r="O94" s="148">
        <f t="shared" ca="1" si="54"/>
        <v>224.34397610989643</v>
      </c>
      <c r="P94" s="148">
        <f t="shared" ca="1" si="55"/>
        <v>28.042997013737054</v>
      </c>
      <c r="Q94" s="148">
        <f t="shared" ca="1" si="56"/>
        <v>56.085994027474108</v>
      </c>
      <c r="R94" s="148">
        <f t="shared" ca="1" si="57"/>
        <v>2997.3289974849285</v>
      </c>
      <c r="S94" s="148">
        <f t="shared" ca="1" si="58"/>
        <v>18695.331342491369</v>
      </c>
      <c r="T94" s="28">
        <f t="shared" ca="1" si="59"/>
        <v>18312.915446886782</v>
      </c>
      <c r="U94" s="148">
        <f t="shared" ca="1" si="60"/>
        <v>886.37052175709709</v>
      </c>
      <c r="V94" s="148">
        <f t="shared" ca="1" si="61"/>
        <v>653.66557651703329</v>
      </c>
      <c r="W94" s="148">
        <f t="shared" ca="1" si="62"/>
        <v>313.75947672817597</v>
      </c>
      <c r="X94" s="148">
        <f t="shared" ca="1" si="63"/>
        <v>39.219934591021996</v>
      </c>
      <c r="Y94" s="148">
        <f t="shared" ca="1" si="64"/>
        <v>78.439869182043992</v>
      </c>
      <c r="Z94" s="148">
        <f t="shared" ca="1" si="65"/>
        <v>5686.8905156981891</v>
      </c>
      <c r="AA94" s="148">
        <f t="shared" ca="1" si="66"/>
        <v>21608.779388992836</v>
      </c>
      <c r="AB94" s="24">
        <f t="shared" ca="1" si="67"/>
        <v>21233.753066292335</v>
      </c>
      <c r="AC94" s="148">
        <f t="shared" ca="1" si="68"/>
        <v>1049.8124718542863</v>
      </c>
      <c r="AD94" s="148">
        <f t="shared" ca="1" si="69"/>
        <v>774.19798809313147</v>
      </c>
      <c r="AE94" s="148">
        <f t="shared" ca="1" si="70"/>
        <v>371.61503428470314</v>
      </c>
      <c r="AF94" s="148">
        <f t="shared" ca="1" si="71"/>
        <v>46.451879285587893</v>
      </c>
      <c r="AG94" s="148">
        <f t="shared" ca="1" si="72"/>
        <v>92.903758571175786</v>
      </c>
      <c r="AH94" s="148">
        <f t="shared" ca="1" si="73"/>
        <v>9367.7956559268914</v>
      </c>
      <c r="AI94" s="148">
        <f t="shared" ca="1" si="74"/>
        <v>25593.3219204341</v>
      </c>
      <c r="AJ94" s="20">
        <f t="shared" ca="1" si="75"/>
        <v>25150.419603563885</v>
      </c>
      <c r="AK94" s="148">
        <f t="shared" ca="1" si="76"/>
        <v>1226.9824859416087</v>
      </c>
      <c r="AL94" s="148">
        <f t="shared" ca="1" si="77"/>
        <v>904.85434066490313</v>
      </c>
      <c r="AM94" s="148">
        <f t="shared" ca="1" si="78"/>
        <v>434.3300835191535</v>
      </c>
      <c r="AN94" s="148">
        <f t="shared" ca="1" si="79"/>
        <v>54.291260439894188</v>
      </c>
      <c r="AO94" s="148">
        <f t="shared" ca="1" si="80"/>
        <v>108.58252087978838</v>
      </c>
      <c r="AP94" s="148">
        <f t="shared" ca="1" si="81"/>
        <v>13355.65006821397</v>
      </c>
      <c r="AQ94" s="148">
        <f t="shared" ca="1" si="82"/>
        <v>29912.540187269526</v>
      </c>
      <c r="AR94" s="17">
        <f t="shared" ca="1" si="83"/>
        <v>29393.837841481349</v>
      </c>
      <c r="AS94" s="148">
        <f t="shared" ca="1" si="84"/>
        <v>12507.271505072875</v>
      </c>
      <c r="AT94" s="48" t="str">
        <f>INDEX('stock fisico '!N:N, MATCH(B94, 'stock fisico '!B:B, 0))</f>
        <v>INFORMATICA</v>
      </c>
      <c r="AU94" s="46" t="str">
        <f>INDEX('stock fisico '!D:D, MATCH(B94, 'stock fisico '!B:B, 0))</f>
        <v>CDs y DVDs Vírgenes</v>
      </c>
      <c r="AV94" s="43" t="str">
        <f>INDEX('stock fisico '!L:L, MATCH(B94, 'stock fisico '!B:B, 0))</f>
        <v>Global</v>
      </c>
    </row>
    <row r="95" spans="1:48" x14ac:dyDescent="0.25">
      <c r="A95" s="48">
        <f>INDEX('stock fisico '!M:M, MATCH(B95, 'stock fisico '!B:B, 0))</f>
        <v>9623</v>
      </c>
      <c r="B95" s="47" t="s">
        <v>227</v>
      </c>
      <c r="C95" s="46" t="str">
        <f>INDEX('stock fisico '!C:C, MATCH(B95, 'stock fisico '!B:B, 0))</f>
        <v>AURICULAR NG-1650 NEGRO NOGANET  EAN:  7798137719201</v>
      </c>
      <c r="D95" s="44">
        <f>INDEX('stock fisico '!I:I, MATCH(B95, 'stock fisico '!B:B, 0))</f>
        <v>2925.01</v>
      </c>
      <c r="E95" s="6">
        <f t="shared" ca="1" si="85"/>
        <v>3567.0853658536589</v>
      </c>
      <c r="F95" s="148">
        <f t="shared" ca="1" si="45"/>
        <v>158.43867862947985</v>
      </c>
      <c r="G95" s="148">
        <f t="shared" ca="1" si="46"/>
        <v>96.564201119895586</v>
      </c>
      <c r="H95" s="148">
        <f t="shared" ca="1" si="47"/>
        <v>46.350816537549875</v>
      </c>
      <c r="I95" s="148">
        <f t="shared" ca="1" si="48"/>
        <v>5.7938520671937344</v>
      </c>
      <c r="J95" s="148">
        <f t="shared" ca="1" si="49"/>
        <v>11.587704134387469</v>
      </c>
      <c r="K95" s="148">
        <f t="shared" ca="1" si="50"/>
        <v>3862.568044795823</v>
      </c>
      <c r="L95" s="32">
        <f t="shared" ca="1" si="51"/>
        <v>3783.4625651550759</v>
      </c>
      <c r="M95" s="148">
        <f t="shared" ca="1" si="52"/>
        <v>191.71660452355556</v>
      </c>
      <c r="N95" s="148">
        <f t="shared" ca="1" si="53"/>
        <v>116.846220363463</v>
      </c>
      <c r="O95" s="148">
        <f t="shared" ca="1" si="54"/>
        <v>56.086185774462244</v>
      </c>
      <c r="P95" s="148">
        <f t="shared" ca="1" si="55"/>
        <v>7.0107732218077805</v>
      </c>
      <c r="Q95" s="148">
        <f t="shared" ca="1" si="56"/>
        <v>14.021546443615561</v>
      </c>
      <c r="R95" s="148">
        <f t="shared" ca="1" si="57"/>
        <v>749.33481119088822</v>
      </c>
      <c r="S95" s="148">
        <f t="shared" ca="1" si="58"/>
        <v>4673.8488145385199</v>
      </c>
      <c r="T95" s="28">
        <f t="shared" ca="1" si="59"/>
        <v>4578.2445137861805</v>
      </c>
      <c r="U95" s="148">
        <f t="shared" ca="1" si="60"/>
        <v>221.59338802091685</v>
      </c>
      <c r="V95" s="148">
        <f t="shared" ca="1" si="61"/>
        <v>163.4169528177853</v>
      </c>
      <c r="W95" s="148">
        <f t="shared" ca="1" si="62"/>
        <v>78.440137352536937</v>
      </c>
      <c r="X95" s="148">
        <f t="shared" ca="1" si="63"/>
        <v>9.8050171690671171</v>
      </c>
      <c r="Y95" s="148">
        <f t="shared" ca="1" si="64"/>
        <v>19.610034338134234</v>
      </c>
      <c r="Z95" s="148">
        <f t="shared" ca="1" si="65"/>
        <v>1421.727489514732</v>
      </c>
      <c r="AA95" s="148">
        <f t="shared" ca="1" si="66"/>
        <v>5402.2133162904229</v>
      </c>
      <c r="AB95" s="24">
        <f t="shared" ca="1" si="67"/>
        <v>5308.4564150799788</v>
      </c>
      <c r="AC95" s="148">
        <f t="shared" ca="1" si="68"/>
        <v>262.45401523918861</v>
      </c>
      <c r="AD95" s="148">
        <f t="shared" ca="1" si="69"/>
        <v>193.55015873096502</v>
      </c>
      <c r="AE95" s="148">
        <f t="shared" ca="1" si="70"/>
        <v>92.904076190863222</v>
      </c>
      <c r="AF95" s="148">
        <f t="shared" ca="1" si="71"/>
        <v>11.613009523857903</v>
      </c>
      <c r="AG95" s="148">
        <f t="shared" ca="1" si="72"/>
        <v>23.226019047715805</v>
      </c>
      <c r="AH95" s="148">
        <f t="shared" ca="1" si="73"/>
        <v>2341.9569206446768</v>
      </c>
      <c r="AI95" s="148">
        <f t="shared" ca="1" si="74"/>
        <v>6398.3523547426457</v>
      </c>
      <c r="AJ95" s="20">
        <f t="shared" ca="1" si="75"/>
        <v>6287.6263969761039</v>
      </c>
      <c r="AK95" s="148">
        <f t="shared" ca="1" si="76"/>
        <v>306.74667018838164</v>
      </c>
      <c r="AL95" s="148">
        <f t="shared" ca="1" si="77"/>
        <v>226.21435854600415</v>
      </c>
      <c r="AM95" s="148">
        <f t="shared" ca="1" si="78"/>
        <v>108.582892102082</v>
      </c>
      <c r="AN95" s="148">
        <f t="shared" ca="1" si="79"/>
        <v>13.57286151276025</v>
      </c>
      <c r="AO95" s="148">
        <f t="shared" ca="1" si="80"/>
        <v>27.1457230255205</v>
      </c>
      <c r="AP95" s="148">
        <f t="shared" ca="1" si="81"/>
        <v>3338.9239321390214</v>
      </c>
      <c r="AQ95" s="148">
        <f t="shared" ca="1" si="82"/>
        <v>7478.1606130910468</v>
      </c>
      <c r="AR95" s="17">
        <f t="shared" ca="1" si="83"/>
        <v>7348.4845833086647</v>
      </c>
      <c r="AS95" s="148">
        <f t="shared" ca="1" si="84"/>
        <v>3126.8285662438643</v>
      </c>
      <c r="AT95" s="48" t="str">
        <f>INDEX('stock fisico '!N:N, MATCH(B95, 'stock fisico '!B:B, 0))</f>
        <v>TV-AUDIO-VIDEO</v>
      </c>
      <c r="AU95" s="46" t="str">
        <f>INDEX('stock fisico '!D:D, MATCH(B95, 'stock fisico '!B:B, 0))</f>
        <v>Auriculares</v>
      </c>
      <c r="AV95" s="43" t="str">
        <f>INDEX('stock fisico '!L:L, MATCH(B95, 'stock fisico '!B:B, 0))</f>
        <v>Noganet</v>
      </c>
    </row>
    <row r="96" spans="1:48" x14ac:dyDescent="0.25">
      <c r="A96" s="48">
        <f>INDEX('stock fisico '!M:M, MATCH(B96, 'stock fisico '!B:B, 0))</f>
        <v>8060</v>
      </c>
      <c r="B96" s="47" t="s">
        <v>91</v>
      </c>
      <c r="C96" s="46" t="str">
        <f>INDEX('stock fisico '!C:C, MATCH(B96, 'stock fisico '!B:B, 0))</f>
        <v>SMART TV 32" TELEFUNKEN TK3225S5A PNE040300 EAN</v>
      </c>
      <c r="D96" s="44">
        <f>INDEX('stock fisico '!I:I, MATCH(B96, 'stock fisico '!B:B, 0))</f>
        <v>172543</v>
      </c>
      <c r="E96" s="6">
        <f t="shared" ca="1" si="85"/>
        <v>210418.29268292684</v>
      </c>
      <c r="F96" s="148">
        <f t="shared" ca="1" si="45"/>
        <v>9346.1167403757045</v>
      </c>
      <c r="G96" s="148">
        <f t="shared" ca="1" si="46"/>
        <v>5696.2119629779527</v>
      </c>
      <c r="H96" s="148">
        <f t="shared" ca="1" si="47"/>
        <v>2734.1817422294171</v>
      </c>
      <c r="I96" s="148">
        <f t="shared" ca="1" si="48"/>
        <v>341.77271777867713</v>
      </c>
      <c r="J96" s="148">
        <f t="shared" ca="1" si="49"/>
        <v>683.54543555735427</v>
      </c>
      <c r="K96" s="148">
        <f t="shared" ca="1" si="50"/>
        <v>227848.4785191181</v>
      </c>
      <c r="L96" s="32">
        <f t="shared" ca="1" si="51"/>
        <v>223182.13660108933</v>
      </c>
      <c r="M96" s="148">
        <f t="shared" ca="1" si="52"/>
        <v>11309.143590725447</v>
      </c>
      <c r="N96" s="148">
        <f t="shared" ca="1" si="53"/>
        <v>6892.6251192895043</v>
      </c>
      <c r="O96" s="148">
        <f t="shared" ca="1" si="54"/>
        <v>3308.460057258962</v>
      </c>
      <c r="P96" s="148">
        <f t="shared" ca="1" si="55"/>
        <v>413.55750715737025</v>
      </c>
      <c r="Q96" s="148">
        <f t="shared" ca="1" si="56"/>
        <v>827.11501431474051</v>
      </c>
      <c r="R96" s="148">
        <f t="shared" ca="1" si="57"/>
        <v>44202.404890003585</v>
      </c>
      <c r="S96" s="148">
        <f t="shared" ca="1" si="58"/>
        <v>275705.00477158016</v>
      </c>
      <c r="T96" s="28">
        <f t="shared" ca="1" si="59"/>
        <v>270065.41623522958</v>
      </c>
      <c r="U96" s="148">
        <f t="shared" ca="1" si="60"/>
        <v>13071.540934661096</v>
      </c>
      <c r="V96" s="148">
        <f t="shared" ca="1" si="61"/>
        <v>9639.7794503400401</v>
      </c>
      <c r="W96" s="148">
        <f t="shared" ca="1" si="62"/>
        <v>4627.0941361632194</v>
      </c>
      <c r="X96" s="148">
        <f t="shared" ca="1" si="63"/>
        <v>578.38676702040243</v>
      </c>
      <c r="Y96" s="148">
        <f t="shared" ca="1" si="64"/>
        <v>1156.7735340408049</v>
      </c>
      <c r="Z96" s="148">
        <f t="shared" ca="1" si="65"/>
        <v>83866.081217958359</v>
      </c>
      <c r="AA96" s="148">
        <f t="shared" ca="1" si="66"/>
        <v>318670.39505256334</v>
      </c>
      <c r="AB96" s="24">
        <f t="shared" ca="1" si="67"/>
        <v>313139.78250575031</v>
      </c>
      <c r="AC96" s="148">
        <f t="shared" ca="1" si="68"/>
        <v>15481.862677876421</v>
      </c>
      <c r="AD96" s="148">
        <f t="shared" ca="1" si="69"/>
        <v>11417.302859790871</v>
      </c>
      <c r="AE96" s="148">
        <f t="shared" ca="1" si="70"/>
        <v>5480.3053726996177</v>
      </c>
      <c r="AF96" s="148">
        <f t="shared" ca="1" si="71"/>
        <v>685.03817158745221</v>
      </c>
      <c r="AG96" s="148">
        <f t="shared" ca="1" si="72"/>
        <v>1370.0763431749044</v>
      </c>
      <c r="AH96" s="148">
        <f t="shared" ca="1" si="73"/>
        <v>138149.36460346953</v>
      </c>
      <c r="AI96" s="148">
        <f t="shared" ca="1" si="74"/>
        <v>377431.49949721887</v>
      </c>
      <c r="AJ96" s="20">
        <f t="shared" ca="1" si="75"/>
        <v>370899.90168014728</v>
      </c>
      <c r="AK96" s="148">
        <f t="shared" ca="1" si="76"/>
        <v>18094.635818104529</v>
      </c>
      <c r="AL96" s="148">
        <f t="shared" ca="1" si="77"/>
        <v>13344.126709516615</v>
      </c>
      <c r="AM96" s="148">
        <f t="shared" ca="1" si="78"/>
        <v>6405.1808205679754</v>
      </c>
      <c r="AN96" s="148">
        <f t="shared" ca="1" si="79"/>
        <v>800.64760257099692</v>
      </c>
      <c r="AO96" s="148">
        <f t="shared" ca="1" si="80"/>
        <v>1601.2952051419938</v>
      </c>
      <c r="AP96" s="148">
        <f t="shared" ca="1" si="81"/>
        <v>196959.31023246524</v>
      </c>
      <c r="AQ96" s="148">
        <f t="shared" ca="1" si="82"/>
        <v>441128.15568649967</v>
      </c>
      <c r="AR96" s="17">
        <f t="shared" ca="1" si="83"/>
        <v>433478.71475920657</v>
      </c>
      <c r="AS96" s="148">
        <f t="shared" ca="1" si="84"/>
        <v>184448.04677775977</v>
      </c>
      <c r="AT96" s="48" t="str">
        <f>INDEX('stock fisico '!N:N, MATCH(B96, 'stock fisico '!B:B, 0))</f>
        <v>TV-AUDIO-VIDEO</v>
      </c>
      <c r="AU96" s="46" t="str">
        <f>INDEX('stock fisico '!D:D, MATCH(B96, 'stock fisico '!B:B, 0))</f>
        <v>Televisores</v>
      </c>
      <c r="AV96" s="43" t="str">
        <f>INDEX('stock fisico '!L:L, MATCH(B96, 'stock fisico '!B:B, 0))</f>
        <v>Telefunken</v>
      </c>
    </row>
    <row r="97" spans="1:48" x14ac:dyDescent="0.25">
      <c r="A97" s="48">
        <f>INDEX('stock fisico '!M:M, MATCH(B97, 'stock fisico '!B:B, 0))</f>
        <v>6319</v>
      </c>
      <c r="B97" s="47" t="s">
        <v>214</v>
      </c>
      <c r="C97" s="46" t="str">
        <f>INDEX('stock fisico '!C:C, MATCH(B97, 'stock fisico '!B:B, 0))</f>
        <v>PAD MOUSE GEL BLUE NM-PGEL-B NETMAK  EAN:  0700306603003</v>
      </c>
      <c r="D97" s="44">
        <f>INDEX('stock fisico '!I:I, MATCH(B97, 'stock fisico '!B:B, 0))</f>
        <v>2390.46</v>
      </c>
      <c r="E97" s="6">
        <f t="shared" ca="1" si="85"/>
        <v>2915.1951219512198</v>
      </c>
      <c r="F97" s="148">
        <f t="shared" ca="1" si="45"/>
        <v>129.48377055689602</v>
      </c>
      <c r="G97" s="148">
        <f t="shared" ca="1" si="46"/>
        <v>78.916947363963061</v>
      </c>
      <c r="H97" s="148">
        <f t="shared" ca="1" si="47"/>
        <v>37.880134734702267</v>
      </c>
      <c r="I97" s="148">
        <f t="shared" ca="1" si="48"/>
        <v>4.7350168418377834</v>
      </c>
      <c r="J97" s="148">
        <f t="shared" ca="1" si="49"/>
        <v>9.4700336836755667</v>
      </c>
      <c r="K97" s="148">
        <f t="shared" ca="1" si="50"/>
        <v>3156.677894558522</v>
      </c>
      <c r="L97" s="32">
        <f t="shared" ca="1" si="51"/>
        <v>3092.0290609264935</v>
      </c>
      <c r="M97" s="148">
        <f t="shared" ca="1" si="52"/>
        <v>156.68010517891514</v>
      </c>
      <c r="N97" s="148">
        <f t="shared" ca="1" si="53"/>
        <v>95.492396925153685</v>
      </c>
      <c r="O97" s="148">
        <f t="shared" ca="1" si="54"/>
        <v>45.836350524073765</v>
      </c>
      <c r="P97" s="148">
        <f t="shared" ca="1" si="55"/>
        <v>5.7295438155092207</v>
      </c>
      <c r="Q97" s="148">
        <f t="shared" ca="1" si="56"/>
        <v>11.459087631018441</v>
      </c>
      <c r="R97" s="148">
        <f t="shared" ca="1" si="57"/>
        <v>612.39274148101049</v>
      </c>
      <c r="S97" s="148">
        <f t="shared" ca="1" si="58"/>
        <v>3819.6958770061469</v>
      </c>
      <c r="T97" s="28">
        <f t="shared" ca="1" si="59"/>
        <v>3741.5634067662377</v>
      </c>
      <c r="U97" s="148">
        <f t="shared" ca="1" si="60"/>
        <v>181.09686131961291</v>
      </c>
      <c r="V97" s="148">
        <f t="shared" ca="1" si="61"/>
        <v>133.55225761033401</v>
      </c>
      <c r="W97" s="148">
        <f t="shared" ca="1" si="62"/>
        <v>64.105083652960317</v>
      </c>
      <c r="X97" s="148">
        <f t="shared" ca="1" si="63"/>
        <v>8.0131354566200397</v>
      </c>
      <c r="Y97" s="148">
        <f t="shared" ca="1" si="64"/>
        <v>16.026270913240079</v>
      </c>
      <c r="Z97" s="148">
        <f t="shared" ca="1" si="65"/>
        <v>1161.9046412099058</v>
      </c>
      <c r="AA97" s="148">
        <f t="shared" ca="1" si="66"/>
        <v>4414.9506648044298</v>
      </c>
      <c r="AB97" s="24">
        <f t="shared" ca="1" si="67"/>
        <v>4338.3279790469387</v>
      </c>
      <c r="AC97" s="148">
        <f t="shared" ca="1" si="68"/>
        <v>214.49014713408525</v>
      </c>
      <c r="AD97" s="148">
        <f t="shared" ca="1" si="69"/>
        <v>158.17857458265874</v>
      </c>
      <c r="AE97" s="148">
        <f t="shared" ca="1" si="70"/>
        <v>75.925715799676198</v>
      </c>
      <c r="AF97" s="148">
        <f t="shared" ca="1" si="71"/>
        <v>9.4907144749595247</v>
      </c>
      <c r="AG97" s="148">
        <f t="shared" ca="1" si="72"/>
        <v>18.981428949919049</v>
      </c>
      <c r="AH97" s="148">
        <f t="shared" ca="1" si="73"/>
        <v>1913.9607524501707</v>
      </c>
      <c r="AI97" s="148">
        <f t="shared" ca="1" si="74"/>
        <v>5229.0437878564871</v>
      </c>
      <c r="AJ97" s="20">
        <f t="shared" ca="1" si="75"/>
        <v>5138.5531662850717</v>
      </c>
      <c r="AK97" s="148">
        <f t="shared" ca="1" si="76"/>
        <v>250.68825242256224</v>
      </c>
      <c r="AL97" s="148">
        <f t="shared" ca="1" si="77"/>
        <v>184.87334249451493</v>
      </c>
      <c r="AM97" s="148">
        <f t="shared" ca="1" si="78"/>
        <v>88.739204397367175</v>
      </c>
      <c r="AN97" s="148">
        <f t="shared" ca="1" si="79"/>
        <v>11.092400549670897</v>
      </c>
      <c r="AO97" s="148">
        <f t="shared" ca="1" si="80"/>
        <v>22.184801099341794</v>
      </c>
      <c r="AP97" s="148">
        <f t="shared" ca="1" si="81"/>
        <v>2728.7305352190406</v>
      </c>
      <c r="AQ97" s="148">
        <f t="shared" ca="1" si="82"/>
        <v>6111.5154543641302</v>
      </c>
      <c r="AR97" s="17">
        <f t="shared" ca="1" si="83"/>
        <v>6005.5379150895315</v>
      </c>
      <c r="AS97" s="148">
        <f t="shared" ca="1" si="84"/>
        <v>2555.3959181210689</v>
      </c>
      <c r="AT97" s="48" t="str">
        <f>INDEX('stock fisico '!N:N, MATCH(B97, 'stock fisico '!B:B, 0))</f>
        <v>INFORMATICA</v>
      </c>
      <c r="AU97" s="46" t="str">
        <f>INDEX('stock fisico '!D:D, MATCH(B97, 'stock fisico '!B:B, 0))</f>
        <v>PAD MOUSE</v>
      </c>
      <c r="AV97" s="43" t="str">
        <f>INDEX('stock fisico '!L:L, MATCH(B97, 'stock fisico '!B:B, 0))</f>
        <v>Netmak</v>
      </c>
    </row>
    <row r="98" spans="1:48" x14ac:dyDescent="0.25">
      <c r="A98" s="48">
        <f>INDEX('stock fisico '!M:M, MATCH(B98, 'stock fisico '!B:B, 0))</f>
        <v>9955</v>
      </c>
      <c r="B98" s="47" t="s">
        <v>1503</v>
      </c>
      <c r="C98" s="46" t="str">
        <f>INDEX('stock fisico '!C:C, MATCH(B98, 'stock fisico '!B:B, 0))</f>
        <v>PROYECTOR LED 4000LM AIWA FULL HD NEGRO AW-PRY400N EAN</v>
      </c>
      <c r="D98" s="44">
        <f>INDEX('stock fisico '!I:I, MATCH(B98, 'stock fisico '!B:B, 0))</f>
        <v>171090.84</v>
      </c>
      <c r="E98" s="6">
        <f t="shared" ca="1" si="85"/>
        <v>208647.36585365853</v>
      </c>
      <c r="F98" s="148">
        <f t="shared" ca="1" si="45"/>
        <v>9267.4577574804025</v>
      </c>
      <c r="G98" s="148">
        <f t="shared" ca="1" si="46"/>
        <v>5648.2713848950507</v>
      </c>
      <c r="H98" s="148">
        <f t="shared" ca="1" si="47"/>
        <v>2711.170264749624</v>
      </c>
      <c r="I98" s="148">
        <f t="shared" ca="1" si="48"/>
        <v>338.896283093703</v>
      </c>
      <c r="J98" s="148">
        <f t="shared" ca="1" si="49"/>
        <v>677.79256618740601</v>
      </c>
      <c r="K98" s="148">
        <f t="shared" ca="1" si="50"/>
        <v>225930.85539580201</v>
      </c>
      <c r="L98" s="32">
        <f t="shared" ca="1" si="51"/>
        <v>221303.78644207597</v>
      </c>
      <c r="M98" s="148">
        <f t="shared" ca="1" si="52"/>
        <v>11213.963340256243</v>
      </c>
      <c r="N98" s="148">
        <f t="shared" ca="1" si="53"/>
        <v>6834.6152638144777</v>
      </c>
      <c r="O98" s="148">
        <f t="shared" ca="1" si="54"/>
        <v>3280.6153266309493</v>
      </c>
      <c r="P98" s="148">
        <f t="shared" ca="1" si="55"/>
        <v>410.07691582886866</v>
      </c>
      <c r="Q98" s="148">
        <f t="shared" ca="1" si="56"/>
        <v>820.15383165773733</v>
      </c>
      <c r="R98" s="148">
        <f t="shared" ca="1" si="57"/>
        <v>43830.387686842245</v>
      </c>
      <c r="S98" s="148">
        <f t="shared" ca="1" si="58"/>
        <v>273384.61055257911</v>
      </c>
      <c r="T98" s="28">
        <f t="shared" ca="1" si="59"/>
        <v>267792.48603904573</v>
      </c>
      <c r="U98" s="148">
        <f t="shared" ca="1" si="60"/>
        <v>12961.527958859831</v>
      </c>
      <c r="V98" s="148">
        <f t="shared" ca="1" si="61"/>
        <v>9558.6489372122651</v>
      </c>
      <c r="W98" s="148">
        <f t="shared" ca="1" si="62"/>
        <v>4588.1514898618871</v>
      </c>
      <c r="X98" s="148">
        <f t="shared" ca="1" si="63"/>
        <v>573.51893623273588</v>
      </c>
      <c r="Y98" s="148">
        <f t="shared" ca="1" si="64"/>
        <v>1147.0378724654718</v>
      </c>
      <c r="Z98" s="148">
        <f t="shared" ca="1" si="65"/>
        <v>83160.245753746698</v>
      </c>
      <c r="AA98" s="148">
        <f t="shared" ca="1" si="66"/>
        <v>315988.39461858728</v>
      </c>
      <c r="AB98" s="24">
        <f t="shared" ca="1" si="67"/>
        <v>310504.32892859238</v>
      </c>
      <c r="AC98" s="148">
        <f t="shared" ca="1" si="68"/>
        <v>15351.56390188258</v>
      </c>
      <c r="AD98" s="148">
        <f t="shared" ca="1" si="69"/>
        <v>11321.212317022551</v>
      </c>
      <c r="AE98" s="148">
        <f t="shared" ca="1" si="70"/>
        <v>5434.1819121708249</v>
      </c>
      <c r="AF98" s="148">
        <f t="shared" ca="1" si="71"/>
        <v>679.27273902135312</v>
      </c>
      <c r="AG98" s="148">
        <f t="shared" ca="1" si="72"/>
        <v>1358.5454780427062</v>
      </c>
      <c r="AH98" s="148">
        <f t="shared" ca="1" si="73"/>
        <v>136986.66903597288</v>
      </c>
      <c r="AI98" s="148">
        <f t="shared" ca="1" si="74"/>
        <v>374254.95262884471</v>
      </c>
      <c r="AJ98" s="20">
        <f t="shared" ca="1" si="75"/>
        <v>367778.32618172752</v>
      </c>
      <c r="AK98" s="148">
        <f t="shared" ca="1" si="76"/>
        <v>17942.347366242564</v>
      </c>
      <c r="AL98" s="148">
        <f t="shared" ca="1" si="77"/>
        <v>13231.819591624309</v>
      </c>
      <c r="AM98" s="148">
        <f t="shared" ca="1" si="78"/>
        <v>6351.2734039796687</v>
      </c>
      <c r="AN98" s="148">
        <f t="shared" ca="1" si="79"/>
        <v>793.90917549745859</v>
      </c>
      <c r="AO98" s="148">
        <f t="shared" ca="1" si="80"/>
        <v>1587.8183509949172</v>
      </c>
      <c r="AP98" s="148">
        <f t="shared" ca="1" si="81"/>
        <v>195301.65717237481</v>
      </c>
      <c r="AQ98" s="148">
        <f t="shared" ca="1" si="82"/>
        <v>437415.52369005984</v>
      </c>
      <c r="AR98" s="17">
        <f t="shared" ca="1" si="83"/>
        <v>429830.46214725048</v>
      </c>
      <c r="AS98" s="148">
        <f t="shared" ca="1" si="84"/>
        <v>182895.69127444297</v>
      </c>
      <c r="AT98" s="48" t="str">
        <f>INDEX('stock fisico '!N:N, MATCH(B98, 'stock fisico '!B:B, 0))</f>
        <v>TV-AUDIO-VIDEO</v>
      </c>
      <c r="AU98" s="46" t="str">
        <f>INDEX('stock fisico '!D:D, MATCH(B98, 'stock fisico '!B:B, 0))</f>
        <v>Camaras</v>
      </c>
      <c r="AV98" s="43" t="str">
        <f>INDEX('stock fisico '!L:L, MATCH(B98, 'stock fisico '!B:B, 0))</f>
        <v>AIWA</v>
      </c>
    </row>
    <row r="99" spans="1:48" x14ac:dyDescent="0.25">
      <c r="A99" s="48">
        <f>INDEX('stock fisico '!M:M, MATCH(B99, 'stock fisico '!B:B, 0))</f>
        <v>6013</v>
      </c>
      <c r="B99" s="47" t="s">
        <v>1477</v>
      </c>
      <c r="C99" s="46" t="str">
        <f>INDEX('stock fisico '!C:C, MATCH(B99, 'stock fisico '!B:B, 0))</f>
        <v>MICROONDAS BGH B228DS20 PIH049511 EAN</v>
      </c>
      <c r="D99" s="44">
        <f>INDEX('stock fisico '!I:I, MATCH(B99, 'stock fisico '!B:B, 0))</f>
        <v>170500</v>
      </c>
      <c r="E99" s="6">
        <f t="shared" ca="1" si="85"/>
        <v>207926.8292682927</v>
      </c>
      <c r="F99" s="148">
        <f t="shared" ca="1" si="45"/>
        <v>9235.4537954831994</v>
      </c>
      <c r="G99" s="148">
        <f t="shared" ca="1" si="46"/>
        <v>5628.7658130885684</v>
      </c>
      <c r="H99" s="148">
        <f t="shared" ca="1" si="47"/>
        <v>2701.807590282513</v>
      </c>
      <c r="I99" s="148">
        <f t="shared" ca="1" si="48"/>
        <v>337.72594878531413</v>
      </c>
      <c r="J99" s="148">
        <f t="shared" ca="1" si="49"/>
        <v>675.45189757062826</v>
      </c>
      <c r="K99" s="148">
        <f t="shared" ca="1" si="50"/>
        <v>225150.63252354274</v>
      </c>
      <c r="L99" s="32">
        <f t="shared" ca="1" si="51"/>
        <v>220539.54255162904</v>
      </c>
      <c r="M99" s="148">
        <f t="shared" ca="1" si="52"/>
        <v>11175.237373980335</v>
      </c>
      <c r="N99" s="148">
        <f t="shared" ca="1" si="53"/>
        <v>6811.0128074674758</v>
      </c>
      <c r="O99" s="148">
        <f t="shared" ca="1" si="54"/>
        <v>3269.2861475843879</v>
      </c>
      <c r="P99" s="148">
        <f t="shared" ca="1" si="55"/>
        <v>408.66076844804849</v>
      </c>
      <c r="Q99" s="148">
        <f t="shared" ca="1" si="56"/>
        <v>817.32153689609697</v>
      </c>
      <c r="R99" s="148">
        <f t="shared" ca="1" si="57"/>
        <v>43679.025134288917</v>
      </c>
      <c r="S99" s="148">
        <f t="shared" ca="1" si="58"/>
        <v>272440.512298699</v>
      </c>
      <c r="T99" s="28">
        <f t="shared" ca="1" si="59"/>
        <v>266867.69946104242</v>
      </c>
      <c r="U99" s="148">
        <f t="shared" ca="1" si="60"/>
        <v>12916.767005092743</v>
      </c>
      <c r="V99" s="148">
        <f t="shared" ca="1" si="61"/>
        <v>9525.6393842866837</v>
      </c>
      <c r="W99" s="148">
        <f t="shared" ca="1" si="62"/>
        <v>4572.3069044576077</v>
      </c>
      <c r="X99" s="148">
        <f t="shared" ca="1" si="63"/>
        <v>571.53836305720097</v>
      </c>
      <c r="Y99" s="148">
        <f t="shared" ca="1" si="64"/>
        <v>1143.0767261144019</v>
      </c>
      <c r="Z99" s="148">
        <f t="shared" ca="1" si="65"/>
        <v>82873.06264329415</v>
      </c>
      <c r="AA99" s="148">
        <f t="shared" ca="1" si="66"/>
        <v>314897.1697284854</v>
      </c>
      <c r="AB99" s="24">
        <f t="shared" ca="1" si="67"/>
        <v>309432.04254725162</v>
      </c>
      <c r="AC99" s="148">
        <f t="shared" ca="1" si="68"/>
        <v>15298.549269329558</v>
      </c>
      <c r="AD99" s="148">
        <f t="shared" ca="1" si="69"/>
        <v>11282.115980331533</v>
      </c>
      <c r="AE99" s="148">
        <f t="shared" ca="1" si="70"/>
        <v>5415.4156705591358</v>
      </c>
      <c r="AF99" s="148">
        <f t="shared" ca="1" si="71"/>
        <v>676.92695881989198</v>
      </c>
      <c r="AG99" s="148">
        <f t="shared" ca="1" si="72"/>
        <v>1353.853917639784</v>
      </c>
      <c r="AH99" s="148">
        <f t="shared" ca="1" si="73"/>
        <v>136513.60336201155</v>
      </c>
      <c r="AI99" s="148">
        <f t="shared" ca="1" si="74"/>
        <v>372962.51174649695</v>
      </c>
      <c r="AJ99" s="20">
        <f t="shared" ca="1" si="75"/>
        <v>366508.25148783275</v>
      </c>
      <c r="AK99" s="148">
        <f t="shared" ca="1" si="76"/>
        <v>17880.385799405496</v>
      </c>
      <c r="AL99" s="148">
        <f t="shared" ca="1" si="77"/>
        <v>13186.125220800512</v>
      </c>
      <c r="AM99" s="148">
        <f t="shared" ca="1" si="78"/>
        <v>6329.3401059842463</v>
      </c>
      <c r="AN99" s="148">
        <f t="shared" ca="1" si="79"/>
        <v>791.16751324803079</v>
      </c>
      <c r="AO99" s="148">
        <f t="shared" ca="1" si="80"/>
        <v>1582.3350264960616</v>
      </c>
      <c r="AP99" s="148">
        <f t="shared" ca="1" si="81"/>
        <v>194627.20825901555</v>
      </c>
      <c r="AQ99" s="148">
        <f t="shared" ca="1" si="82"/>
        <v>435904.96597687644</v>
      </c>
      <c r="AR99" s="17">
        <f t="shared" ca="1" si="83"/>
        <v>428346.09845919407</v>
      </c>
      <c r="AS99" s="148">
        <f t="shared" ca="1" si="84"/>
        <v>182264.08475341243</v>
      </c>
      <c r="AT99" s="48" t="str">
        <f>INDEX('stock fisico '!N:N, MATCH(B99, 'stock fisico '!B:B, 0))</f>
        <v>ELECTRODOMESTICOS Y AIRES ACOND</v>
      </c>
      <c r="AU99" s="46" t="str">
        <f>INDEX('stock fisico '!D:D, MATCH(B99, 'stock fisico '!B:B, 0))</f>
        <v>Microondas</v>
      </c>
      <c r="AV99" s="43" t="str">
        <f>INDEX('stock fisico '!L:L, MATCH(B99, 'stock fisico '!B:B, 0))</f>
        <v>Bgh</v>
      </c>
    </row>
    <row r="100" spans="1:48" x14ac:dyDescent="0.25">
      <c r="A100" s="48">
        <f>INDEX('stock fisico '!M:M, MATCH(B100, 'stock fisico '!B:B, 0))</f>
        <v>1221</v>
      </c>
      <c r="B100" s="47" t="s">
        <v>204</v>
      </c>
      <c r="C100" s="46" t="str">
        <f>INDEX('stock fisico '!C:C, MATCH(B100, 'stock fisico '!B:B, 0))</f>
        <v>MOTHER E1-6010N CON CPU INCORPORADO AMD GIGABYTE  EAN:  4719331808761</v>
      </c>
      <c r="D100" s="44">
        <f>INDEX('stock fisico '!I:I, MATCH(B100, 'stock fisico '!B:B, 0))</f>
        <v>159250</v>
      </c>
      <c r="E100" s="6">
        <f t="shared" ca="1" si="85"/>
        <v>194207.31707317074</v>
      </c>
      <c r="F100" s="148">
        <f t="shared" ca="1" si="45"/>
        <v>8626.0763456346012</v>
      </c>
      <c r="G100" s="148">
        <f t="shared" ca="1" si="46"/>
        <v>5257.3663092924025</v>
      </c>
      <c r="H100" s="148">
        <f t="shared" ca="1" si="47"/>
        <v>2523.5358284603531</v>
      </c>
      <c r="I100" s="148">
        <f t="shared" ca="1" si="48"/>
        <v>315.44197855754413</v>
      </c>
      <c r="J100" s="148">
        <f t="shared" ca="1" si="49"/>
        <v>630.88395711508826</v>
      </c>
      <c r="K100" s="148">
        <f t="shared" ca="1" si="50"/>
        <v>210294.65237169608</v>
      </c>
      <c r="L100" s="32">
        <f t="shared" ca="1" si="51"/>
        <v>205987.81320438077</v>
      </c>
      <c r="M100" s="148">
        <f t="shared" ca="1" si="52"/>
        <v>10437.868339040282</v>
      </c>
      <c r="N100" s="148">
        <f t="shared" ca="1" si="53"/>
        <v>6361.6058040422022</v>
      </c>
      <c r="O100" s="148">
        <f t="shared" ca="1" si="54"/>
        <v>3053.5707859402569</v>
      </c>
      <c r="P100" s="148">
        <f t="shared" ca="1" si="55"/>
        <v>381.69634824253211</v>
      </c>
      <c r="Q100" s="148">
        <f t="shared" ca="1" si="56"/>
        <v>763.39269648506422</v>
      </c>
      <c r="R100" s="148">
        <f t="shared" ca="1" si="57"/>
        <v>40796.97802132264</v>
      </c>
      <c r="S100" s="148">
        <f t="shared" ca="1" si="58"/>
        <v>254464.23216168807</v>
      </c>
      <c r="T100" s="28">
        <f t="shared" ca="1" si="59"/>
        <v>249259.12691595897</v>
      </c>
      <c r="U100" s="148">
        <f t="shared" ca="1" si="60"/>
        <v>12064.487657249379</v>
      </c>
      <c r="V100" s="148">
        <f t="shared" ca="1" si="61"/>
        <v>8897.114791481843</v>
      </c>
      <c r="W100" s="148">
        <f t="shared" ca="1" si="62"/>
        <v>4270.6150999112851</v>
      </c>
      <c r="X100" s="148">
        <f t="shared" ca="1" si="63"/>
        <v>533.82688748891064</v>
      </c>
      <c r="Y100" s="148">
        <f t="shared" ca="1" si="64"/>
        <v>1067.6537749778213</v>
      </c>
      <c r="Z100" s="148">
        <f t="shared" ca="1" si="65"/>
        <v>77404.89868589204</v>
      </c>
      <c r="AA100" s="148">
        <f t="shared" ca="1" si="66"/>
        <v>294119.4972390692</v>
      </c>
      <c r="AB100" s="24">
        <f t="shared" ca="1" si="67"/>
        <v>289014.97229120124</v>
      </c>
      <c r="AC100" s="148">
        <f t="shared" ca="1" si="68"/>
        <v>14289.114200238899</v>
      </c>
      <c r="AD100" s="148">
        <f t="shared" ca="1" si="69"/>
        <v>10537.69483793429</v>
      </c>
      <c r="AE100" s="148">
        <f t="shared" ca="1" si="70"/>
        <v>5058.0935222084599</v>
      </c>
      <c r="AF100" s="148">
        <f t="shared" ca="1" si="71"/>
        <v>632.26169027605749</v>
      </c>
      <c r="AG100" s="148">
        <f t="shared" ca="1" si="72"/>
        <v>1264.523380552115</v>
      </c>
      <c r="AH100" s="148">
        <f t="shared" ca="1" si="73"/>
        <v>127506.10753900492</v>
      </c>
      <c r="AI100" s="148">
        <f t="shared" ca="1" si="74"/>
        <v>348353.54836146417</v>
      </c>
      <c r="AJ100" s="20">
        <f t="shared" ca="1" si="75"/>
        <v>342325.15571517515</v>
      </c>
      <c r="AK100" s="148">
        <f t="shared" ca="1" si="76"/>
        <v>16700.594947538564</v>
      </c>
      <c r="AL100" s="148">
        <f t="shared" ca="1" si="77"/>
        <v>12316.072970161182</v>
      </c>
      <c r="AM100" s="148">
        <f t="shared" ca="1" si="78"/>
        <v>5911.7150256773675</v>
      </c>
      <c r="AN100" s="148">
        <f t="shared" ca="1" si="79"/>
        <v>738.96437820967094</v>
      </c>
      <c r="AO100" s="148">
        <f t="shared" ca="1" si="80"/>
        <v>1477.9287564193419</v>
      </c>
      <c r="AP100" s="148">
        <f t="shared" ca="1" si="81"/>
        <v>181785.23703957905</v>
      </c>
      <c r="AQ100" s="148">
        <f t="shared" ca="1" si="82"/>
        <v>407142.9081045019</v>
      </c>
      <c r="AR100" s="17">
        <f t="shared" ca="1" si="83"/>
        <v>400082.79284238507</v>
      </c>
      <c r="AS100" s="148">
        <f t="shared" ca="1" si="84"/>
        <v>170237.86215238081</v>
      </c>
      <c r="AT100" s="48" t="str">
        <f>INDEX('stock fisico '!N:N, MATCH(B100, 'stock fisico '!B:B, 0))</f>
        <v>INFORMATICA</v>
      </c>
      <c r="AU100" s="46" t="str">
        <f>INDEX('stock fisico '!D:D, MATCH(B100, 'stock fisico '!B:B, 0))</f>
        <v>Motherboards</v>
      </c>
      <c r="AV100" s="43" t="str">
        <f>INDEX('stock fisico '!L:L, MATCH(B100, 'stock fisico '!B:B, 0))</f>
        <v>Gigabyte</v>
      </c>
    </row>
    <row r="101" spans="1:48" x14ac:dyDescent="0.25">
      <c r="A101" s="48">
        <f>INDEX('stock fisico '!M:M, MATCH(B101, 'stock fisico '!B:B, 0))</f>
        <v>3675</v>
      </c>
      <c r="B101" s="47" t="s">
        <v>247</v>
      </c>
      <c r="C101" s="46" t="str">
        <f>INDEX('stock fisico '!C:C, MATCH(B101, 'stock fisico '!B:B, 0))</f>
        <v>CABLE USB PARA IMPRESORA 5 METROS TL-PRINT5   T-LINE</v>
      </c>
      <c r="D101" s="44">
        <f>INDEX('stock fisico '!I:I, MATCH(B101, 'stock fisico '!B:B, 0))</f>
        <v>2730</v>
      </c>
      <c r="E101" s="6">
        <f t="shared" ca="1" si="85"/>
        <v>3329.268292682927</v>
      </c>
      <c r="F101" s="148">
        <f t="shared" ca="1" si="45"/>
        <v>147.87559449659318</v>
      </c>
      <c r="G101" s="148">
        <f t="shared" ca="1" si="46"/>
        <v>90.12627958786976</v>
      </c>
      <c r="H101" s="148">
        <f t="shared" ca="1" si="47"/>
        <v>43.260614202177479</v>
      </c>
      <c r="I101" s="148">
        <f t="shared" ca="1" si="48"/>
        <v>5.4075767752721848</v>
      </c>
      <c r="J101" s="148">
        <f t="shared" ca="1" si="49"/>
        <v>10.81515355054437</v>
      </c>
      <c r="K101" s="148">
        <f t="shared" ca="1" si="50"/>
        <v>3605.05118351479</v>
      </c>
      <c r="L101" s="32">
        <f t="shared" ca="1" si="51"/>
        <v>3531.2196549322421</v>
      </c>
      <c r="M101" s="148">
        <f t="shared" ca="1" si="52"/>
        <v>178.93488581211912</v>
      </c>
      <c r="N101" s="148">
        <f t="shared" ca="1" si="53"/>
        <v>109.05609949786631</v>
      </c>
      <c r="O101" s="148">
        <f t="shared" ca="1" si="54"/>
        <v>52.346927758975831</v>
      </c>
      <c r="P101" s="148">
        <f t="shared" ca="1" si="55"/>
        <v>6.5433659698719788</v>
      </c>
      <c r="Q101" s="148">
        <f t="shared" ca="1" si="56"/>
        <v>13.086731939743958</v>
      </c>
      <c r="R101" s="148">
        <f t="shared" ca="1" si="57"/>
        <v>699.37676607981666</v>
      </c>
      <c r="S101" s="148">
        <f t="shared" ca="1" si="58"/>
        <v>4362.2439799146523</v>
      </c>
      <c r="T101" s="28">
        <f t="shared" ca="1" si="59"/>
        <v>4273.013604273583</v>
      </c>
      <c r="U101" s="148">
        <f t="shared" ca="1" si="60"/>
        <v>206.81978840998934</v>
      </c>
      <c r="V101" s="148">
        <f t="shared" ca="1" si="61"/>
        <v>152.52196785397445</v>
      </c>
      <c r="W101" s="148">
        <f t="shared" ca="1" si="62"/>
        <v>73.210544569907739</v>
      </c>
      <c r="X101" s="148">
        <f t="shared" ca="1" si="63"/>
        <v>9.1513180712384674</v>
      </c>
      <c r="Y101" s="148">
        <f t="shared" ca="1" si="64"/>
        <v>18.302636142476935</v>
      </c>
      <c r="Z101" s="148">
        <f t="shared" ca="1" si="65"/>
        <v>1326.9411203295776</v>
      </c>
      <c r="AA101" s="148">
        <f t="shared" ca="1" si="66"/>
        <v>5042.0485240983289</v>
      </c>
      <c r="AB101" s="24">
        <f t="shared" ca="1" si="67"/>
        <v>4954.5423821348786</v>
      </c>
      <c r="AC101" s="148">
        <f t="shared" ca="1" si="68"/>
        <v>244.95624343266684</v>
      </c>
      <c r="AD101" s="148">
        <f t="shared" ca="1" si="69"/>
        <v>180.64619722173072</v>
      </c>
      <c r="AE101" s="148">
        <f t="shared" ca="1" si="70"/>
        <v>86.710174666430746</v>
      </c>
      <c r="AF101" s="148">
        <f t="shared" ca="1" si="71"/>
        <v>10.838771833303843</v>
      </c>
      <c r="AG101" s="148">
        <f t="shared" ca="1" si="72"/>
        <v>21.677543666607686</v>
      </c>
      <c r="AH101" s="148">
        <f t="shared" ca="1" si="73"/>
        <v>2185.8189863829416</v>
      </c>
      <c r="AI101" s="148">
        <f t="shared" ca="1" si="74"/>
        <v>5971.7751147679573</v>
      </c>
      <c r="AJ101" s="20">
        <f t="shared" ca="1" si="75"/>
        <v>5868.4312408315745</v>
      </c>
      <c r="AK101" s="148">
        <f t="shared" ca="1" si="76"/>
        <v>286.29591338637539</v>
      </c>
      <c r="AL101" s="148">
        <f t="shared" ca="1" si="77"/>
        <v>211.13267948847741</v>
      </c>
      <c r="AM101" s="148">
        <f t="shared" ca="1" si="78"/>
        <v>101.34368615446917</v>
      </c>
      <c r="AN101" s="148">
        <f t="shared" ca="1" si="79"/>
        <v>12.667960769308646</v>
      </c>
      <c r="AO101" s="148">
        <f t="shared" ca="1" si="80"/>
        <v>25.335921538617292</v>
      </c>
      <c r="AP101" s="148">
        <f t="shared" ca="1" si="81"/>
        <v>3116.318349249927</v>
      </c>
      <c r="AQ101" s="148">
        <f t="shared" ca="1" si="82"/>
        <v>6979.5927103628901</v>
      </c>
      <c r="AR101" s="17">
        <f t="shared" ca="1" si="83"/>
        <v>6858.562163012316</v>
      </c>
      <c r="AS101" s="148">
        <f t="shared" ca="1" si="84"/>
        <v>2918.3633511836711</v>
      </c>
      <c r="AT101" s="48" t="str">
        <f>INDEX('stock fisico '!N:N, MATCH(B101, 'stock fisico '!B:B, 0))</f>
        <v>MAS CATEGORIAS</v>
      </c>
      <c r="AU101" s="46" t="str">
        <f>INDEX('stock fisico '!D:D, MATCH(B101, 'stock fisico '!B:B, 0))</f>
        <v>Cables</v>
      </c>
      <c r="AV101" s="43" t="str">
        <f>INDEX('stock fisico '!L:L, MATCH(B101, 'stock fisico '!B:B, 0))</f>
        <v>Tline</v>
      </c>
    </row>
    <row r="102" spans="1:48" x14ac:dyDescent="0.25">
      <c r="A102" s="48">
        <f>INDEX('stock fisico '!M:M, MATCH(B102, 'stock fisico '!B:B, 0))</f>
        <v>9905</v>
      </c>
      <c r="B102" s="47" t="s">
        <v>1397</v>
      </c>
      <c r="C102" s="46" t="str">
        <f>INDEX('stock fisico '!C:C, MATCH(B102, 'stock fisico '!B:B, 0))</f>
        <v>PARLANTE PORTATIL AIWA AW-PP210 NEGRO 20W EAN 7798111355180</v>
      </c>
      <c r="D102" s="44">
        <f>INDEX('stock fisico '!I:I, MATCH(B102, 'stock fisico '!B:B, 0))</f>
        <v>73659.31</v>
      </c>
      <c r="E102" s="6">
        <f t="shared" ca="1" si="85"/>
        <v>89828.426829268297</v>
      </c>
      <c r="F102" s="148">
        <f t="shared" ca="1" si="45"/>
        <v>3989.8953320362089</v>
      </c>
      <c r="G102" s="148">
        <f t="shared" ca="1" si="46"/>
        <v>2431.7361052416009</v>
      </c>
      <c r="H102" s="148">
        <f t="shared" ca="1" si="47"/>
        <v>1167.2333305159684</v>
      </c>
      <c r="I102" s="148">
        <f t="shared" ca="1" si="48"/>
        <v>145.90416631449605</v>
      </c>
      <c r="J102" s="148">
        <f t="shared" ca="1" si="49"/>
        <v>291.8083326289921</v>
      </c>
      <c r="K102" s="148">
        <f t="shared" ca="1" si="50"/>
        <v>97269.444209664027</v>
      </c>
      <c r="L102" s="32">
        <f t="shared" ca="1" si="51"/>
        <v>95277.363824449465</v>
      </c>
      <c r="M102" s="148">
        <f t="shared" ca="1" si="52"/>
        <v>4827.919495915562</v>
      </c>
      <c r="N102" s="148">
        <f t="shared" ca="1" si="53"/>
        <v>2942.4897583531792</v>
      </c>
      <c r="O102" s="148">
        <f t="shared" ca="1" si="54"/>
        <v>1412.395084009526</v>
      </c>
      <c r="P102" s="148">
        <f t="shared" ca="1" si="55"/>
        <v>176.54938550119076</v>
      </c>
      <c r="Q102" s="148">
        <f t="shared" ca="1" si="56"/>
        <v>353.09877100238151</v>
      </c>
      <c r="R102" s="148">
        <f t="shared" ca="1" si="57"/>
        <v>18870.186820318937</v>
      </c>
      <c r="S102" s="148">
        <f t="shared" ca="1" si="58"/>
        <v>117699.59033412716</v>
      </c>
      <c r="T102" s="28">
        <f t="shared" ca="1" si="59"/>
        <v>115292.0270005147</v>
      </c>
      <c r="U102" s="148">
        <f t="shared" ca="1" si="60"/>
        <v>5580.2941057237413</v>
      </c>
      <c r="V102" s="148">
        <f t="shared" ca="1" si="61"/>
        <v>4115.2611399142634</v>
      </c>
      <c r="W102" s="148">
        <f t="shared" ca="1" si="62"/>
        <v>1975.3253471588464</v>
      </c>
      <c r="X102" s="148">
        <f t="shared" ca="1" si="63"/>
        <v>246.9156683948558</v>
      </c>
      <c r="Y102" s="148">
        <f t="shared" ca="1" si="64"/>
        <v>493.8313367897116</v>
      </c>
      <c r="Z102" s="148">
        <f t="shared" ca="1" si="65"/>
        <v>35802.771917254089</v>
      </c>
      <c r="AA102" s="148">
        <f t="shared" ca="1" si="66"/>
        <v>136041.69057567813</v>
      </c>
      <c r="AB102" s="24">
        <f t="shared" ca="1" si="67"/>
        <v>133680.64953619469</v>
      </c>
      <c r="AC102" s="148">
        <f t="shared" ca="1" si="68"/>
        <v>6609.2702825795859</v>
      </c>
      <c r="AD102" s="148">
        <f t="shared" ca="1" si="69"/>
        <v>4874.0931287460071</v>
      </c>
      <c r="AE102" s="148">
        <f t="shared" ca="1" si="70"/>
        <v>2339.5647017980837</v>
      </c>
      <c r="AF102" s="148">
        <f t="shared" ca="1" si="71"/>
        <v>292.44558772476046</v>
      </c>
      <c r="AG102" s="148">
        <f t="shared" ca="1" si="72"/>
        <v>584.89117544952092</v>
      </c>
      <c r="AH102" s="148">
        <f t="shared" ca="1" si="73"/>
        <v>58976.526857826684</v>
      </c>
      <c r="AI102" s="148">
        <f t="shared" ca="1" si="74"/>
        <v>161127.04557838041</v>
      </c>
      <c r="AJ102" s="20">
        <f t="shared" ca="1" si="75"/>
        <v>158338.67984692217</v>
      </c>
      <c r="AK102" s="148">
        <f t="shared" ca="1" si="76"/>
        <v>7724.6737860293679</v>
      </c>
      <c r="AL102" s="148">
        <f t="shared" ca="1" si="77"/>
        <v>5696.6620840924543</v>
      </c>
      <c r="AM102" s="148">
        <f t="shared" ca="1" si="78"/>
        <v>2734.3978003643779</v>
      </c>
      <c r="AN102" s="148">
        <f t="shared" ca="1" si="79"/>
        <v>341.79972504554723</v>
      </c>
      <c r="AO102" s="148">
        <f t="shared" ca="1" si="80"/>
        <v>683.59945009109447</v>
      </c>
      <c r="AP102" s="148">
        <f t="shared" ca="1" si="81"/>
        <v>84082.732361204617</v>
      </c>
      <c r="AQ102" s="148">
        <f t="shared" ca="1" si="82"/>
        <v>188319.40773859352</v>
      </c>
      <c r="AR102" s="17">
        <f t="shared" ca="1" si="83"/>
        <v>185053.83022695774</v>
      </c>
      <c r="AS102" s="148">
        <f t="shared" ca="1" si="84"/>
        <v>78741.622995412778</v>
      </c>
      <c r="AT102" s="48" t="str">
        <f>INDEX('stock fisico '!N:N, MATCH(B102, 'stock fisico '!B:B, 0))</f>
        <v>TV-AUDIO-VIDEO</v>
      </c>
      <c r="AU102" s="46" t="str">
        <f>INDEX('stock fisico '!D:D, MATCH(B102, 'stock fisico '!B:B, 0))</f>
        <v>Parlantes</v>
      </c>
      <c r="AV102" s="43" t="str">
        <f>INDEX('stock fisico '!L:L, MATCH(B102, 'stock fisico '!B:B, 0))</f>
        <v>AIWA</v>
      </c>
    </row>
    <row r="103" spans="1:48" x14ac:dyDescent="0.25">
      <c r="A103" s="48">
        <f>INDEX('stock fisico '!M:M, MATCH(B103, 'stock fisico '!B:B, 0))</f>
        <v>8726</v>
      </c>
      <c r="B103" s="47" t="s">
        <v>1162</v>
      </c>
      <c r="C103" s="46" t="str">
        <f>INDEX('stock fisico '!C:C, MATCH(B103, 'stock fisico '!B:B, 0))</f>
        <v>PAVA ELECTRICA 1.8 L NETMAK NM-PAV01 ACERO INOX CORTE MATE EAN 0700306602556</v>
      </c>
      <c r="D103" s="44">
        <f>INDEX('stock fisico '!I:I, MATCH(B103, 'stock fisico '!B:B, 0))</f>
        <v>17504.45</v>
      </c>
      <c r="E103" s="6">
        <f t="shared" ca="1" si="85"/>
        <v>21346.890243902439</v>
      </c>
      <c r="F103" s="148">
        <f t="shared" ca="1" si="45"/>
        <v>948.16152017798174</v>
      </c>
      <c r="G103" s="148">
        <f t="shared" ca="1" si="46"/>
        <v>577.87947059776059</v>
      </c>
      <c r="H103" s="148">
        <f t="shared" ca="1" si="47"/>
        <v>277.38214588692512</v>
      </c>
      <c r="I103" s="148">
        <f t="shared" ca="1" si="48"/>
        <v>34.672768235865639</v>
      </c>
      <c r="J103" s="148">
        <f t="shared" ca="1" si="49"/>
        <v>69.345536471731279</v>
      </c>
      <c r="K103" s="148">
        <f t="shared" ca="1" si="50"/>
        <v>23115.178823910424</v>
      </c>
      <c r="L103" s="32">
        <f t="shared" ca="1" si="51"/>
        <v>22641.779446439075</v>
      </c>
      <c r="M103" s="148">
        <f t="shared" ca="1" si="52"/>
        <v>1147.3101692139005</v>
      </c>
      <c r="N103" s="148">
        <f t="shared" ca="1" si="53"/>
        <v>699.25532632066881</v>
      </c>
      <c r="O103" s="148">
        <f t="shared" ca="1" si="54"/>
        <v>335.642556633921</v>
      </c>
      <c r="P103" s="148">
        <f t="shared" ca="1" si="55"/>
        <v>41.955319579240125</v>
      </c>
      <c r="Q103" s="148">
        <f t="shared" ca="1" si="56"/>
        <v>83.910639158480251</v>
      </c>
      <c r="R103" s="148">
        <f t="shared" ca="1" si="57"/>
        <v>4484.3244076944484</v>
      </c>
      <c r="S103" s="148">
        <f t="shared" ca="1" si="58"/>
        <v>27970.213052826752</v>
      </c>
      <c r="T103" s="28">
        <f t="shared" ca="1" si="59"/>
        <v>27398.078016603191</v>
      </c>
      <c r="U103" s="148">
        <f t="shared" ca="1" si="60"/>
        <v>1326.1049982539332</v>
      </c>
      <c r="V103" s="148">
        <f t="shared" ca="1" si="61"/>
        <v>977.95353853534903</v>
      </c>
      <c r="W103" s="148">
        <f t="shared" ca="1" si="62"/>
        <v>469.41769849696755</v>
      </c>
      <c r="X103" s="148">
        <f t="shared" ca="1" si="63"/>
        <v>58.677212312120943</v>
      </c>
      <c r="Y103" s="148">
        <f t="shared" ca="1" si="64"/>
        <v>117.35442462424189</v>
      </c>
      <c r="Z103" s="148">
        <f t="shared" ca="1" si="65"/>
        <v>8508.195785257536</v>
      </c>
      <c r="AA103" s="148">
        <f t="shared" ca="1" si="66"/>
        <v>32329.042596209885</v>
      </c>
      <c r="AB103" s="24">
        <f t="shared" ca="1" si="67"/>
        <v>31767.963150535117</v>
      </c>
      <c r="AC103" s="148">
        <f t="shared" ca="1" si="68"/>
        <v>1570.6316173461335</v>
      </c>
      <c r="AD103" s="148">
        <f t="shared" ca="1" si="69"/>
        <v>1158.2829036475912</v>
      </c>
      <c r="AE103" s="148">
        <f t="shared" ca="1" si="70"/>
        <v>555.97579375084376</v>
      </c>
      <c r="AF103" s="148">
        <f t="shared" ca="1" si="71"/>
        <v>69.49697421885547</v>
      </c>
      <c r="AG103" s="148">
        <f t="shared" ca="1" si="72"/>
        <v>138.99394843771094</v>
      </c>
      <c r="AH103" s="148">
        <f t="shared" ca="1" si="73"/>
        <v>14015.223134135853</v>
      </c>
      <c r="AI103" s="148">
        <f t="shared" ca="1" si="74"/>
        <v>38290.343922234417</v>
      </c>
      <c r="AJ103" s="20">
        <f t="shared" ca="1" si="75"/>
        <v>37627.714737572984</v>
      </c>
      <c r="AK103" s="148">
        <f t="shared" ca="1" si="76"/>
        <v>1835.6968868410763</v>
      </c>
      <c r="AL103" s="148">
        <f t="shared" ca="1" si="77"/>
        <v>1353.7587661069886</v>
      </c>
      <c r="AM103" s="148">
        <f t="shared" ca="1" si="78"/>
        <v>649.8042077313545</v>
      </c>
      <c r="AN103" s="148">
        <f t="shared" ca="1" si="79"/>
        <v>81.225525966419312</v>
      </c>
      <c r="AO103" s="148">
        <f t="shared" ca="1" si="80"/>
        <v>162.45105193283862</v>
      </c>
      <c r="AP103" s="148">
        <f t="shared" ca="1" si="81"/>
        <v>19981.479387739149</v>
      </c>
      <c r="AQ103" s="148">
        <f t="shared" ca="1" si="82"/>
        <v>44752.355904363256</v>
      </c>
      <c r="AR103" s="17">
        <f t="shared" ca="1" si="83"/>
        <v>43976.321778146856</v>
      </c>
      <c r="AS103" s="148">
        <f t="shared" ca="1" si="84"/>
        <v>18712.214418544692</v>
      </c>
      <c r="AT103" s="48" t="str">
        <f>INDEX('stock fisico '!N:N, MATCH(B103, 'stock fisico '!B:B, 0))</f>
        <v>ELECTRODOMESTICOS Y AIRES ACOND</v>
      </c>
      <c r="AU103" s="46" t="str">
        <f>INDEX('stock fisico '!D:D, MATCH(B103, 'stock fisico '!B:B, 0))</f>
        <v xml:space="preserve">Pequeños Electrodomesticos </v>
      </c>
      <c r="AV103" s="43" t="str">
        <f>INDEX('stock fisico '!L:L, MATCH(B103, 'stock fisico '!B:B, 0))</f>
        <v>Netmak</v>
      </c>
    </row>
    <row r="104" spans="1:48" x14ac:dyDescent="0.25">
      <c r="A104" s="48">
        <f>INDEX('stock fisico '!M:M, MATCH(B104, 'stock fisico '!B:B, 0))</f>
        <v>5386</v>
      </c>
      <c r="B104" s="47" t="s">
        <v>1218</v>
      </c>
      <c r="C104" s="46" t="str">
        <f>INDEX('stock fisico '!C:C, MATCH(B104, 'stock fisico '!B:B, 0))</f>
        <v>HORNO ELECTRICO 65 LITROS BHE65M19 PIH048222 BGH EAN:  7796885482224</v>
      </c>
      <c r="D104" s="44">
        <f>INDEX('stock fisico '!I:I, MATCH(B104, 'stock fisico '!B:B, 0))</f>
        <v>58993.01</v>
      </c>
      <c r="E104" s="6">
        <f t="shared" ca="1" si="85"/>
        <v>71942.695121951227</v>
      </c>
      <c r="F104" s="148">
        <f t="shared" ca="1" si="45"/>
        <v>3195.4675549060316</v>
      </c>
      <c r="G104" s="148">
        <f t="shared" ca="1" si="46"/>
        <v>1947.5533014615373</v>
      </c>
      <c r="H104" s="148">
        <f t="shared" ca="1" si="47"/>
        <v>934.82558470153788</v>
      </c>
      <c r="I104" s="148">
        <f t="shared" ca="1" si="48"/>
        <v>116.85319808769223</v>
      </c>
      <c r="J104" s="148">
        <f t="shared" ca="1" si="49"/>
        <v>233.70639617538447</v>
      </c>
      <c r="K104" s="148">
        <f t="shared" ca="1" si="50"/>
        <v>77902.132058461488</v>
      </c>
      <c r="L104" s="32">
        <f t="shared" ca="1" si="51"/>
        <v>76306.694657734188</v>
      </c>
      <c r="M104" s="148">
        <f t="shared" ca="1" si="52"/>
        <v>3866.6327868363383</v>
      </c>
      <c r="N104" s="148">
        <f t="shared" ca="1" si="53"/>
        <v>2356.6108308566386</v>
      </c>
      <c r="O104" s="148">
        <f t="shared" ca="1" si="54"/>
        <v>1131.1731988111865</v>
      </c>
      <c r="P104" s="148">
        <f t="shared" ca="1" si="55"/>
        <v>141.39664985139831</v>
      </c>
      <c r="Q104" s="148">
        <f t="shared" ca="1" si="56"/>
        <v>282.79329970279662</v>
      </c>
      <c r="R104" s="148">
        <f t="shared" ca="1" si="57"/>
        <v>15112.945258283622</v>
      </c>
      <c r="S104" s="148">
        <f t="shared" ca="1" si="58"/>
        <v>94264.43323426554</v>
      </c>
      <c r="T104" s="28">
        <f t="shared" ca="1" si="59"/>
        <v>92336.239665585163</v>
      </c>
      <c r="U104" s="148">
        <f t="shared" ca="1" si="60"/>
        <v>4469.2021413437315</v>
      </c>
      <c r="V104" s="148">
        <f t="shared" ca="1" si="61"/>
        <v>3295.8717856517196</v>
      </c>
      <c r="W104" s="148">
        <f t="shared" ca="1" si="62"/>
        <v>1582.0184571128254</v>
      </c>
      <c r="X104" s="148">
        <f t="shared" ca="1" si="63"/>
        <v>197.75230713910318</v>
      </c>
      <c r="Y104" s="148">
        <f t="shared" ca="1" si="64"/>
        <v>395.50461427820636</v>
      </c>
      <c r="Z104" s="148">
        <f t="shared" ca="1" si="65"/>
        <v>28674.084535169961</v>
      </c>
      <c r="AA104" s="148">
        <f t="shared" ca="1" si="66"/>
        <v>108954.43919509817</v>
      </c>
      <c r="AB104" s="24">
        <f t="shared" ca="1" si="67"/>
        <v>107063.50486985595</v>
      </c>
      <c r="AC104" s="148">
        <f t="shared" ca="1" si="68"/>
        <v>5293.2989444636441</v>
      </c>
      <c r="AD104" s="148">
        <f t="shared" ca="1" si="69"/>
        <v>3903.6127909023926</v>
      </c>
      <c r="AE104" s="148">
        <f t="shared" ca="1" si="70"/>
        <v>1873.7341396331485</v>
      </c>
      <c r="AF104" s="148">
        <f t="shared" ca="1" si="71"/>
        <v>234.21676745414356</v>
      </c>
      <c r="AG104" s="148">
        <f t="shared" ca="1" si="72"/>
        <v>468.43353490828713</v>
      </c>
      <c r="AH104" s="148">
        <f t="shared" ca="1" si="73"/>
        <v>47233.714769918952</v>
      </c>
      <c r="AI104" s="148">
        <f t="shared" ca="1" si="74"/>
        <v>129045.05093892207</v>
      </c>
      <c r="AJ104" s="20">
        <f t="shared" ca="1" si="75"/>
        <v>126811.87651087526</v>
      </c>
      <c r="AK104" s="148">
        <f t="shared" ca="1" si="76"/>
        <v>6186.6145352972817</v>
      </c>
      <c r="AL104" s="148">
        <f t="shared" ca="1" si="77"/>
        <v>4562.4000997767562</v>
      </c>
      <c r="AM104" s="148">
        <f t="shared" ca="1" si="78"/>
        <v>2189.952047892843</v>
      </c>
      <c r="AN104" s="148">
        <f t="shared" ca="1" si="79"/>
        <v>273.74400598660537</v>
      </c>
      <c r="AO104" s="148">
        <f t="shared" ca="1" si="80"/>
        <v>547.48801197321075</v>
      </c>
      <c r="AP104" s="148">
        <f t="shared" ca="1" si="81"/>
        <v>67341.025472704918</v>
      </c>
      <c r="AQ104" s="148">
        <f t="shared" ca="1" si="82"/>
        <v>150823.14379427294</v>
      </c>
      <c r="AR104" s="17">
        <f t="shared" ca="1" si="83"/>
        <v>148207.77518981948</v>
      </c>
      <c r="AS104" s="148">
        <f t="shared" ca="1" si="84"/>
        <v>63063.384014656353</v>
      </c>
      <c r="AT104" s="48" t="str">
        <f>INDEX('stock fisico '!N:N, MATCH(B104, 'stock fisico '!B:B, 0))</f>
        <v>ELECTRODOMESTICOS Y AIRES ACOND</v>
      </c>
      <c r="AU104" s="46" t="str">
        <f>INDEX('stock fisico '!D:D, MATCH(B104, 'stock fisico '!B:B, 0))</f>
        <v>Horno</v>
      </c>
      <c r="AV104" s="43" t="str">
        <f>INDEX('stock fisico '!L:L, MATCH(B104, 'stock fisico '!B:B, 0))</f>
        <v>Bgh</v>
      </c>
    </row>
    <row r="105" spans="1:48" x14ac:dyDescent="0.25">
      <c r="A105" s="48">
        <f>INDEX('stock fisico '!M:M, MATCH(B105, 'stock fisico '!B:B, 0))</f>
        <v>9862</v>
      </c>
      <c r="B105" s="47" t="s">
        <v>1199</v>
      </c>
      <c r="C105" s="46" t="str">
        <f>INDEX('stock fisico '!C:C, MATCH(B105, 'stock fisico '!B:B, 0))</f>
        <v>GAMEPAD ANDROID NETMAK NM-NITRO C/SOPORTE 5 EN 1 EAN 0700306605861</v>
      </c>
      <c r="D105" s="44">
        <f>INDEX('stock fisico '!I:I, MATCH(B105, 'stock fisico '!B:B, 0))</f>
        <v>11772.78</v>
      </c>
      <c r="E105" s="6">
        <f t="shared" ca="1" si="85"/>
        <v>14357.048780487807</v>
      </c>
      <c r="F105" s="148">
        <f t="shared" ca="1" si="45"/>
        <v>637.69481369142932</v>
      </c>
      <c r="G105" s="148">
        <f t="shared" ca="1" si="46"/>
        <v>388.65819113790525</v>
      </c>
      <c r="H105" s="148">
        <f t="shared" ca="1" si="47"/>
        <v>186.55593174619452</v>
      </c>
      <c r="I105" s="148">
        <f t="shared" ca="1" si="48"/>
        <v>23.319491468274315</v>
      </c>
      <c r="J105" s="148">
        <f t="shared" ca="1" si="49"/>
        <v>46.638982936548629</v>
      </c>
      <c r="K105" s="148">
        <f t="shared" ca="1" si="50"/>
        <v>15546.327645516209</v>
      </c>
      <c r="L105" s="32">
        <f t="shared" ca="1" si="51"/>
        <v>15227.938508861978</v>
      </c>
      <c r="M105" s="148">
        <f t="shared" ca="1" si="52"/>
        <v>771.63408241435889</v>
      </c>
      <c r="N105" s="148">
        <f t="shared" ca="1" si="53"/>
        <v>470.2906472697768</v>
      </c>
      <c r="O105" s="148">
        <f t="shared" ca="1" si="54"/>
        <v>225.73951068949285</v>
      </c>
      <c r="P105" s="148">
        <f t="shared" ca="1" si="55"/>
        <v>28.217438836186606</v>
      </c>
      <c r="Q105" s="148">
        <f t="shared" ca="1" si="56"/>
        <v>56.434877672373212</v>
      </c>
      <c r="R105" s="148">
        <f t="shared" ca="1" si="57"/>
        <v>3015.9739209410782</v>
      </c>
      <c r="S105" s="148">
        <f t="shared" ca="1" si="58"/>
        <v>18811.625890791071</v>
      </c>
      <c r="T105" s="28">
        <f t="shared" ca="1" si="59"/>
        <v>18426.831172205111</v>
      </c>
      <c r="U105" s="148">
        <f t="shared" ca="1" si="60"/>
        <v>891.88420095141203</v>
      </c>
      <c r="V105" s="148">
        <f t="shared" ca="1" si="61"/>
        <v>657.73171161608559</v>
      </c>
      <c r="W105" s="148">
        <f t="shared" ca="1" si="62"/>
        <v>315.71122157572108</v>
      </c>
      <c r="X105" s="148">
        <f t="shared" ca="1" si="63"/>
        <v>39.463902696965135</v>
      </c>
      <c r="Y105" s="148">
        <f t="shared" ca="1" si="64"/>
        <v>78.927805393930271</v>
      </c>
      <c r="Z105" s="148">
        <f t="shared" ca="1" si="65"/>
        <v>5722.2658910599439</v>
      </c>
      <c r="AA105" s="148">
        <f t="shared" ca="1" si="66"/>
        <v>21743.197078217705</v>
      </c>
      <c r="AB105" s="24">
        <f t="shared" ca="1" si="67"/>
        <v>21365.837899468814</v>
      </c>
      <c r="AC105" s="148">
        <f t="shared" ca="1" si="68"/>
        <v>1056.3428437945904</v>
      </c>
      <c r="AD105" s="148">
        <f t="shared" ca="1" si="69"/>
        <v>779.01389660368022</v>
      </c>
      <c r="AE105" s="148">
        <f t="shared" ca="1" si="70"/>
        <v>373.9266703697665</v>
      </c>
      <c r="AF105" s="148">
        <f t="shared" ca="1" si="71"/>
        <v>46.740833796220812</v>
      </c>
      <c r="AG105" s="148">
        <f t="shared" ca="1" si="72"/>
        <v>93.481667592441624</v>
      </c>
      <c r="AH105" s="148">
        <f t="shared" ca="1" si="73"/>
        <v>9426.068148904531</v>
      </c>
      <c r="AI105" s="148">
        <f t="shared" ca="1" si="74"/>
        <v>25752.525507559676</v>
      </c>
      <c r="AJ105" s="20">
        <f t="shared" ca="1" si="75"/>
        <v>25306.868111149139</v>
      </c>
      <c r="AK105" s="148">
        <f t="shared" ca="1" si="76"/>
        <v>1234.6149462259534</v>
      </c>
      <c r="AL105" s="148">
        <f t="shared" ca="1" si="77"/>
        <v>910.48299869170603</v>
      </c>
      <c r="AM105" s="148">
        <f t="shared" ca="1" si="78"/>
        <v>437.03183937201891</v>
      </c>
      <c r="AN105" s="148">
        <f t="shared" ca="1" si="79"/>
        <v>54.628979921502363</v>
      </c>
      <c r="AO105" s="148">
        <f t="shared" ca="1" si="80"/>
        <v>109.25795984300473</v>
      </c>
      <c r="AP105" s="148">
        <f t="shared" ca="1" si="81"/>
        <v>13438.72906068958</v>
      </c>
      <c r="AQ105" s="148">
        <f t="shared" ca="1" si="82"/>
        <v>30098.611526998546</v>
      </c>
      <c r="AR105" s="17">
        <f t="shared" ca="1" si="83"/>
        <v>29576.682586618364</v>
      </c>
      <c r="AS105" s="148">
        <f t="shared" ca="1" si="84"/>
        <v>12585.073147819818</v>
      </c>
      <c r="AT105" s="48" t="str">
        <f>INDEX('stock fisico '!N:N, MATCH(B105, 'stock fisico '!B:B, 0))</f>
        <v>TECNOLOGIA Y CELULARES</v>
      </c>
      <c r="AU105" s="46" t="str">
        <f>INDEX('stock fisico '!D:D, MATCH(B105, 'stock fisico '!B:B, 0))</f>
        <v>Joysticks</v>
      </c>
      <c r="AV105" s="43" t="str">
        <f>INDEX('stock fisico '!L:L, MATCH(B105, 'stock fisico '!B:B, 0))</f>
        <v>Netmak</v>
      </c>
    </row>
    <row r="106" spans="1:48" x14ac:dyDescent="0.25">
      <c r="A106" s="48">
        <f>INDEX('stock fisico '!M:M, MATCH(B106, 'stock fisico '!B:B, 0))</f>
        <v>3143</v>
      </c>
      <c r="B106" s="47" t="s">
        <v>303</v>
      </c>
      <c r="C106" s="46" t="str">
        <f>INDEX('stock fisico '!C:C, MATCH(B106, 'stock fisico '!B:B, 0))</f>
        <v>AURICULAR IN EAR NG-GL1782 NOGANET  EAN: 7798137711595</v>
      </c>
      <c r="D106" s="44">
        <f>INDEX('stock fisico '!I:I, MATCH(B106, 'stock fisico '!B:B, 0))</f>
        <v>6045</v>
      </c>
      <c r="E106" s="6">
        <f t="shared" ca="1" si="85"/>
        <v>7371.9512195121952</v>
      </c>
      <c r="F106" s="148">
        <f t="shared" ca="1" si="45"/>
        <v>327.43881638531343</v>
      </c>
      <c r="G106" s="148">
        <f t="shared" ca="1" si="46"/>
        <v>199.56533337314016</v>
      </c>
      <c r="H106" s="148">
        <f t="shared" ca="1" si="47"/>
        <v>95.791360019107273</v>
      </c>
      <c r="I106" s="148">
        <f t="shared" ca="1" si="48"/>
        <v>11.973920002388409</v>
      </c>
      <c r="J106" s="148">
        <f t="shared" ca="1" si="49"/>
        <v>23.947840004776818</v>
      </c>
      <c r="K106" s="148">
        <f t="shared" ca="1" si="50"/>
        <v>7982.6133349256061</v>
      </c>
      <c r="L106" s="32">
        <f t="shared" ca="1" si="51"/>
        <v>7819.129235921393</v>
      </c>
      <c r="M106" s="148">
        <f t="shared" ca="1" si="52"/>
        <v>396.21296144112091</v>
      </c>
      <c r="N106" s="148">
        <f t="shared" ca="1" si="53"/>
        <v>241.48136317384683</v>
      </c>
      <c r="O106" s="148">
        <f t="shared" ca="1" si="54"/>
        <v>115.91105432344648</v>
      </c>
      <c r="P106" s="148">
        <f t="shared" ca="1" si="55"/>
        <v>14.48888179043081</v>
      </c>
      <c r="Q106" s="148">
        <f t="shared" ca="1" si="56"/>
        <v>28.97776358086162</v>
      </c>
      <c r="R106" s="148">
        <f t="shared" ca="1" si="57"/>
        <v>1548.6199820338798</v>
      </c>
      <c r="S106" s="148">
        <f t="shared" ca="1" si="58"/>
        <v>9659.2545269538732</v>
      </c>
      <c r="T106" s="28">
        <f t="shared" ca="1" si="59"/>
        <v>9461.6729808915043</v>
      </c>
      <c r="U106" s="148">
        <f t="shared" ca="1" si="60"/>
        <v>457.95810290783356</v>
      </c>
      <c r="V106" s="148">
        <f t="shared" ca="1" si="61"/>
        <v>337.72721453380058</v>
      </c>
      <c r="W106" s="148">
        <f t="shared" ca="1" si="62"/>
        <v>162.10906297622427</v>
      </c>
      <c r="X106" s="148">
        <f t="shared" ca="1" si="63"/>
        <v>20.263632872028033</v>
      </c>
      <c r="Y106" s="148">
        <f t="shared" ca="1" si="64"/>
        <v>40.527265744056066</v>
      </c>
      <c r="Z106" s="148">
        <f t="shared" ca="1" si="65"/>
        <v>2938.2267664440651</v>
      </c>
      <c r="AA106" s="148">
        <f t="shared" ca="1" si="66"/>
        <v>11164.5360176463</v>
      </c>
      <c r="AB106" s="24">
        <f t="shared" ca="1" si="67"/>
        <v>10970.772417584374</v>
      </c>
      <c r="AC106" s="148">
        <f t="shared" ca="1" si="68"/>
        <v>542.40311045804788</v>
      </c>
      <c r="AD106" s="148">
        <f t="shared" ca="1" si="69"/>
        <v>400.00229384811792</v>
      </c>
      <c r="AE106" s="148">
        <f t="shared" ca="1" si="70"/>
        <v>192.0011010470966</v>
      </c>
      <c r="AF106" s="148">
        <f t="shared" ca="1" si="71"/>
        <v>24.000137630887075</v>
      </c>
      <c r="AG106" s="148">
        <f t="shared" ca="1" si="72"/>
        <v>48.000275261774149</v>
      </c>
      <c r="AH106" s="148">
        <f t="shared" ca="1" si="73"/>
        <v>4840.027755562227</v>
      </c>
      <c r="AI106" s="148">
        <f t="shared" ca="1" si="74"/>
        <v>13223.216325557618</v>
      </c>
      <c r="AJ106" s="20">
        <f t="shared" ca="1" si="75"/>
        <v>12994.383461841342</v>
      </c>
      <c r="AK106" s="148">
        <f t="shared" ca="1" si="76"/>
        <v>633.94095106983116</v>
      </c>
      <c r="AL106" s="148">
        <f t="shared" ca="1" si="77"/>
        <v>467.5080760102</v>
      </c>
      <c r="AM106" s="148">
        <f t="shared" ca="1" si="78"/>
        <v>224.40387648489599</v>
      </c>
      <c r="AN106" s="148">
        <f t="shared" ca="1" si="79"/>
        <v>28.050484560611999</v>
      </c>
      <c r="AO106" s="148">
        <f t="shared" ca="1" si="80"/>
        <v>56.100969121223997</v>
      </c>
      <c r="AP106" s="148">
        <f t="shared" ca="1" si="81"/>
        <v>6900.4192019105521</v>
      </c>
      <c r="AQ106" s="148">
        <f t="shared" ca="1" si="82"/>
        <v>15454.812430089256</v>
      </c>
      <c r="AR106" s="17">
        <f t="shared" ca="1" si="83"/>
        <v>15186.816218098698</v>
      </c>
      <c r="AS106" s="148">
        <f t="shared" ca="1" si="84"/>
        <v>6462.0902776209859</v>
      </c>
      <c r="AT106" s="48" t="str">
        <f>INDEX('stock fisico '!N:N, MATCH(B106, 'stock fisico '!B:B, 0))</f>
        <v>TV-AUDIO-VIDEO</v>
      </c>
      <c r="AU106" s="46" t="str">
        <f>INDEX('stock fisico '!D:D, MATCH(B106, 'stock fisico '!B:B, 0))</f>
        <v>Auriculares</v>
      </c>
      <c r="AV106" s="43" t="str">
        <f>INDEX('stock fisico '!L:L, MATCH(B106, 'stock fisico '!B:B, 0))</f>
        <v>Noganet</v>
      </c>
    </row>
    <row r="107" spans="1:48" x14ac:dyDescent="0.25">
      <c r="A107" s="48">
        <f>INDEX('stock fisico '!M:M, MATCH(B107, 'stock fisico '!B:B, 0))</f>
        <v>9036</v>
      </c>
      <c r="B107" s="47" t="s">
        <v>286</v>
      </c>
      <c r="C107" s="46" t="str">
        <f>INDEX('stock fisico '!C:C, MATCH(B107, 'stock fisico '!B:B, 0))</f>
        <v>CABLE VGA M/M NM-C18 10 METROS NETMAK   EAN:  7792641882208</v>
      </c>
      <c r="D107" s="44">
        <f>INDEX('stock fisico '!I:I, MATCH(B107, 'stock fisico '!B:B, 0))</f>
        <v>9295</v>
      </c>
      <c r="E107" s="6">
        <f t="shared" ca="1" si="85"/>
        <v>11335.365853658537</v>
      </c>
      <c r="F107" s="148">
        <f t="shared" ca="1" si="45"/>
        <v>503.48119078601957</v>
      </c>
      <c r="G107" s="148">
        <f t="shared" ca="1" si="46"/>
        <v>306.85852335869936</v>
      </c>
      <c r="H107" s="148">
        <f t="shared" ca="1" si="47"/>
        <v>147.29209121217571</v>
      </c>
      <c r="I107" s="148">
        <f t="shared" ca="1" si="48"/>
        <v>18.411511401521963</v>
      </c>
      <c r="J107" s="148">
        <f t="shared" ca="1" si="49"/>
        <v>36.823022803043926</v>
      </c>
      <c r="K107" s="148">
        <f t="shared" ca="1" si="50"/>
        <v>12274.340934347974</v>
      </c>
      <c r="L107" s="32">
        <f t="shared" ca="1" si="51"/>
        <v>12022.962158459777</v>
      </c>
      <c r="M107" s="148">
        <f t="shared" ca="1" si="52"/>
        <v>609.23068264602466</v>
      </c>
      <c r="N107" s="148">
        <f t="shared" ca="1" si="53"/>
        <v>371.31005305225915</v>
      </c>
      <c r="O107" s="148">
        <f t="shared" ca="1" si="54"/>
        <v>178.22882546508438</v>
      </c>
      <c r="P107" s="148">
        <f t="shared" ca="1" si="55"/>
        <v>22.278603183135548</v>
      </c>
      <c r="Q107" s="148">
        <f t="shared" ca="1" si="56"/>
        <v>44.557206366271096</v>
      </c>
      <c r="R107" s="148">
        <f t="shared" ca="1" si="57"/>
        <v>2381.2113702241377</v>
      </c>
      <c r="S107" s="148">
        <f t="shared" ca="1" si="58"/>
        <v>14852.402122090365</v>
      </c>
      <c r="T107" s="28">
        <f t="shared" ca="1" si="59"/>
        <v>14548.593938360056</v>
      </c>
      <c r="U107" s="148">
        <f t="shared" ca="1" si="60"/>
        <v>704.17213672924947</v>
      </c>
      <c r="V107" s="148">
        <f t="shared" ca="1" si="61"/>
        <v>519.3009857885321</v>
      </c>
      <c r="W107" s="148">
        <f t="shared" ca="1" si="62"/>
        <v>249.26447317849539</v>
      </c>
      <c r="X107" s="148">
        <f t="shared" ca="1" si="63"/>
        <v>31.158059147311924</v>
      </c>
      <c r="Y107" s="148">
        <f t="shared" ca="1" si="64"/>
        <v>62.316118294623848</v>
      </c>
      <c r="Z107" s="148">
        <f t="shared" ca="1" si="65"/>
        <v>4517.9185763602291</v>
      </c>
      <c r="AA107" s="148">
        <f t="shared" ca="1" si="66"/>
        <v>17166.974736810978</v>
      </c>
      <c r="AB107" s="24">
        <f t="shared" ca="1" si="67"/>
        <v>16869.037158221134</v>
      </c>
      <c r="AC107" s="148">
        <f t="shared" ca="1" si="68"/>
        <v>834.01768597312753</v>
      </c>
      <c r="AD107" s="148">
        <f t="shared" ca="1" si="69"/>
        <v>615.05729054065455</v>
      </c>
      <c r="AE107" s="148">
        <f t="shared" ca="1" si="70"/>
        <v>295.22749945951415</v>
      </c>
      <c r="AF107" s="148">
        <f t="shared" ca="1" si="71"/>
        <v>36.903437432439269</v>
      </c>
      <c r="AG107" s="148">
        <f t="shared" ca="1" si="72"/>
        <v>73.806874864878537</v>
      </c>
      <c r="AH107" s="148">
        <f t="shared" ca="1" si="73"/>
        <v>7442.1932155419199</v>
      </c>
      <c r="AI107" s="148">
        <f t="shared" ca="1" si="74"/>
        <v>20332.472414567092</v>
      </c>
      <c r="AJ107" s="20">
        <f t="shared" ca="1" si="75"/>
        <v>19980.611129497978</v>
      </c>
      <c r="AK107" s="148">
        <f t="shared" ca="1" si="76"/>
        <v>974.76941938694472</v>
      </c>
      <c r="AL107" s="148">
        <f t="shared" ca="1" si="77"/>
        <v>718.85650397267307</v>
      </c>
      <c r="AM107" s="148">
        <f t="shared" ca="1" si="78"/>
        <v>345.05112190688311</v>
      </c>
      <c r="AN107" s="148">
        <f t="shared" ca="1" si="79"/>
        <v>43.131390238360389</v>
      </c>
      <c r="AO107" s="148">
        <f t="shared" ca="1" si="80"/>
        <v>86.262780476720778</v>
      </c>
      <c r="AP107" s="148">
        <f t="shared" ca="1" si="81"/>
        <v>10610.321998636655</v>
      </c>
      <c r="AQ107" s="148">
        <f t="shared" ca="1" si="82"/>
        <v>23763.851370997458</v>
      </c>
      <c r="AR107" s="17">
        <f t="shared" ca="1" si="83"/>
        <v>23351.77117406574</v>
      </c>
      <c r="AS107" s="148">
        <f t="shared" ca="1" si="84"/>
        <v>9936.3323623634533</v>
      </c>
      <c r="AT107" s="48" t="str">
        <f>INDEX('stock fisico '!N:N, MATCH(B107, 'stock fisico '!B:B, 0))</f>
        <v>MAS CATEGORIAS</v>
      </c>
      <c r="AU107" s="46" t="str">
        <f>INDEX('stock fisico '!D:D, MATCH(B107, 'stock fisico '!B:B, 0))</f>
        <v>Cables</v>
      </c>
      <c r="AV107" s="43" t="str">
        <f>INDEX('stock fisico '!L:L, MATCH(B107, 'stock fisico '!B:B, 0))</f>
        <v>Netmak</v>
      </c>
    </row>
    <row r="108" spans="1:48" x14ac:dyDescent="0.25">
      <c r="A108" s="48">
        <f>INDEX('stock fisico '!M:M, MATCH(B108, 'stock fisico '!B:B, 0))</f>
        <v>9900</v>
      </c>
      <c r="B108" s="47" t="s">
        <v>1420</v>
      </c>
      <c r="C108" s="46" t="str">
        <f>INDEX('stock fisico '!C:C, MATCH(B108, 'stock fisico '!B:B, 0))</f>
        <v>AURICULAR SUZUKI IN EAR STW-101N NEGRO EAN 7798111354879</v>
      </c>
      <c r="D108" s="44">
        <f>INDEX('stock fisico '!I:I, MATCH(B108, 'stock fisico '!B:B, 0))</f>
        <v>11364.47</v>
      </c>
      <c r="E108" s="6">
        <f t="shared" ca="1" si="85"/>
        <v>13859.10975609756</v>
      </c>
      <c r="F108" s="148">
        <f t="shared" ca="1" si="45"/>
        <v>615.57793310941315</v>
      </c>
      <c r="G108" s="148">
        <f t="shared" ca="1" si="46"/>
        <v>375.17853501390402</v>
      </c>
      <c r="H108" s="148">
        <f t="shared" ca="1" si="47"/>
        <v>180.08569680667392</v>
      </c>
      <c r="I108" s="148">
        <f t="shared" ca="1" si="48"/>
        <v>22.51071210083424</v>
      </c>
      <c r="J108" s="148">
        <f t="shared" ca="1" si="49"/>
        <v>45.021424201668481</v>
      </c>
      <c r="K108" s="148">
        <f t="shared" ca="1" si="50"/>
        <v>15007.14140055616</v>
      </c>
      <c r="L108" s="32">
        <f t="shared" ca="1" si="51"/>
        <v>14699.794810215315</v>
      </c>
      <c r="M108" s="148">
        <f t="shared" ca="1" si="52"/>
        <v>744.87184680045902</v>
      </c>
      <c r="N108" s="148">
        <f t="shared" ca="1" si="53"/>
        <v>453.97976961923689</v>
      </c>
      <c r="O108" s="148">
        <f t="shared" ca="1" si="54"/>
        <v>217.91028941723371</v>
      </c>
      <c r="P108" s="148">
        <f t="shared" ca="1" si="55"/>
        <v>27.238786177154214</v>
      </c>
      <c r="Q108" s="148">
        <f t="shared" ca="1" si="56"/>
        <v>54.477572354308428</v>
      </c>
      <c r="R108" s="148">
        <f t="shared" ca="1" si="57"/>
        <v>2911.3722625681658</v>
      </c>
      <c r="S108" s="148">
        <f t="shared" ca="1" si="58"/>
        <v>18159.190784769475</v>
      </c>
      <c r="T108" s="28">
        <f t="shared" ca="1" si="59"/>
        <v>17787.741727237728</v>
      </c>
      <c r="U108" s="148">
        <f t="shared" ca="1" si="60"/>
        <v>860.9513849053742</v>
      </c>
      <c r="V108" s="148">
        <f t="shared" ca="1" si="61"/>
        <v>634.91990037269477</v>
      </c>
      <c r="W108" s="148">
        <f t="shared" ca="1" si="62"/>
        <v>304.76155217889351</v>
      </c>
      <c r="X108" s="148">
        <f t="shared" ca="1" si="63"/>
        <v>38.095194022361689</v>
      </c>
      <c r="Y108" s="148">
        <f t="shared" ca="1" si="64"/>
        <v>76.190388044723377</v>
      </c>
      <c r="Z108" s="148">
        <f t="shared" ca="1" si="65"/>
        <v>5523.8031332424443</v>
      </c>
      <c r="AA108" s="148">
        <f t="shared" ca="1" si="66"/>
        <v>20989.087615626275</v>
      </c>
      <c r="AB108" s="24">
        <f t="shared" ca="1" si="67"/>
        <v>20624.816214468996</v>
      </c>
      <c r="AC108" s="148">
        <f t="shared" ca="1" si="68"/>
        <v>1019.7061830781093</v>
      </c>
      <c r="AD108" s="148">
        <f t="shared" ca="1" si="69"/>
        <v>751.99571023459396</v>
      </c>
      <c r="AE108" s="148">
        <f t="shared" ca="1" si="70"/>
        <v>360.95794091260507</v>
      </c>
      <c r="AF108" s="148">
        <f t="shared" ca="1" si="71"/>
        <v>45.119742614075633</v>
      </c>
      <c r="AG108" s="148">
        <f t="shared" ca="1" si="72"/>
        <v>90.239485228151267</v>
      </c>
      <c r="AH108" s="148">
        <f t="shared" ca="1" si="73"/>
        <v>9099.1480938385866</v>
      </c>
      <c r="AI108" s="148">
        <f t="shared" ca="1" si="74"/>
        <v>24859.362321804758</v>
      </c>
      <c r="AJ108" s="20">
        <f t="shared" ca="1" si="75"/>
        <v>24429.16145915501</v>
      </c>
      <c r="AK108" s="148">
        <f t="shared" ca="1" si="76"/>
        <v>1191.7953548725498</v>
      </c>
      <c r="AL108" s="148">
        <f t="shared" ca="1" si="77"/>
        <v>878.90512896205735</v>
      </c>
      <c r="AM108" s="148">
        <f t="shared" ca="1" si="78"/>
        <v>421.87446190178753</v>
      </c>
      <c r="AN108" s="148">
        <f t="shared" ca="1" si="79"/>
        <v>52.734307737723441</v>
      </c>
      <c r="AO108" s="148">
        <f t="shared" ca="1" si="80"/>
        <v>105.46861547544688</v>
      </c>
      <c r="AP108" s="148">
        <f t="shared" ca="1" si="81"/>
        <v>12972.639703479967</v>
      </c>
      <c r="AQ108" s="148">
        <f t="shared" ca="1" si="82"/>
        <v>29054.71500701016</v>
      </c>
      <c r="AR108" s="17">
        <f t="shared" ca="1" si="83"/>
        <v>28550.887891827311</v>
      </c>
      <c r="AS108" s="148">
        <f t="shared" ca="1" si="84"/>
        <v>12148.590752244063</v>
      </c>
      <c r="AT108" s="48" t="str">
        <f>INDEX('stock fisico '!N:N, MATCH(B108, 'stock fisico '!B:B, 0))</f>
        <v>TV-AUDIO-VIDEO</v>
      </c>
      <c r="AU108" s="46" t="str">
        <f>INDEX('stock fisico '!D:D, MATCH(B108, 'stock fisico '!B:B, 0))</f>
        <v>Auriculares</v>
      </c>
      <c r="AV108" s="43" t="str">
        <f>INDEX('stock fisico '!L:L, MATCH(B108, 'stock fisico '!B:B, 0))</f>
        <v>AIWA</v>
      </c>
    </row>
    <row r="109" spans="1:48" x14ac:dyDescent="0.25">
      <c r="A109" s="48">
        <f>INDEX('stock fisico '!M:M, MATCH(B109, 'stock fisico '!B:B, 0))</f>
        <v>6880</v>
      </c>
      <c r="B109" s="47" t="s">
        <v>322</v>
      </c>
      <c r="C109" s="46" t="str">
        <f>INDEX('stock fisico '!C:C, MATCH(B109, 'stock fisico '!B:B, 0))</f>
        <v>BATERIA DE LITIO NM-CR2032 BLISTER X5 NETMAK  EAN:  0700306601498</v>
      </c>
      <c r="D109" s="44">
        <f>INDEX('stock fisico '!I:I, MATCH(B109, 'stock fisico '!B:B, 0))</f>
        <v>2360</v>
      </c>
      <c r="E109" s="6">
        <f t="shared" ca="1" si="85"/>
        <v>2878.0487804878048</v>
      </c>
      <c r="F109" s="148">
        <f t="shared" ca="1" si="45"/>
        <v>127.83384725712816</v>
      </c>
      <c r="G109" s="148">
        <f t="shared" ca="1" si="46"/>
        <v>77.911362574129157</v>
      </c>
      <c r="H109" s="148">
        <f t="shared" ca="1" si="47"/>
        <v>37.397454035581994</v>
      </c>
      <c r="I109" s="148">
        <f t="shared" ca="1" si="48"/>
        <v>4.6746817544477492</v>
      </c>
      <c r="J109" s="148">
        <f t="shared" ca="1" si="49"/>
        <v>9.3493635088954985</v>
      </c>
      <c r="K109" s="148">
        <f t="shared" ca="1" si="50"/>
        <v>3116.4545029651663</v>
      </c>
      <c r="L109" s="32">
        <f t="shared" ca="1" si="51"/>
        <v>3052.6294452894103</v>
      </c>
      <c r="M109" s="148">
        <f t="shared" ca="1" si="52"/>
        <v>154.68363755186854</v>
      </c>
      <c r="N109" s="148">
        <f t="shared" ca="1" si="53"/>
        <v>94.275602496323984</v>
      </c>
      <c r="O109" s="148">
        <f t="shared" ca="1" si="54"/>
        <v>45.252289198235516</v>
      </c>
      <c r="P109" s="148">
        <f t="shared" ca="1" si="55"/>
        <v>5.6565361497794395</v>
      </c>
      <c r="Q109" s="148">
        <f t="shared" ca="1" si="56"/>
        <v>11.313072299558879</v>
      </c>
      <c r="R109" s="148">
        <f t="shared" ca="1" si="57"/>
        <v>604.58943880892571</v>
      </c>
      <c r="S109" s="148">
        <f t="shared" ca="1" si="58"/>
        <v>3771.0240998529594</v>
      </c>
      <c r="T109" s="28">
        <f t="shared" ca="1" si="59"/>
        <v>3693.8872183463936</v>
      </c>
      <c r="U109" s="148">
        <f t="shared" ca="1" si="60"/>
        <v>178.78926763647431</v>
      </c>
      <c r="V109" s="148">
        <f t="shared" ca="1" si="61"/>
        <v>131.85049235728192</v>
      </c>
      <c r="W109" s="148">
        <f t="shared" ca="1" si="62"/>
        <v>63.288236331495327</v>
      </c>
      <c r="X109" s="148">
        <f t="shared" ca="1" si="63"/>
        <v>7.9110295414369158</v>
      </c>
      <c r="Y109" s="148">
        <f t="shared" ca="1" si="64"/>
        <v>15.822059082873832</v>
      </c>
      <c r="Z109" s="148">
        <f t="shared" ca="1" si="65"/>
        <v>1147.0992835083528</v>
      </c>
      <c r="AA109" s="148">
        <f t="shared" ca="1" si="66"/>
        <v>4358.6939622241962</v>
      </c>
      <c r="AB109" s="24">
        <f t="shared" ca="1" si="67"/>
        <v>4283.0476270470008</v>
      </c>
      <c r="AC109" s="148">
        <f t="shared" ca="1" si="68"/>
        <v>211.75704560479622</v>
      </c>
      <c r="AD109" s="148">
        <f t="shared" ca="1" si="69"/>
        <v>156.16301298288806</v>
      </c>
      <c r="AE109" s="148">
        <f t="shared" ca="1" si="70"/>
        <v>74.958246231786262</v>
      </c>
      <c r="AF109" s="148">
        <f t="shared" ca="1" si="71"/>
        <v>9.3697807789732828</v>
      </c>
      <c r="AG109" s="148">
        <f t="shared" ca="1" si="72"/>
        <v>18.739561557946566</v>
      </c>
      <c r="AH109" s="148">
        <f t="shared" ca="1" si="73"/>
        <v>1889.5724570929456</v>
      </c>
      <c r="AI109" s="148">
        <f t="shared" ca="1" si="74"/>
        <v>5162.413652326878</v>
      </c>
      <c r="AJ109" s="20">
        <f t="shared" ca="1" si="75"/>
        <v>5073.0760909752789</v>
      </c>
      <c r="AK109" s="148">
        <f t="shared" ca="1" si="76"/>
        <v>247.49390314719628</v>
      </c>
      <c r="AL109" s="148">
        <f t="shared" ca="1" si="77"/>
        <v>182.51762768967276</v>
      </c>
      <c r="AM109" s="148">
        <f t="shared" ca="1" si="78"/>
        <v>87.608461291042929</v>
      </c>
      <c r="AN109" s="148">
        <f t="shared" ca="1" si="79"/>
        <v>10.951057661380366</v>
      </c>
      <c r="AO109" s="148">
        <f t="shared" ca="1" si="80"/>
        <v>21.902115322760732</v>
      </c>
      <c r="AP109" s="148">
        <f t="shared" ca="1" si="81"/>
        <v>2693.9601846995702</v>
      </c>
      <c r="AQ109" s="148">
        <f t="shared" ca="1" si="82"/>
        <v>6033.6405847825708</v>
      </c>
      <c r="AR109" s="17">
        <f t="shared" ca="1" si="83"/>
        <v>5929.0134449483749</v>
      </c>
      <c r="AS109" s="148">
        <f t="shared" ca="1" si="84"/>
        <v>2522.8342523052979</v>
      </c>
      <c r="AT109" s="48" t="str">
        <f>INDEX('stock fisico '!N:N, MATCH(B109, 'stock fisico '!B:B, 0))</f>
        <v>MAS CATEGORIAS</v>
      </c>
      <c r="AU109" s="46" t="str">
        <f>INDEX('stock fisico '!D:D, MATCH(B109, 'stock fisico '!B:B, 0))</f>
        <v>Pilas</v>
      </c>
      <c r="AV109" s="43" t="str">
        <f>INDEX('stock fisico '!L:L, MATCH(B109, 'stock fisico '!B:B, 0))</f>
        <v>Netmak</v>
      </c>
    </row>
    <row r="110" spans="1:48" x14ac:dyDescent="0.25">
      <c r="A110" s="48">
        <f>INDEX('stock fisico '!M:M, MATCH(B110, 'stock fisico '!B:B, 0))</f>
        <v>8765</v>
      </c>
      <c r="B110" s="47" t="s">
        <v>1492</v>
      </c>
      <c r="C110" s="46" t="str">
        <f>INDEX('stock fisico '!C:C, MATCH(B110, 'stock fisico '!B:B, 0))</f>
        <v>AURICULAR AVA-102N NEGRO AIWA  EAN:  7798111353421</v>
      </c>
      <c r="D110" s="44">
        <f>INDEX('stock fisico '!I:I, MATCH(B110, 'stock fisico '!B:B, 0))</f>
        <v>12099.72</v>
      </c>
      <c r="E110" s="6">
        <f t="shared" ca="1" si="85"/>
        <v>14755.756097560976</v>
      </c>
      <c r="F110" s="148">
        <f t="shared" ca="1" si="45"/>
        <v>655.4041348872961</v>
      </c>
      <c r="G110" s="148">
        <f t="shared" ca="1" si="46"/>
        <v>399.4515559175602</v>
      </c>
      <c r="H110" s="148">
        <f t="shared" ca="1" si="47"/>
        <v>191.73674684042891</v>
      </c>
      <c r="I110" s="148">
        <f t="shared" ca="1" si="48"/>
        <v>23.967093355053613</v>
      </c>
      <c r="J110" s="148">
        <f t="shared" ca="1" si="49"/>
        <v>47.934186710107227</v>
      </c>
      <c r="K110" s="148">
        <f t="shared" ca="1" si="50"/>
        <v>15978.062236702408</v>
      </c>
      <c r="L110" s="32">
        <f t="shared" ca="1" si="51"/>
        <v>15650.831165998809</v>
      </c>
      <c r="M110" s="148">
        <f t="shared" ca="1" si="52"/>
        <v>793.06300972842996</v>
      </c>
      <c r="N110" s="148">
        <f t="shared" ca="1" si="53"/>
        <v>483.35101399865312</v>
      </c>
      <c r="O110" s="148">
        <f t="shared" ca="1" si="54"/>
        <v>232.00848671935347</v>
      </c>
      <c r="P110" s="148">
        <f t="shared" ca="1" si="55"/>
        <v>29.001060839919184</v>
      </c>
      <c r="Q110" s="148">
        <f t="shared" ca="1" si="56"/>
        <v>58.002121679838368</v>
      </c>
      <c r="R110" s="148">
        <f t="shared" ca="1" si="57"/>
        <v>3099.7300527733619</v>
      </c>
      <c r="S110" s="148">
        <f t="shared" ca="1" si="58"/>
        <v>19334.040559946123</v>
      </c>
      <c r="T110" s="28">
        <f t="shared" ca="1" si="59"/>
        <v>18938.559768461961</v>
      </c>
      <c r="U110" s="148">
        <f t="shared" ca="1" si="60"/>
        <v>916.65257517220391</v>
      </c>
      <c r="V110" s="148">
        <f t="shared" ca="1" si="61"/>
        <v>675.99747431578453</v>
      </c>
      <c r="W110" s="148">
        <f t="shared" ca="1" si="62"/>
        <v>324.47878767157658</v>
      </c>
      <c r="X110" s="148">
        <f t="shared" ca="1" si="63"/>
        <v>40.559848458947073</v>
      </c>
      <c r="Y110" s="148">
        <f t="shared" ca="1" si="64"/>
        <v>81.119696917894146</v>
      </c>
      <c r="Z110" s="148">
        <f t="shared" ca="1" si="65"/>
        <v>5881.1780265473253</v>
      </c>
      <c r="AA110" s="148">
        <f t="shared" ca="1" si="66"/>
        <v>22347.023944323457</v>
      </c>
      <c r="AB110" s="24">
        <f t="shared" ca="1" si="67"/>
        <v>21959.185183869977</v>
      </c>
      <c r="AC110" s="148">
        <f t="shared" ca="1" si="68"/>
        <v>1085.6783728157902</v>
      </c>
      <c r="AD110" s="148">
        <f t="shared" ca="1" si="69"/>
        <v>800.64776756326705</v>
      </c>
      <c r="AE110" s="148">
        <f t="shared" ca="1" si="70"/>
        <v>384.31092843036822</v>
      </c>
      <c r="AF110" s="148">
        <f t="shared" ca="1" si="71"/>
        <v>48.038866053796028</v>
      </c>
      <c r="AG110" s="148">
        <f t="shared" ca="1" si="72"/>
        <v>96.077732107592055</v>
      </c>
      <c r="AH110" s="148">
        <f t="shared" ca="1" si="73"/>
        <v>9687.8379875155315</v>
      </c>
      <c r="AI110" s="148">
        <f t="shared" ca="1" si="74"/>
        <v>26467.694795479903</v>
      </c>
      <c r="AJ110" s="20">
        <f t="shared" ca="1" si="75"/>
        <v>26009.66111843026</v>
      </c>
      <c r="AK110" s="148">
        <f t="shared" ca="1" si="76"/>
        <v>1268.9012414356753</v>
      </c>
      <c r="AL110" s="148">
        <f t="shared" ca="1" si="77"/>
        <v>935.76787716495232</v>
      </c>
      <c r="AM110" s="148">
        <f t="shared" ca="1" si="78"/>
        <v>449.16858103917713</v>
      </c>
      <c r="AN110" s="148">
        <f t="shared" ca="1" si="79"/>
        <v>56.146072629897141</v>
      </c>
      <c r="AO110" s="148">
        <f t="shared" ca="1" si="80"/>
        <v>112.29214525979428</v>
      </c>
      <c r="AP110" s="148">
        <f t="shared" ca="1" si="81"/>
        <v>13811.933866954696</v>
      </c>
      <c r="AQ110" s="148">
        <f t="shared" ca="1" si="82"/>
        <v>30934.475278180242</v>
      </c>
      <c r="AR110" s="17">
        <f t="shared" ca="1" si="83"/>
        <v>30398.051932250317</v>
      </c>
      <c r="AS110" s="148">
        <f t="shared" ca="1" si="84"/>
        <v>12934.571211569264</v>
      </c>
      <c r="AT110" s="48" t="str">
        <f>INDEX('stock fisico '!N:N, MATCH(B110, 'stock fisico '!B:B, 0))</f>
        <v>TV-AUDIO-VIDEO</v>
      </c>
      <c r="AU110" s="46" t="str">
        <f>INDEX('stock fisico '!D:D, MATCH(B110, 'stock fisico '!B:B, 0))</f>
        <v>Auriculares</v>
      </c>
      <c r="AV110" s="43" t="str">
        <f>INDEX('stock fisico '!L:L, MATCH(B110, 'stock fisico '!B:B, 0))</f>
        <v>AIWA</v>
      </c>
    </row>
    <row r="111" spans="1:48" x14ac:dyDescent="0.25">
      <c r="A111" s="48">
        <f>INDEX('stock fisico '!M:M, MATCH(B111, 'stock fisico '!B:B, 0))</f>
        <v>9856</v>
      </c>
      <c r="B111" s="47" t="s">
        <v>1213</v>
      </c>
      <c r="C111" s="46" t="str">
        <f>INDEX('stock fisico '!C:C, MATCH(B111, 'stock fisico '!B:B, 0))</f>
        <v>PARLANTE NETMAK FLOW PORTABLE 10W NEGRO EAN 0700306602273</v>
      </c>
      <c r="D111" s="44">
        <f>INDEX('stock fisico '!I:I, MATCH(B111, 'stock fisico '!B:B, 0))</f>
        <v>13802.57</v>
      </c>
      <c r="E111" s="6">
        <f t="shared" ca="1" si="85"/>
        <v>16832.40243902439</v>
      </c>
      <c r="F111" s="148">
        <f t="shared" ca="1" si="45"/>
        <v>747.6422140406014</v>
      </c>
      <c r="G111" s="148">
        <f t="shared" ca="1" si="46"/>
        <v>455.66823547660925</v>
      </c>
      <c r="H111" s="148">
        <f t="shared" ca="1" si="47"/>
        <v>218.72075302877244</v>
      </c>
      <c r="I111" s="148">
        <f t="shared" ca="1" si="48"/>
        <v>27.340094128596554</v>
      </c>
      <c r="J111" s="148">
        <f t="shared" ca="1" si="49"/>
        <v>54.680188257193109</v>
      </c>
      <c r="K111" s="148">
        <f t="shared" ca="1" si="50"/>
        <v>18226.72941906437</v>
      </c>
      <c r="L111" s="32">
        <f t="shared" ca="1" si="51"/>
        <v>17853.445594350957</v>
      </c>
      <c r="M111" s="148">
        <f t="shared" ca="1" si="52"/>
        <v>904.67446405266708</v>
      </c>
      <c r="N111" s="148">
        <f t="shared" ca="1" si="53"/>
        <v>551.37525540156219</v>
      </c>
      <c r="O111" s="148">
        <f t="shared" ca="1" si="54"/>
        <v>264.66012259274981</v>
      </c>
      <c r="P111" s="148">
        <f t="shared" ca="1" si="55"/>
        <v>33.082515324093727</v>
      </c>
      <c r="Q111" s="148">
        <f t="shared" ca="1" si="56"/>
        <v>66.165030648187454</v>
      </c>
      <c r="R111" s="148">
        <f t="shared" ca="1" si="57"/>
        <v>3535.9695128902176</v>
      </c>
      <c r="S111" s="148">
        <f t="shared" ca="1" si="58"/>
        <v>22055.010216062485</v>
      </c>
      <c r="T111" s="28">
        <f t="shared" ca="1" si="59"/>
        <v>21603.871569208211</v>
      </c>
      <c r="U111" s="148">
        <f t="shared" ca="1" si="60"/>
        <v>1045.6573651699878</v>
      </c>
      <c r="V111" s="148">
        <f t="shared" ca="1" si="61"/>
        <v>771.13375012535971</v>
      </c>
      <c r="W111" s="148">
        <f t="shared" ca="1" si="62"/>
        <v>370.14420006017269</v>
      </c>
      <c r="X111" s="148">
        <f t="shared" ca="1" si="63"/>
        <v>46.268025007521587</v>
      </c>
      <c r="Y111" s="148">
        <f t="shared" ca="1" si="64"/>
        <v>92.536050015043173</v>
      </c>
      <c r="Z111" s="148">
        <f t="shared" ca="1" si="65"/>
        <v>6708.8636260906296</v>
      </c>
      <c r="AA111" s="148">
        <f t="shared" ca="1" si="66"/>
        <v>25492.024797532555</v>
      </c>
      <c r="AB111" s="24">
        <f t="shared" ca="1" si="67"/>
        <v>25049.603680360226</v>
      </c>
      <c r="AC111" s="148">
        <f t="shared" ca="1" si="68"/>
        <v>1238.4709512514373</v>
      </c>
      <c r="AD111" s="148">
        <f t="shared" ca="1" si="69"/>
        <v>913.32666021492423</v>
      </c>
      <c r="AE111" s="148">
        <f t="shared" ca="1" si="70"/>
        <v>438.39679690316365</v>
      </c>
      <c r="AF111" s="148">
        <f t="shared" ca="1" si="71"/>
        <v>54.799599612895456</v>
      </c>
      <c r="AG111" s="148">
        <f t="shared" ca="1" si="72"/>
        <v>109.59919922579091</v>
      </c>
      <c r="AH111" s="148">
        <f t="shared" ca="1" si="73"/>
        <v>11051.252588600584</v>
      </c>
      <c r="AI111" s="148">
        <f t="shared" ca="1" si="74"/>
        <v>30192.616866609067</v>
      </c>
      <c r="AJ111" s="20">
        <f t="shared" ca="1" si="75"/>
        <v>29670.121975005364</v>
      </c>
      <c r="AK111" s="148">
        <f t="shared" ca="1" si="76"/>
        <v>1447.4796282891512</v>
      </c>
      <c r="AL111" s="148">
        <f t="shared" ca="1" si="77"/>
        <v>1067.462852720613</v>
      </c>
      <c r="AM111" s="148">
        <f t="shared" ca="1" si="78"/>
        <v>512.38216930589419</v>
      </c>
      <c r="AN111" s="148">
        <f t="shared" ca="1" si="79"/>
        <v>64.047771163236774</v>
      </c>
      <c r="AO111" s="148">
        <f t="shared" ca="1" si="80"/>
        <v>128.09554232647355</v>
      </c>
      <c r="AP111" s="148">
        <f t="shared" ca="1" si="81"/>
        <v>15755.751706156248</v>
      </c>
      <c r="AQ111" s="148">
        <f t="shared" ca="1" si="82"/>
        <v>35288.028189111174</v>
      </c>
      <c r="AR111" s="17">
        <f t="shared" ca="1" si="83"/>
        <v>34676.111485102156</v>
      </c>
      <c r="AS111" s="148">
        <f t="shared" ca="1" si="84"/>
        <v>14754.913714339635</v>
      </c>
      <c r="AT111" s="48" t="str">
        <f>INDEX('stock fisico '!N:N, MATCH(B111, 'stock fisico '!B:B, 0))</f>
        <v>TV-AUDIO-VIDEO</v>
      </c>
      <c r="AU111" s="46" t="str">
        <f>INDEX('stock fisico '!D:D, MATCH(B111, 'stock fisico '!B:B, 0))</f>
        <v>Parlantes</v>
      </c>
      <c r="AV111" s="43" t="str">
        <f>INDEX('stock fisico '!L:L, MATCH(B111, 'stock fisico '!B:B, 0))</f>
        <v>Netmak</v>
      </c>
    </row>
    <row r="112" spans="1:48" x14ac:dyDescent="0.25">
      <c r="A112" s="48">
        <f>INDEX('stock fisico '!M:M, MATCH(B112, 'stock fisico '!B:B, 0))</f>
        <v>9936</v>
      </c>
      <c r="B112" s="47" t="s">
        <v>1450</v>
      </c>
      <c r="C112" s="46" t="str">
        <f>INDEX('stock fisico '!C:C, MATCH(B112, 'stock fisico '!B:B, 0))</f>
        <v xml:space="preserve">PAVA ELECTRICA AIWA AWK-PVD1700I DIGITAL EAN </v>
      </c>
      <c r="D112" s="44">
        <f>INDEX('stock fisico '!I:I, MATCH(B112, 'stock fisico '!B:B, 0))</f>
        <v>41405.93</v>
      </c>
      <c r="E112" s="6">
        <f t="shared" ca="1" si="85"/>
        <v>50495.036585365851</v>
      </c>
      <c r="F112" s="148">
        <f t="shared" ca="1" si="45"/>
        <v>2242.8302250675169</v>
      </c>
      <c r="G112" s="148">
        <f t="shared" ca="1" si="46"/>
        <v>1366.9459427750051</v>
      </c>
      <c r="H112" s="148">
        <f t="shared" ca="1" si="47"/>
        <v>656.13405253200233</v>
      </c>
      <c r="I112" s="148">
        <f t="shared" ca="1" si="48"/>
        <v>82.016756566500291</v>
      </c>
      <c r="J112" s="148">
        <f t="shared" ca="1" si="49"/>
        <v>164.03351313300058</v>
      </c>
      <c r="K112" s="148">
        <f t="shared" ca="1" si="50"/>
        <v>54677.837711000197</v>
      </c>
      <c r="L112" s="32">
        <f t="shared" ca="1" si="51"/>
        <v>53558.034376098374</v>
      </c>
      <c r="M112" s="148">
        <f t="shared" ca="1" si="52"/>
        <v>2713.9067239906949</v>
      </c>
      <c r="N112" s="148">
        <f t="shared" ca="1" si="53"/>
        <v>1654.0546600299222</v>
      </c>
      <c r="O112" s="148">
        <f t="shared" ca="1" si="54"/>
        <v>793.94623681436269</v>
      </c>
      <c r="P112" s="148">
        <f t="shared" ca="1" si="55"/>
        <v>99.243279601795336</v>
      </c>
      <c r="Q112" s="148">
        <f t="shared" ca="1" si="56"/>
        <v>198.48655920359067</v>
      </c>
      <c r="R112" s="148">
        <f t="shared" ca="1" si="57"/>
        <v>10607.45253477189</v>
      </c>
      <c r="S112" s="148">
        <f t="shared" ca="1" si="58"/>
        <v>66162.186401196886</v>
      </c>
      <c r="T112" s="28">
        <f t="shared" ca="1" si="59"/>
        <v>64808.828640146392</v>
      </c>
      <c r="U112" s="148">
        <f t="shared" ca="1" si="60"/>
        <v>3136.8372459775933</v>
      </c>
      <c r="V112" s="148">
        <f t="shared" ca="1" si="61"/>
        <v>2313.301803818284</v>
      </c>
      <c r="W112" s="148">
        <f t="shared" ca="1" si="62"/>
        <v>1110.3848658327763</v>
      </c>
      <c r="X112" s="148">
        <f t="shared" ca="1" si="63"/>
        <v>138.79810822909704</v>
      </c>
      <c r="Y112" s="148">
        <f t="shared" ca="1" si="64"/>
        <v>277.59621645819408</v>
      </c>
      <c r="Z112" s="148">
        <f t="shared" ca="1" si="65"/>
        <v>20125.725693219072</v>
      </c>
      <c r="AA112" s="148">
        <f t="shared" ca="1" si="66"/>
        <v>76472.786903083776</v>
      </c>
      <c r="AB112" s="24">
        <f t="shared" ca="1" si="67"/>
        <v>75145.580606853488</v>
      </c>
      <c r="AC112" s="148">
        <f t="shared" ca="1" si="68"/>
        <v>3715.2531386944911</v>
      </c>
      <c r="AD112" s="148">
        <f t="shared" ca="1" si="69"/>
        <v>2739.862196677353</v>
      </c>
      <c r="AE112" s="148">
        <f t="shared" ca="1" si="70"/>
        <v>1315.1338544051296</v>
      </c>
      <c r="AF112" s="148">
        <f t="shared" ca="1" si="71"/>
        <v>164.3917318006412</v>
      </c>
      <c r="AG112" s="148">
        <f t="shared" ca="1" si="72"/>
        <v>328.78346360128239</v>
      </c>
      <c r="AH112" s="148">
        <f t="shared" ca="1" si="73"/>
        <v>33152.332579795977</v>
      </c>
      <c r="AI112" s="148">
        <f t="shared" ca="1" si="74"/>
        <v>90573.956914953829</v>
      </c>
      <c r="AJ112" s="20">
        <f t="shared" ca="1" si="75"/>
        <v>89006.539621862728</v>
      </c>
      <c r="AK112" s="148">
        <f t="shared" ca="1" si="76"/>
        <v>4342.2522157371141</v>
      </c>
      <c r="AL112" s="148">
        <f t="shared" ca="1" si="77"/>
        <v>3202.2508965612933</v>
      </c>
      <c r="AM112" s="148">
        <f t="shared" ca="1" si="78"/>
        <v>1537.0804303494208</v>
      </c>
      <c r="AN112" s="148">
        <f t="shared" ca="1" si="79"/>
        <v>192.1350537936776</v>
      </c>
      <c r="AO112" s="148">
        <f t="shared" ca="1" si="80"/>
        <v>384.2701075873552</v>
      </c>
      <c r="AP112" s="148">
        <f t="shared" ca="1" si="81"/>
        <v>47265.223233244695</v>
      </c>
      <c r="AQ112" s="148">
        <f t="shared" ca="1" si="82"/>
        <v>105859.53377062127</v>
      </c>
      <c r="AR112" s="17">
        <f t="shared" ca="1" si="83"/>
        <v>104023.86257228444</v>
      </c>
      <c r="AS112" s="148">
        <f t="shared" ca="1" si="84"/>
        <v>44262.838327354031</v>
      </c>
      <c r="AT112" s="48" t="str">
        <f>INDEX('stock fisico '!N:N, MATCH(B112, 'stock fisico '!B:B, 0))</f>
        <v>ELECTRODOMESTICOS Y AIRES ACOND</v>
      </c>
      <c r="AU112" s="46" t="str">
        <f>INDEX('stock fisico '!D:D, MATCH(B112, 'stock fisico '!B:B, 0))</f>
        <v xml:space="preserve">Pequeños Electrodomesticos </v>
      </c>
      <c r="AV112" s="43" t="str">
        <f>INDEX('stock fisico '!L:L, MATCH(B112, 'stock fisico '!B:B, 0))</f>
        <v>AIWA</v>
      </c>
    </row>
    <row r="113" spans="1:48" x14ac:dyDescent="0.25">
      <c r="A113" s="48">
        <f>INDEX('stock fisico '!M:M, MATCH(B113, 'stock fisico '!B:B, 0))</f>
        <v>9099</v>
      </c>
      <c r="B113" s="47" t="s">
        <v>251</v>
      </c>
      <c r="C113" s="46" t="str">
        <f>INDEX('stock fisico '!C:C, MATCH(B113, 'stock fisico '!B:B, 0))</f>
        <v>VENTILADOR DE PIE GIRATORIO 14" STPG14  STAR-TRAK EAN:  7798185860979</v>
      </c>
      <c r="D113" s="44">
        <f>INDEX('stock fisico '!I:I, MATCH(B113, 'stock fisico '!B:B, 0))</f>
        <v>26918.52</v>
      </c>
      <c r="E113" s="6">
        <f t="shared" ca="1" si="85"/>
        <v>32827.463414634149</v>
      </c>
      <c r="F113" s="148">
        <f t="shared" ca="1" si="45"/>
        <v>1458.092361893199</v>
      </c>
      <c r="G113" s="148">
        <f t="shared" ca="1" si="46"/>
        <v>888.66888630463882</v>
      </c>
      <c r="H113" s="148">
        <f t="shared" ca="1" si="47"/>
        <v>426.56106542622661</v>
      </c>
      <c r="I113" s="148">
        <f t="shared" ca="1" si="48"/>
        <v>53.320133178278326</v>
      </c>
      <c r="J113" s="148">
        <f t="shared" ca="1" si="49"/>
        <v>106.64026635655665</v>
      </c>
      <c r="K113" s="148">
        <f t="shared" ca="1" si="50"/>
        <v>35546.755452185549</v>
      </c>
      <c r="L113" s="32">
        <f t="shared" ca="1" si="51"/>
        <v>34818.757108310128</v>
      </c>
      <c r="M113" s="148">
        <f t="shared" ca="1" si="52"/>
        <v>1764.345165725731</v>
      </c>
      <c r="N113" s="148">
        <f t="shared" ca="1" si="53"/>
        <v>1075.3219030971811</v>
      </c>
      <c r="O113" s="148">
        <f t="shared" ca="1" si="54"/>
        <v>516.15451348664692</v>
      </c>
      <c r="P113" s="148">
        <f t="shared" ca="1" si="55"/>
        <v>64.519314185830865</v>
      </c>
      <c r="Q113" s="148">
        <f t="shared" ca="1" si="56"/>
        <v>129.03862837166173</v>
      </c>
      <c r="R113" s="148">
        <f t="shared" ca="1" si="57"/>
        <v>6896.0393645622225</v>
      </c>
      <c r="S113" s="148">
        <f t="shared" ca="1" si="58"/>
        <v>43012.876123887247</v>
      </c>
      <c r="T113" s="28">
        <f t="shared" ca="1" si="59"/>
        <v>42133.041086780409</v>
      </c>
      <c r="U113" s="148">
        <f t="shared" ca="1" si="60"/>
        <v>2039.2976596007572</v>
      </c>
      <c r="V113" s="148">
        <f t="shared" ca="1" si="61"/>
        <v>1503.9068286141276</v>
      </c>
      <c r="W113" s="148">
        <f t="shared" ca="1" si="62"/>
        <v>721.87527773478132</v>
      </c>
      <c r="X113" s="148">
        <f t="shared" ca="1" si="63"/>
        <v>90.234409716847665</v>
      </c>
      <c r="Y113" s="148">
        <f t="shared" ca="1" si="64"/>
        <v>180.46881943369533</v>
      </c>
      <c r="Z113" s="148">
        <f t="shared" ca="1" si="65"/>
        <v>13083.989408942911</v>
      </c>
      <c r="AA113" s="148">
        <f t="shared" ca="1" si="66"/>
        <v>49715.928218648849</v>
      </c>
      <c r="AB113" s="24">
        <f t="shared" ca="1" si="67"/>
        <v>48853.094580346296</v>
      </c>
      <c r="AC113" s="148">
        <f t="shared" ca="1" si="68"/>
        <v>2415.3331640905167</v>
      </c>
      <c r="AD113" s="148">
        <f t="shared" ca="1" si="69"/>
        <v>1781.2191475593779</v>
      </c>
      <c r="AE113" s="148">
        <f t="shared" ca="1" si="70"/>
        <v>854.98519082850146</v>
      </c>
      <c r="AF113" s="148">
        <f t="shared" ca="1" si="71"/>
        <v>106.87314885356268</v>
      </c>
      <c r="AG113" s="148">
        <f t="shared" ca="1" si="72"/>
        <v>213.74629770712536</v>
      </c>
      <c r="AH113" s="148">
        <f t="shared" ca="1" si="73"/>
        <v>21552.751685468473</v>
      </c>
      <c r="AI113" s="148">
        <f t="shared" ca="1" si="74"/>
        <v>58883.277605268697</v>
      </c>
      <c r="AJ113" s="20">
        <f t="shared" ca="1" si="75"/>
        <v>57864.279752728762</v>
      </c>
      <c r="AK113" s="148">
        <f t="shared" ca="1" si="76"/>
        <v>2822.9532126041809</v>
      </c>
      <c r="AL113" s="148">
        <f t="shared" ca="1" si="77"/>
        <v>2081.8239031004287</v>
      </c>
      <c r="AM113" s="148">
        <f t="shared" ca="1" si="78"/>
        <v>999.27547348820565</v>
      </c>
      <c r="AN113" s="148">
        <f t="shared" ca="1" si="79"/>
        <v>124.90943418602571</v>
      </c>
      <c r="AO113" s="148">
        <f t="shared" ca="1" si="80"/>
        <v>249.81886837205141</v>
      </c>
      <c r="AP113" s="148">
        <f t="shared" ca="1" si="81"/>
        <v>30727.720809762326</v>
      </c>
      <c r="AQ113" s="148">
        <f t="shared" ca="1" si="82"/>
        <v>68820.624895881934</v>
      </c>
      <c r="AR113" s="17">
        <f t="shared" ca="1" si="83"/>
        <v>67627.231778860907</v>
      </c>
      <c r="AS113" s="148">
        <f t="shared" ca="1" si="84"/>
        <v>28775.832320917463</v>
      </c>
      <c r="AT113" s="48" t="str">
        <f>INDEX('stock fisico '!N:N, MATCH(B113, 'stock fisico '!B:B, 0))</f>
        <v>ELECTRODOMESTICOS Y AIRES ACOND</v>
      </c>
      <c r="AU113" s="46" t="str">
        <f>INDEX('stock fisico '!D:D, MATCH(B113, 'stock fisico '!B:B, 0))</f>
        <v>Ventiladores</v>
      </c>
      <c r="AV113" s="43" t="str">
        <f>INDEX('stock fisico '!L:L, MATCH(B113, 'stock fisico '!B:B, 0))</f>
        <v>Star-trak</v>
      </c>
    </row>
    <row r="114" spans="1:48" x14ac:dyDescent="0.25">
      <c r="A114" s="48">
        <f>INDEX('stock fisico '!M:M, MATCH(B114, 'stock fisico '!B:B, 0))</f>
        <v>7118</v>
      </c>
      <c r="B114" s="47" t="s">
        <v>333</v>
      </c>
      <c r="C114" s="46" t="str">
        <f>INDEX('stock fisico '!C:C, MATCH(B114, 'stock fisico '!B:B, 0))</f>
        <v>CABLE MINI PLUG 3.5 M/M A 2 RCA 1.8 METROS TL-MP2RCA18  T-LINE</v>
      </c>
      <c r="D114" s="44">
        <f>INDEX('stock fisico '!I:I, MATCH(B114, 'stock fisico '!B:B, 0))</f>
        <v>3250</v>
      </c>
      <c r="E114" s="6">
        <f t="shared" ca="1" si="85"/>
        <v>3963.4146341463415</v>
      </c>
      <c r="F114" s="148">
        <f t="shared" ca="1" si="45"/>
        <v>176.04237440070617</v>
      </c>
      <c r="G114" s="148">
        <f t="shared" ca="1" si="46"/>
        <v>107.29318998555924</v>
      </c>
      <c r="H114" s="148">
        <f t="shared" ca="1" si="47"/>
        <v>51.500731193068432</v>
      </c>
      <c r="I114" s="148">
        <f t="shared" ca="1" si="48"/>
        <v>6.437591399133554</v>
      </c>
      <c r="J114" s="148">
        <f t="shared" ca="1" si="49"/>
        <v>12.875182798267108</v>
      </c>
      <c r="K114" s="148">
        <f t="shared" ca="1" si="50"/>
        <v>4291.7275994223692</v>
      </c>
      <c r="L114" s="32">
        <f t="shared" ca="1" si="51"/>
        <v>4203.8329225383832</v>
      </c>
      <c r="M114" s="148">
        <f t="shared" ca="1" si="52"/>
        <v>213.01772120490372</v>
      </c>
      <c r="N114" s="148">
        <f t="shared" ca="1" si="53"/>
        <v>129.82868987841229</v>
      </c>
      <c r="O114" s="148">
        <f t="shared" ca="1" si="54"/>
        <v>62.317771141637891</v>
      </c>
      <c r="P114" s="148">
        <f t="shared" ca="1" si="55"/>
        <v>7.7897213927047364</v>
      </c>
      <c r="Q114" s="148">
        <f t="shared" ca="1" si="56"/>
        <v>15.579442785409473</v>
      </c>
      <c r="R114" s="148">
        <f t="shared" ca="1" si="57"/>
        <v>832.59138819025793</v>
      </c>
      <c r="S114" s="148">
        <f t="shared" ca="1" si="58"/>
        <v>5193.147595136491</v>
      </c>
      <c r="T114" s="28">
        <f t="shared" ca="1" si="59"/>
        <v>5086.9209574685501</v>
      </c>
      <c r="U114" s="148">
        <f t="shared" ca="1" si="60"/>
        <v>246.21403382141591</v>
      </c>
      <c r="V114" s="148">
        <f t="shared" ca="1" si="61"/>
        <v>181.5737712547315</v>
      </c>
      <c r="W114" s="148">
        <f t="shared" ca="1" si="62"/>
        <v>87.155410202271113</v>
      </c>
      <c r="X114" s="148">
        <f t="shared" ca="1" si="63"/>
        <v>10.894426275283889</v>
      </c>
      <c r="Y114" s="148">
        <f t="shared" ca="1" si="64"/>
        <v>21.788852550567778</v>
      </c>
      <c r="Z114" s="148">
        <f t="shared" ca="1" si="65"/>
        <v>1579.6918099161639</v>
      </c>
      <c r="AA114" s="148">
        <f t="shared" ca="1" si="66"/>
        <v>6002.4387191646774</v>
      </c>
      <c r="AB114" s="24">
        <f t="shared" ca="1" si="67"/>
        <v>5898.2647406367605</v>
      </c>
      <c r="AC114" s="148">
        <f t="shared" ca="1" si="68"/>
        <v>291.61457551507954</v>
      </c>
      <c r="AD114" s="148">
        <f t="shared" ca="1" si="69"/>
        <v>215.05499669253652</v>
      </c>
      <c r="AE114" s="148">
        <f t="shared" ca="1" si="70"/>
        <v>103.22639841241754</v>
      </c>
      <c r="AF114" s="148">
        <f t="shared" ca="1" si="71"/>
        <v>12.903299801552192</v>
      </c>
      <c r="AG114" s="148">
        <f t="shared" ca="1" si="72"/>
        <v>25.806599603104384</v>
      </c>
      <c r="AH114" s="148">
        <f t="shared" ca="1" si="73"/>
        <v>2602.1654599796921</v>
      </c>
      <c r="AI114" s="148">
        <f t="shared" ca="1" si="74"/>
        <v>7109.2560890094719</v>
      </c>
      <c r="AJ114" s="20">
        <f t="shared" ca="1" si="75"/>
        <v>6986.2276676566344</v>
      </c>
      <c r="AK114" s="148">
        <f t="shared" ca="1" si="76"/>
        <v>340.8284683171135</v>
      </c>
      <c r="AL114" s="148">
        <f t="shared" ca="1" si="77"/>
        <v>251.3484279624731</v>
      </c>
      <c r="AM114" s="148">
        <f t="shared" ca="1" si="78"/>
        <v>120.64724542198709</v>
      </c>
      <c r="AN114" s="148">
        <f t="shared" ca="1" si="79"/>
        <v>15.080905677748387</v>
      </c>
      <c r="AO114" s="148">
        <f t="shared" ca="1" si="80"/>
        <v>30.161811355496774</v>
      </c>
      <c r="AP114" s="148">
        <f t="shared" ca="1" si="81"/>
        <v>3709.9027967261031</v>
      </c>
      <c r="AQ114" s="148">
        <f t="shared" ca="1" si="82"/>
        <v>8309.0389409082018</v>
      </c>
      <c r="AR114" s="17">
        <f t="shared" ca="1" si="83"/>
        <v>8164.9549559670413</v>
      </c>
      <c r="AS114" s="148">
        <f t="shared" ca="1" si="84"/>
        <v>3474.2420847424655</v>
      </c>
      <c r="AT114" s="48" t="str">
        <f>INDEX('stock fisico '!N:N, MATCH(B114, 'stock fisico '!B:B, 0))</f>
        <v>MAS CATEGORIAS</v>
      </c>
      <c r="AU114" s="46" t="str">
        <f>INDEX('stock fisico '!D:D, MATCH(B114, 'stock fisico '!B:B, 0))</f>
        <v>Cables</v>
      </c>
      <c r="AV114" s="43" t="str">
        <f>INDEX('stock fisico '!L:L, MATCH(B114, 'stock fisico '!B:B, 0))</f>
        <v>Tline</v>
      </c>
    </row>
    <row r="115" spans="1:48" x14ac:dyDescent="0.25">
      <c r="A115" s="48">
        <f>INDEX('stock fisico '!M:M, MATCH(B115, 'stock fisico '!B:B, 0))</f>
        <v>9873</v>
      </c>
      <c r="B115" s="47" t="s">
        <v>1245</v>
      </c>
      <c r="C115" s="46" t="str">
        <f>INDEX('stock fisico '!C:C, MATCH(B115, 'stock fisico '!B:B, 0))</f>
        <v>HORNO ELECTRICO BGH BHE55M23N 55L PNH048329</v>
      </c>
      <c r="D115" s="44">
        <f>INDEX('stock fisico '!I:I, MATCH(B115, 'stock fisico '!B:B, 0))</f>
        <v>30927.5</v>
      </c>
      <c r="E115" s="6">
        <f t="shared" ca="1" si="85"/>
        <v>37716.463414634149</v>
      </c>
      <c r="F115" s="148">
        <f t="shared" ca="1" si="45"/>
        <v>1675.2463182393351</v>
      </c>
      <c r="G115" s="148">
        <f t="shared" ca="1" si="46"/>
        <v>1021.0185025471947</v>
      </c>
      <c r="H115" s="148">
        <f t="shared" ca="1" si="47"/>
        <v>490.08888122265347</v>
      </c>
      <c r="I115" s="148">
        <f t="shared" ca="1" si="48"/>
        <v>61.261110152831684</v>
      </c>
      <c r="J115" s="148">
        <f t="shared" ca="1" si="49"/>
        <v>122.52222030566337</v>
      </c>
      <c r="K115" s="148">
        <f t="shared" ca="1" si="50"/>
        <v>40840.740101887786</v>
      </c>
      <c r="L115" s="32">
        <f t="shared" ca="1" si="51"/>
        <v>40004.320834401798</v>
      </c>
      <c r="M115" s="148">
        <f t="shared" ca="1" si="52"/>
        <v>2027.1094069429723</v>
      </c>
      <c r="N115" s="148">
        <f t="shared" ca="1" si="53"/>
        <v>1235.469786527568</v>
      </c>
      <c r="O115" s="148">
        <f t="shared" ca="1" si="54"/>
        <v>593.02549753323262</v>
      </c>
      <c r="P115" s="148">
        <f t="shared" ca="1" si="55"/>
        <v>74.128187191654078</v>
      </c>
      <c r="Q115" s="148">
        <f t="shared" ca="1" si="56"/>
        <v>148.25637438330816</v>
      </c>
      <c r="R115" s="148">
        <f t="shared" ca="1" si="57"/>
        <v>7923.0677410012922</v>
      </c>
      <c r="S115" s="148">
        <f t="shared" ca="1" si="58"/>
        <v>49418.791461102715</v>
      </c>
      <c r="T115" s="28">
        <f t="shared" ca="1" si="59"/>
        <v>48407.922434494954</v>
      </c>
      <c r="U115" s="148">
        <f t="shared" ca="1" si="60"/>
        <v>2343.0106249267201</v>
      </c>
      <c r="V115" s="148">
        <f t="shared" ca="1" si="61"/>
        <v>1727.8839416863718</v>
      </c>
      <c r="W115" s="148">
        <f t="shared" ca="1" si="62"/>
        <v>829.38429200945848</v>
      </c>
      <c r="X115" s="148">
        <f t="shared" ca="1" si="63"/>
        <v>103.67303650118231</v>
      </c>
      <c r="Y115" s="148">
        <f t="shared" ca="1" si="64"/>
        <v>207.34607300236462</v>
      </c>
      <c r="Z115" s="148">
        <f t="shared" ca="1" si="65"/>
        <v>15032.590292671433</v>
      </c>
      <c r="AA115" s="148">
        <f t="shared" ca="1" si="66"/>
        <v>57120.130303681712</v>
      </c>
      <c r="AB115" s="24">
        <f t="shared" ca="1" si="67"/>
        <v>56128.794697244128</v>
      </c>
      <c r="AC115" s="148">
        <f t="shared" ca="1" si="68"/>
        <v>2775.0491643823457</v>
      </c>
      <c r="AD115" s="148">
        <f t="shared" ca="1" si="69"/>
        <v>2046.4964339102844</v>
      </c>
      <c r="AE115" s="148">
        <f t="shared" ca="1" si="70"/>
        <v>982.31828827693653</v>
      </c>
      <c r="AF115" s="148">
        <f t="shared" ca="1" si="71"/>
        <v>122.78978603461707</v>
      </c>
      <c r="AG115" s="148">
        <f t="shared" ca="1" si="72"/>
        <v>245.57957206923413</v>
      </c>
      <c r="AH115" s="148">
        <f t="shared" ca="1" si="73"/>
        <v>24762.606850314442</v>
      </c>
      <c r="AI115" s="148">
        <f t="shared" ca="1" si="74"/>
        <v>67652.774674720145</v>
      </c>
      <c r="AJ115" s="20">
        <f t="shared" ca="1" si="75"/>
        <v>66482.017289677111</v>
      </c>
      <c r="AK115" s="148">
        <f t="shared" ca="1" si="76"/>
        <v>3243.3761396546242</v>
      </c>
      <c r="AL115" s="148">
        <f t="shared" ca="1" si="77"/>
        <v>2391.8703094798111</v>
      </c>
      <c r="AM115" s="148">
        <f t="shared" ca="1" si="78"/>
        <v>1148.0977485503095</v>
      </c>
      <c r="AN115" s="148">
        <f t="shared" ca="1" si="79"/>
        <v>143.51221856878868</v>
      </c>
      <c r="AO115" s="148">
        <f t="shared" ca="1" si="80"/>
        <v>287.02443713757737</v>
      </c>
      <c r="AP115" s="148">
        <f t="shared" ca="1" si="81"/>
        <v>35304.005767922012</v>
      </c>
      <c r="AQ115" s="148">
        <f t="shared" ca="1" si="82"/>
        <v>79070.092875365663</v>
      </c>
      <c r="AR115" s="17">
        <f t="shared" ca="1" si="83"/>
        <v>77698.967507898662</v>
      </c>
      <c r="AS115" s="148">
        <f t="shared" ca="1" si="84"/>
        <v>33061.422177191569</v>
      </c>
      <c r="AT115" s="48" t="str">
        <f>INDEX('stock fisico '!N:N, MATCH(B115, 'stock fisico '!B:B, 0))</f>
        <v>ELECTRODOMESTICOS Y AIRES ACOND</v>
      </c>
      <c r="AU115" s="46" t="str">
        <f>INDEX('stock fisico '!D:D, MATCH(B115, 'stock fisico '!B:B, 0))</f>
        <v>Horno</v>
      </c>
      <c r="AV115" s="43" t="str">
        <f>INDEX('stock fisico '!L:L, MATCH(B115, 'stock fisico '!B:B, 0))</f>
        <v>Bgh</v>
      </c>
    </row>
    <row r="116" spans="1:48" x14ac:dyDescent="0.25">
      <c r="A116" s="48">
        <f>INDEX('stock fisico '!M:M, MATCH(B116, 'stock fisico '!B:B, 0))</f>
        <v>3142</v>
      </c>
      <c r="B116" s="47" t="s">
        <v>341</v>
      </c>
      <c r="C116" s="46" t="str">
        <f>INDEX('stock fisico '!C:C, MATCH(B116, 'stock fisico '!B:B, 0))</f>
        <v>AURICULAR IN EAR FULL LED NG-1783 NOGANET  EAN: 7798137711601</v>
      </c>
      <c r="D116" s="44">
        <f>INDEX('stock fisico '!I:I, MATCH(B116, 'stock fisico '!B:B, 0))</f>
        <v>6045</v>
      </c>
      <c r="E116" s="6">
        <f t="shared" ca="1" si="85"/>
        <v>7371.9512195121952</v>
      </c>
      <c r="F116" s="148">
        <f t="shared" ca="1" si="45"/>
        <v>327.43881638531343</v>
      </c>
      <c r="G116" s="148">
        <f t="shared" ca="1" si="46"/>
        <v>199.56533337314016</v>
      </c>
      <c r="H116" s="148">
        <f t="shared" ca="1" si="47"/>
        <v>95.791360019107273</v>
      </c>
      <c r="I116" s="148">
        <f t="shared" ca="1" si="48"/>
        <v>11.973920002388409</v>
      </c>
      <c r="J116" s="148">
        <f t="shared" ca="1" si="49"/>
        <v>23.947840004776818</v>
      </c>
      <c r="K116" s="148">
        <f t="shared" ca="1" si="50"/>
        <v>7982.6133349256061</v>
      </c>
      <c r="L116" s="32">
        <f t="shared" ca="1" si="51"/>
        <v>7819.129235921393</v>
      </c>
      <c r="M116" s="148">
        <f t="shared" ca="1" si="52"/>
        <v>396.21296144112091</v>
      </c>
      <c r="N116" s="148">
        <f t="shared" ca="1" si="53"/>
        <v>241.48136317384683</v>
      </c>
      <c r="O116" s="148">
        <f t="shared" ca="1" si="54"/>
        <v>115.91105432344648</v>
      </c>
      <c r="P116" s="148">
        <f t="shared" ca="1" si="55"/>
        <v>14.48888179043081</v>
      </c>
      <c r="Q116" s="148">
        <f t="shared" ca="1" si="56"/>
        <v>28.97776358086162</v>
      </c>
      <c r="R116" s="148">
        <f t="shared" ca="1" si="57"/>
        <v>1548.6199820338798</v>
      </c>
      <c r="S116" s="148">
        <f t="shared" ca="1" si="58"/>
        <v>9659.2545269538732</v>
      </c>
      <c r="T116" s="28">
        <f t="shared" ca="1" si="59"/>
        <v>9461.6729808915043</v>
      </c>
      <c r="U116" s="148">
        <f t="shared" ca="1" si="60"/>
        <v>457.95810290783356</v>
      </c>
      <c r="V116" s="148">
        <f t="shared" ca="1" si="61"/>
        <v>337.72721453380058</v>
      </c>
      <c r="W116" s="148">
        <f t="shared" ca="1" si="62"/>
        <v>162.10906297622427</v>
      </c>
      <c r="X116" s="148">
        <f t="shared" ca="1" si="63"/>
        <v>20.263632872028033</v>
      </c>
      <c r="Y116" s="148">
        <f t="shared" ca="1" si="64"/>
        <v>40.527265744056066</v>
      </c>
      <c r="Z116" s="148">
        <f t="shared" ca="1" si="65"/>
        <v>2938.2267664440651</v>
      </c>
      <c r="AA116" s="148">
        <f t="shared" ca="1" si="66"/>
        <v>11164.5360176463</v>
      </c>
      <c r="AB116" s="24">
        <f t="shared" ca="1" si="67"/>
        <v>10970.772417584374</v>
      </c>
      <c r="AC116" s="148">
        <f t="shared" ca="1" si="68"/>
        <v>542.40311045804788</v>
      </c>
      <c r="AD116" s="148">
        <f t="shared" ca="1" si="69"/>
        <v>400.00229384811792</v>
      </c>
      <c r="AE116" s="148">
        <f t="shared" ca="1" si="70"/>
        <v>192.0011010470966</v>
      </c>
      <c r="AF116" s="148">
        <f t="shared" ca="1" si="71"/>
        <v>24.000137630887075</v>
      </c>
      <c r="AG116" s="148">
        <f t="shared" ca="1" si="72"/>
        <v>48.000275261774149</v>
      </c>
      <c r="AH116" s="148">
        <f t="shared" ca="1" si="73"/>
        <v>4840.027755562227</v>
      </c>
      <c r="AI116" s="148">
        <f t="shared" ca="1" si="74"/>
        <v>13223.216325557618</v>
      </c>
      <c r="AJ116" s="20">
        <f t="shared" ca="1" si="75"/>
        <v>12994.383461841342</v>
      </c>
      <c r="AK116" s="148">
        <f t="shared" ca="1" si="76"/>
        <v>633.94095106983116</v>
      </c>
      <c r="AL116" s="148">
        <f t="shared" ca="1" si="77"/>
        <v>467.5080760102</v>
      </c>
      <c r="AM116" s="148">
        <f t="shared" ca="1" si="78"/>
        <v>224.40387648489599</v>
      </c>
      <c r="AN116" s="148">
        <f t="shared" ca="1" si="79"/>
        <v>28.050484560611999</v>
      </c>
      <c r="AO116" s="148">
        <f t="shared" ca="1" si="80"/>
        <v>56.100969121223997</v>
      </c>
      <c r="AP116" s="148">
        <f t="shared" ca="1" si="81"/>
        <v>6900.4192019105521</v>
      </c>
      <c r="AQ116" s="148">
        <f t="shared" ca="1" si="82"/>
        <v>15454.812430089256</v>
      </c>
      <c r="AR116" s="17">
        <f t="shared" ca="1" si="83"/>
        <v>15186.816218098698</v>
      </c>
      <c r="AS116" s="148">
        <f t="shared" ca="1" si="84"/>
        <v>6462.0902776209859</v>
      </c>
      <c r="AT116" s="48" t="str">
        <f>INDEX('stock fisico '!N:N, MATCH(B116, 'stock fisico '!B:B, 0))</f>
        <v>TV-AUDIO-VIDEO</v>
      </c>
      <c r="AU116" s="46" t="str">
        <f>INDEX('stock fisico '!D:D, MATCH(B116, 'stock fisico '!B:B, 0))</f>
        <v>Auriculares</v>
      </c>
      <c r="AV116" s="43" t="str">
        <f>INDEX('stock fisico '!L:L, MATCH(B116, 'stock fisico '!B:B, 0))</f>
        <v>Noganet</v>
      </c>
    </row>
    <row r="117" spans="1:48" x14ac:dyDescent="0.25">
      <c r="A117" s="48">
        <f>INDEX('stock fisico '!M:M, MATCH(B117, 'stock fisico '!B:B, 0))</f>
        <v>9796</v>
      </c>
      <c r="B117" s="47" t="s">
        <v>1244</v>
      </c>
      <c r="C117" s="46" t="str">
        <f>INDEX('stock fisico '!C:C, MATCH(B117, 'stock fisico '!B:B, 0))</f>
        <v>HORNO ELECTRICO BGH BHE17M20N 16L PNH048320 EAN: 7796885483207</v>
      </c>
      <c r="D117" s="44">
        <f>INDEX('stock fisico '!I:I, MATCH(B117, 'stock fisico '!B:B, 0))</f>
        <v>28631</v>
      </c>
      <c r="E117" s="6">
        <f t="shared" ca="1" si="85"/>
        <v>34915.853658536587</v>
      </c>
      <c r="F117" s="148">
        <f t="shared" ca="1" si="45"/>
        <v>1550.8520681435746</v>
      </c>
      <c r="G117" s="148">
        <f t="shared" ca="1" si="46"/>
        <v>945.20348383893725</v>
      </c>
      <c r="H117" s="148">
        <f t="shared" ca="1" si="47"/>
        <v>453.69767224268986</v>
      </c>
      <c r="I117" s="148">
        <f t="shared" ca="1" si="48"/>
        <v>56.712209030336233</v>
      </c>
      <c r="J117" s="148">
        <f t="shared" ca="1" si="49"/>
        <v>113.42441806067247</v>
      </c>
      <c r="K117" s="148">
        <f t="shared" ca="1" si="50"/>
        <v>37808.13935355749</v>
      </c>
      <c r="L117" s="32">
        <f t="shared" ca="1" si="51"/>
        <v>37033.827816983525</v>
      </c>
      <c r="M117" s="148">
        <f t="shared" ca="1" si="52"/>
        <v>1876.5878079438767</v>
      </c>
      <c r="N117" s="148">
        <f t="shared" ca="1" si="53"/>
        <v>1143.7308368950223</v>
      </c>
      <c r="O117" s="148">
        <f t="shared" ca="1" si="54"/>
        <v>548.99080170961065</v>
      </c>
      <c r="P117" s="148">
        <f t="shared" ca="1" si="55"/>
        <v>68.623850213701331</v>
      </c>
      <c r="Q117" s="148">
        <f t="shared" ca="1" si="56"/>
        <v>137.24770042740266</v>
      </c>
      <c r="R117" s="148">
        <f t="shared" ca="1" si="57"/>
        <v>7334.745857007777</v>
      </c>
      <c r="S117" s="148">
        <f t="shared" ca="1" si="58"/>
        <v>45749.233475800887</v>
      </c>
      <c r="T117" s="28">
        <f t="shared" ca="1" si="59"/>
        <v>44813.425825625251</v>
      </c>
      <c r="U117" s="148">
        <f t="shared" ca="1" si="60"/>
        <v>2169.0320007202949</v>
      </c>
      <c r="V117" s="148">
        <f t="shared" ca="1" si="61"/>
        <v>1599.5811214751438</v>
      </c>
      <c r="W117" s="148">
        <f t="shared" ca="1" si="62"/>
        <v>767.79893830806907</v>
      </c>
      <c r="X117" s="148">
        <f t="shared" ca="1" si="63"/>
        <v>95.974867288508634</v>
      </c>
      <c r="Y117" s="148">
        <f t="shared" ca="1" si="64"/>
        <v>191.94973457701727</v>
      </c>
      <c r="Z117" s="148">
        <f t="shared" ca="1" si="65"/>
        <v>13916.355756833751</v>
      </c>
      <c r="AA117" s="148">
        <f t="shared" ca="1" si="66"/>
        <v>52878.71475950889</v>
      </c>
      <c r="AB117" s="24">
        <f t="shared" ca="1" si="67"/>
        <v>51960.990088975719</v>
      </c>
      <c r="AC117" s="148">
        <f t="shared" ca="1" si="68"/>
        <v>2568.9898189453052</v>
      </c>
      <c r="AD117" s="148">
        <f t="shared" ca="1" si="69"/>
        <v>1894.5352647089271</v>
      </c>
      <c r="AE117" s="148">
        <f t="shared" ca="1" si="70"/>
        <v>909.37692706028508</v>
      </c>
      <c r="AF117" s="148">
        <f t="shared" ca="1" si="71"/>
        <v>113.67211588253564</v>
      </c>
      <c r="AG117" s="148">
        <f t="shared" ca="1" si="72"/>
        <v>227.34423176507127</v>
      </c>
      <c r="AH117" s="148">
        <f t="shared" ca="1" si="73"/>
        <v>22923.876702978017</v>
      </c>
      <c r="AI117" s="148">
        <f t="shared" ca="1" si="74"/>
        <v>62629.264949055447</v>
      </c>
      <c r="AJ117" s="20">
        <f t="shared" ca="1" si="75"/>
        <v>61545.441339285266</v>
      </c>
      <c r="AK117" s="148">
        <f t="shared" ca="1" si="76"/>
        <v>3002.5415004268548</v>
      </c>
      <c r="AL117" s="148">
        <f t="shared" ca="1" si="77"/>
        <v>2214.263643382636</v>
      </c>
      <c r="AM117" s="148">
        <f t="shared" ca="1" si="78"/>
        <v>1062.8465488236654</v>
      </c>
      <c r="AN117" s="148">
        <f t="shared" ca="1" si="79"/>
        <v>132.85581860295818</v>
      </c>
      <c r="AO117" s="148">
        <f t="shared" ca="1" si="80"/>
        <v>265.71163720591636</v>
      </c>
      <c r="AP117" s="148">
        <f t="shared" ca="1" si="81"/>
        <v>32682.531376327712</v>
      </c>
      <c r="AQ117" s="148">
        <f t="shared" ca="1" si="82"/>
        <v>73198.798128351613</v>
      </c>
      <c r="AR117" s="17">
        <f t="shared" ca="1" si="83"/>
        <v>71929.484721320739</v>
      </c>
      <c r="AS117" s="148">
        <f t="shared" ca="1" si="84"/>
        <v>30606.46927023432</v>
      </c>
      <c r="AT117" s="48" t="str">
        <f>INDEX('stock fisico '!N:N, MATCH(B117, 'stock fisico '!B:B, 0))</f>
        <v>ELECTRODOMESTICOS Y AIRES ACOND</v>
      </c>
      <c r="AU117" s="46" t="str">
        <f>INDEX('stock fisico '!D:D, MATCH(B117, 'stock fisico '!B:B, 0))</f>
        <v>Horno</v>
      </c>
      <c r="AV117" s="43" t="str">
        <f>INDEX('stock fisico '!L:L, MATCH(B117, 'stock fisico '!B:B, 0))</f>
        <v>Bgh</v>
      </c>
    </row>
    <row r="118" spans="1:48" x14ac:dyDescent="0.25">
      <c r="A118" s="48">
        <f>INDEX('stock fisico '!M:M, MATCH(B118, 'stock fisico '!B:B, 0))</f>
        <v>8787</v>
      </c>
      <c r="B118" s="47" t="s">
        <v>1068</v>
      </c>
      <c r="C118" s="46" t="str">
        <f>INDEX('stock fisico '!C:C, MATCH(B118, 'stock fisico '!B:B, 0))</f>
        <v>PLANCHITA DE PELO GAMA CP14 DIGITAL 4D TITANIO -450°F /230°C - EAN:  8023277143234</v>
      </c>
      <c r="D118" s="44">
        <f>INDEX('stock fisico '!I:I, MATCH(B118, 'stock fisico '!B:B, 0))</f>
        <v>53665.08</v>
      </c>
      <c r="E118" s="6">
        <f t="shared" ca="1" si="85"/>
        <v>65445.219512195123</v>
      </c>
      <c r="F118" s="148">
        <f t="shared" ca="1" si="45"/>
        <v>2906.8701863396454</v>
      </c>
      <c r="G118" s="148">
        <f t="shared" ca="1" si="46"/>
        <v>1771.6608073939185</v>
      </c>
      <c r="H118" s="148">
        <f t="shared" ca="1" si="47"/>
        <v>850.39718754908085</v>
      </c>
      <c r="I118" s="148">
        <f t="shared" ca="1" si="48"/>
        <v>106.29964844363511</v>
      </c>
      <c r="J118" s="148">
        <f t="shared" ca="1" si="49"/>
        <v>212.59929688727021</v>
      </c>
      <c r="K118" s="148">
        <f t="shared" ca="1" si="50"/>
        <v>70866.432295756735</v>
      </c>
      <c r="L118" s="32">
        <f t="shared" ca="1" si="51"/>
        <v>69415.086182971121</v>
      </c>
      <c r="M118" s="148">
        <f t="shared" ca="1" si="52"/>
        <v>3517.4193999627246</v>
      </c>
      <c r="N118" s="148">
        <f t="shared" ca="1" si="53"/>
        <v>2143.7744703446724</v>
      </c>
      <c r="O118" s="148">
        <f t="shared" ca="1" si="54"/>
        <v>1029.0117457654426</v>
      </c>
      <c r="P118" s="148">
        <f t="shared" ca="1" si="55"/>
        <v>128.62646822068032</v>
      </c>
      <c r="Q118" s="148">
        <f t="shared" ca="1" si="56"/>
        <v>257.25293644136065</v>
      </c>
      <c r="R118" s="148">
        <f t="shared" ca="1" si="57"/>
        <v>13748.025678320382</v>
      </c>
      <c r="S118" s="148">
        <f t="shared" ca="1" si="58"/>
        <v>85750.978813786889</v>
      </c>
      <c r="T118" s="28">
        <f t="shared" ca="1" si="59"/>
        <v>83996.929272685025</v>
      </c>
      <c r="U118" s="148">
        <f t="shared" ca="1" si="60"/>
        <v>4065.5679452766121</v>
      </c>
      <c r="V118" s="148">
        <f t="shared" ca="1" si="61"/>
        <v>2998.2064493190355</v>
      </c>
      <c r="W118" s="148">
        <f t="shared" ca="1" si="62"/>
        <v>1439.139095673137</v>
      </c>
      <c r="X118" s="148">
        <f t="shared" ca="1" si="63"/>
        <v>179.89238695914213</v>
      </c>
      <c r="Y118" s="148">
        <f t="shared" ca="1" si="64"/>
        <v>359.78477391828426</v>
      </c>
      <c r="Z118" s="148">
        <f t="shared" ca="1" si="65"/>
        <v>26084.396109075606</v>
      </c>
      <c r="AA118" s="148">
        <f t="shared" ca="1" si="66"/>
        <v>99114.262787406129</v>
      </c>
      <c r="AB118" s="24">
        <f t="shared" ca="1" si="67"/>
        <v>97394.107436138758</v>
      </c>
      <c r="AC118" s="148">
        <f t="shared" ca="1" si="68"/>
        <v>4815.2367766716261</v>
      </c>
      <c r="AD118" s="148">
        <f t="shared" ca="1" si="69"/>
        <v>3551.0595698168331</v>
      </c>
      <c r="AE118" s="148">
        <f t="shared" ca="1" si="70"/>
        <v>1704.5085935120799</v>
      </c>
      <c r="AF118" s="148">
        <f t="shared" ca="1" si="71"/>
        <v>213.06357418900998</v>
      </c>
      <c r="AG118" s="148">
        <f t="shared" ca="1" si="72"/>
        <v>426.12714837801997</v>
      </c>
      <c r="AH118" s="148">
        <f t="shared" ca="1" si="73"/>
        <v>42967.820794783678</v>
      </c>
      <c r="AI118" s="148">
        <f t="shared" ca="1" si="74"/>
        <v>117390.39900220936</v>
      </c>
      <c r="AJ118" s="20">
        <f t="shared" ca="1" si="75"/>
        <v>115358.91282554052</v>
      </c>
      <c r="AK118" s="148">
        <f t="shared" ca="1" si="76"/>
        <v>5627.8729287739579</v>
      </c>
      <c r="AL118" s="148">
        <f t="shared" ca="1" si="77"/>
        <v>4150.3487675324177</v>
      </c>
      <c r="AM118" s="148">
        <f t="shared" ca="1" si="78"/>
        <v>1992.1674084155604</v>
      </c>
      <c r="AN118" s="148">
        <f t="shared" ca="1" si="79"/>
        <v>249.02092605194505</v>
      </c>
      <c r="AO118" s="148">
        <f t="shared" ca="1" si="80"/>
        <v>498.04185210389011</v>
      </c>
      <c r="AP118" s="148">
        <f t="shared" ca="1" si="81"/>
        <v>61259.147808778485</v>
      </c>
      <c r="AQ118" s="148">
        <f t="shared" ca="1" si="82"/>
        <v>137201.61214983198</v>
      </c>
      <c r="AR118" s="17">
        <f t="shared" ca="1" si="83"/>
        <v>134822.449510267</v>
      </c>
      <c r="AS118" s="148">
        <f t="shared" ca="1" si="84"/>
        <v>57367.839820637295</v>
      </c>
      <c r="AT118" s="48" t="str">
        <f>INDEX('stock fisico '!N:N, MATCH(B118, 'stock fisico '!B:B, 0))</f>
        <v>ELECTRODOMESTICOS Y AIRES ACOND</v>
      </c>
      <c r="AU118" s="46" t="str">
        <f>INDEX('stock fisico '!D:D, MATCH(B118, 'stock fisico '!B:B, 0))</f>
        <v xml:space="preserve">Cuidado personal </v>
      </c>
      <c r="AV118" s="43" t="str">
        <f>INDEX('stock fisico '!L:L, MATCH(B118, 'stock fisico '!B:B, 0))</f>
        <v>Gama</v>
      </c>
    </row>
    <row r="119" spans="1:48" x14ac:dyDescent="0.25">
      <c r="A119" s="48">
        <f>INDEX('stock fisico '!M:M, MATCH(B119, 'stock fisico '!B:B, 0))</f>
        <v>8768</v>
      </c>
      <c r="B119" s="47" t="s">
        <v>1390</v>
      </c>
      <c r="C119" s="46" t="str">
        <f>INDEX('stock fisico '!C:C, MATCH(B119, 'stock fisico '!B:B, 0))</f>
        <v xml:space="preserve">AURICULAR AIWA NEGRO BLUETOOTH -MANOS LIBRES CONTROL DE VOLUMEN AVA-BT301N </v>
      </c>
      <c r="D119" s="44">
        <f>INDEX('stock fisico '!I:I, MATCH(B119, 'stock fisico '!B:B, 0))</f>
        <v>25458.35</v>
      </c>
      <c r="E119" s="6">
        <f t="shared" ca="1" si="85"/>
        <v>31046.768292682926</v>
      </c>
      <c r="F119" s="148">
        <f t="shared" ca="1" si="45"/>
        <v>1378.9995022536052</v>
      </c>
      <c r="G119" s="148">
        <f t="shared" ca="1" si="46"/>
        <v>840.46387177503425</v>
      </c>
      <c r="H119" s="148">
        <f t="shared" ca="1" si="47"/>
        <v>403.42265845201644</v>
      </c>
      <c r="I119" s="148">
        <f t="shared" ca="1" si="48"/>
        <v>50.427832306502054</v>
      </c>
      <c r="J119" s="148">
        <f t="shared" ca="1" si="49"/>
        <v>100.85566461300411</v>
      </c>
      <c r="K119" s="148">
        <f t="shared" ca="1" si="50"/>
        <v>33618.554871001368</v>
      </c>
      <c r="L119" s="32">
        <f t="shared" ca="1" si="51"/>
        <v>32930.046118001548</v>
      </c>
      <c r="M119" s="148">
        <f t="shared" ca="1" si="52"/>
        <v>1668.6399085036494</v>
      </c>
      <c r="N119" s="148">
        <f t="shared" ca="1" si="53"/>
        <v>1016.9920698357161</v>
      </c>
      <c r="O119" s="148">
        <f t="shared" ca="1" si="54"/>
        <v>488.15619352114368</v>
      </c>
      <c r="P119" s="148">
        <f t="shared" ca="1" si="55"/>
        <v>61.01952419014296</v>
      </c>
      <c r="Q119" s="148">
        <f t="shared" ca="1" si="56"/>
        <v>122.03904838028592</v>
      </c>
      <c r="R119" s="148">
        <f t="shared" ca="1" si="57"/>
        <v>6521.9701438564471</v>
      </c>
      <c r="S119" s="148">
        <f t="shared" ca="1" si="58"/>
        <v>40679.682793428641</v>
      </c>
      <c r="T119" s="28">
        <f t="shared" ca="1" si="59"/>
        <v>39847.573586944454</v>
      </c>
      <c r="U119" s="148">
        <f t="shared" ca="1" si="60"/>
        <v>1928.6778609038288</v>
      </c>
      <c r="V119" s="148">
        <f t="shared" ca="1" si="61"/>
        <v>1422.3288059762749</v>
      </c>
      <c r="W119" s="148">
        <f t="shared" ca="1" si="62"/>
        <v>682.71782686861195</v>
      </c>
      <c r="X119" s="148">
        <f t="shared" ca="1" si="63"/>
        <v>85.339728358576494</v>
      </c>
      <c r="Y119" s="148">
        <f t="shared" ca="1" si="64"/>
        <v>170.67945671715299</v>
      </c>
      <c r="Z119" s="148">
        <f t="shared" ca="1" si="65"/>
        <v>12374.260611993592</v>
      </c>
      <c r="AA119" s="148">
        <f t="shared" ca="1" si="66"/>
        <v>47019.134081860328</v>
      </c>
      <c r="AB119" s="24">
        <f t="shared" ca="1" si="67"/>
        <v>46203.104049166112</v>
      </c>
      <c r="AC119" s="148">
        <f t="shared" ca="1" si="68"/>
        <v>2284.3156703274844</v>
      </c>
      <c r="AD119" s="148">
        <f t="shared" ca="1" si="69"/>
        <v>1684.598576937673</v>
      </c>
      <c r="AE119" s="148">
        <f t="shared" ca="1" si="70"/>
        <v>808.60731693008302</v>
      </c>
      <c r="AF119" s="148">
        <f t="shared" ca="1" si="71"/>
        <v>101.07591461626038</v>
      </c>
      <c r="AG119" s="148">
        <f t="shared" ca="1" si="72"/>
        <v>202.15182923252075</v>
      </c>
      <c r="AH119" s="148">
        <f t="shared" ca="1" si="73"/>
        <v>20383.642780945844</v>
      </c>
      <c r="AI119" s="148">
        <f t="shared" ca="1" si="74"/>
        <v>55689.209154964396</v>
      </c>
      <c r="AJ119" s="20">
        <f t="shared" ca="1" si="75"/>
        <v>54725.485890118856</v>
      </c>
      <c r="AK119" s="148">
        <f t="shared" ca="1" si="76"/>
        <v>2669.8247496556883</v>
      </c>
      <c r="AL119" s="148">
        <f t="shared" ca="1" si="77"/>
        <v>1968.8973080056699</v>
      </c>
      <c r="AM119" s="148">
        <f t="shared" ca="1" si="78"/>
        <v>945.0707078427215</v>
      </c>
      <c r="AN119" s="148">
        <f t="shared" ca="1" si="79"/>
        <v>118.13383848034019</v>
      </c>
      <c r="AO119" s="148">
        <f t="shared" ca="1" si="80"/>
        <v>236.26767696068038</v>
      </c>
      <c r="AP119" s="148">
        <f t="shared" ca="1" si="81"/>
        <v>29060.924266163689</v>
      </c>
      <c r="AQ119" s="148">
        <f t="shared" ca="1" si="82"/>
        <v>65087.514314237022</v>
      </c>
      <c r="AR119" s="17">
        <f t="shared" ca="1" si="83"/>
        <v>63958.855693305712</v>
      </c>
      <c r="AS119" s="148">
        <f t="shared" ca="1" si="84"/>
        <v>27214.914147108717</v>
      </c>
      <c r="AT119" s="48" t="str">
        <f>INDEX('stock fisico '!N:N, MATCH(B119, 'stock fisico '!B:B, 0))</f>
        <v>TV-AUDIO-VIDEO</v>
      </c>
      <c r="AU119" s="46" t="str">
        <f>INDEX('stock fisico '!D:D, MATCH(B119, 'stock fisico '!B:B, 0))</f>
        <v>Auriculares</v>
      </c>
      <c r="AV119" s="43" t="str">
        <f>INDEX('stock fisico '!L:L, MATCH(B119, 'stock fisico '!B:B, 0))</f>
        <v>AIWA</v>
      </c>
    </row>
    <row r="120" spans="1:48" x14ac:dyDescent="0.25">
      <c r="A120" s="48">
        <f>INDEX('stock fisico '!M:M, MATCH(B120, 'stock fisico '!B:B, 0))</f>
        <v>4048</v>
      </c>
      <c r="B120" s="47" t="s">
        <v>346</v>
      </c>
      <c r="C120" s="46" t="str">
        <f>INDEX('stock fisico '!C:C, MATCH(B120, 'stock fisico '!B:B, 0))</f>
        <v>CARGADOR INALAMBRICO ATRIL QI CAR-011  INTCO  EAN:  NO TIENE</v>
      </c>
      <c r="D120" s="44">
        <f>INDEX('stock fisico '!I:I, MATCH(B120, 'stock fisico '!B:B, 0))</f>
        <v>6303.79</v>
      </c>
      <c r="E120" s="6">
        <f t="shared" ca="1" si="85"/>
        <v>7687.5487804878048</v>
      </c>
      <c r="F120" s="148">
        <f t="shared" ca="1" si="45"/>
        <v>341.45666440720845</v>
      </c>
      <c r="G120" s="148">
        <f t="shared" ca="1" si="46"/>
        <v>208.10884249202104</v>
      </c>
      <c r="H120" s="148">
        <f t="shared" ca="1" si="47"/>
        <v>99.892244396170099</v>
      </c>
      <c r="I120" s="148">
        <f t="shared" ca="1" si="48"/>
        <v>12.486530549521262</v>
      </c>
      <c r="J120" s="148">
        <f t="shared" ca="1" si="49"/>
        <v>24.973061099042525</v>
      </c>
      <c r="K120" s="148">
        <f t="shared" ca="1" si="50"/>
        <v>8324.3536996808416</v>
      </c>
      <c r="L120" s="32">
        <f t="shared" ca="1" si="51"/>
        <v>8153.870750390226</v>
      </c>
      <c r="M120" s="148">
        <f t="shared" ca="1" si="52"/>
        <v>413.17507100131076</v>
      </c>
      <c r="N120" s="148">
        <f t="shared" ca="1" si="53"/>
        <v>251.81932214419587</v>
      </c>
      <c r="O120" s="148">
        <f t="shared" ca="1" si="54"/>
        <v>120.87327462921401</v>
      </c>
      <c r="P120" s="148">
        <f t="shared" ca="1" si="55"/>
        <v>15.109159328651751</v>
      </c>
      <c r="Q120" s="148">
        <f t="shared" ca="1" si="56"/>
        <v>30.218318657303502</v>
      </c>
      <c r="R120" s="148">
        <f t="shared" ca="1" si="57"/>
        <v>1614.917312910728</v>
      </c>
      <c r="S120" s="148">
        <f t="shared" ca="1" si="58"/>
        <v>10072.772885767834</v>
      </c>
      <c r="T120" s="28">
        <f t="shared" ca="1" si="59"/>
        <v>9866.7327576863609</v>
      </c>
      <c r="U120" s="148">
        <f t="shared" ca="1" si="60"/>
        <v>477.56355823480095</v>
      </c>
      <c r="V120" s="148">
        <f t="shared" ca="1" si="61"/>
        <v>352.1855149224196</v>
      </c>
      <c r="W120" s="148">
        <f t="shared" ca="1" si="62"/>
        <v>169.04904716276141</v>
      </c>
      <c r="X120" s="148">
        <f t="shared" ca="1" si="63"/>
        <v>21.131130895345176</v>
      </c>
      <c r="Y120" s="148">
        <f t="shared" ca="1" si="64"/>
        <v>42.262261790690353</v>
      </c>
      <c r="Z120" s="148">
        <f t="shared" ca="1" si="65"/>
        <v>3064.0139798250502</v>
      </c>
      <c r="AA120" s="148">
        <f t="shared" ca="1" si="66"/>
        <v>11642.496361071722</v>
      </c>
      <c r="AB120" s="24">
        <f t="shared" ca="1" si="67"/>
        <v>11440.437627501107</v>
      </c>
      <c r="AC120" s="148">
        <f t="shared" ca="1" si="68"/>
        <v>565.62370614960105</v>
      </c>
      <c r="AD120" s="148">
        <f t="shared" ca="1" si="69"/>
        <v>417.12662695398302</v>
      </c>
      <c r="AE120" s="148">
        <f t="shared" ca="1" si="70"/>
        <v>200.22078093791185</v>
      </c>
      <c r="AF120" s="148">
        <f t="shared" ca="1" si="71"/>
        <v>25.027597617238982</v>
      </c>
      <c r="AG120" s="148">
        <f t="shared" ca="1" si="72"/>
        <v>50.055195234477964</v>
      </c>
      <c r="AH120" s="148">
        <f t="shared" ca="1" si="73"/>
        <v>5047.2321861431947</v>
      </c>
      <c r="AI120" s="148">
        <f t="shared" ca="1" si="74"/>
        <v>13789.309981949853</v>
      </c>
      <c r="AJ120" s="20">
        <f t="shared" ca="1" si="75"/>
        <v>13550.68064895299</v>
      </c>
      <c r="AK120" s="148">
        <f t="shared" ca="1" si="76"/>
        <v>661.08033547468835</v>
      </c>
      <c r="AL120" s="148">
        <f t="shared" ca="1" si="77"/>
        <v>487.52237129401794</v>
      </c>
      <c r="AM120" s="148">
        <f t="shared" ca="1" si="78"/>
        <v>234.01073822112861</v>
      </c>
      <c r="AN120" s="148">
        <f t="shared" ca="1" si="79"/>
        <v>29.251342277641076</v>
      </c>
      <c r="AO120" s="148">
        <f t="shared" ca="1" si="80"/>
        <v>58.502684555282151</v>
      </c>
      <c r="AP120" s="148">
        <f t="shared" ca="1" si="81"/>
        <v>7195.8302002997052</v>
      </c>
      <c r="AQ120" s="148">
        <f t="shared" ca="1" si="82"/>
        <v>16116.442026248527</v>
      </c>
      <c r="AR120" s="17">
        <f t="shared" ca="1" si="83"/>
        <v>15836.972739038609</v>
      </c>
      <c r="AS120" s="148">
        <f t="shared" ca="1" si="84"/>
        <v>6738.7361573472945</v>
      </c>
      <c r="AT120" s="48" t="str">
        <f>INDEX('stock fisico '!N:N, MATCH(B120, 'stock fisico '!B:B, 0))</f>
        <v>MAS CATEGORIAS</v>
      </c>
      <c r="AU120" s="46" t="str">
        <f>INDEX('stock fisico '!D:D, MATCH(B120, 'stock fisico '!B:B, 0))</f>
        <v>Cargadores</v>
      </c>
      <c r="AV120" s="43" t="str">
        <f>INDEX('stock fisico '!L:L, MATCH(B120, 'stock fisico '!B:B, 0))</f>
        <v>Intco</v>
      </c>
    </row>
    <row r="121" spans="1:48" x14ac:dyDescent="0.25">
      <c r="A121" s="48">
        <f>INDEX('stock fisico '!M:M, MATCH(B121, 'stock fisico '!B:B, 0))</f>
        <v>9930</v>
      </c>
      <c r="B121" s="47" t="s">
        <v>1392</v>
      </c>
      <c r="C121" s="46" t="str">
        <f>INDEX('stock fisico '!C:C, MATCH(B121, 'stock fisico '!B:B, 0))</f>
        <v xml:space="preserve">CAFETERA DE FILTRO AIWA AWK-CF075N 0.75L EAN </v>
      </c>
      <c r="D121" s="44">
        <f>INDEX('stock fisico '!I:I, MATCH(B121, 'stock fisico '!B:B, 0))</f>
        <v>22664.1</v>
      </c>
      <c r="E121" s="6">
        <f t="shared" ca="1" si="85"/>
        <v>27639.146341463413</v>
      </c>
      <c r="F121" s="148">
        <f t="shared" ca="1" si="45"/>
        <v>1227.6436854323213</v>
      </c>
      <c r="G121" s="148">
        <f t="shared" ca="1" si="46"/>
        <v>748.21648835437315</v>
      </c>
      <c r="H121" s="148">
        <f t="shared" ca="1" si="47"/>
        <v>359.14391441009911</v>
      </c>
      <c r="I121" s="148">
        <f t="shared" ca="1" si="48"/>
        <v>44.892989301262389</v>
      </c>
      <c r="J121" s="148">
        <f t="shared" ca="1" si="49"/>
        <v>89.785978602524779</v>
      </c>
      <c r="K121" s="148">
        <f t="shared" ca="1" si="50"/>
        <v>29928.659534174923</v>
      </c>
      <c r="L121" s="32">
        <f t="shared" ca="1" si="51"/>
        <v>29315.719919908359</v>
      </c>
      <c r="M121" s="148">
        <f t="shared" ca="1" si="52"/>
        <v>1485.4938262030948</v>
      </c>
      <c r="N121" s="148">
        <f t="shared" ca="1" si="53"/>
        <v>905.3693570071764</v>
      </c>
      <c r="O121" s="148">
        <f t="shared" ca="1" si="54"/>
        <v>434.57729136344466</v>
      </c>
      <c r="P121" s="148">
        <f t="shared" ca="1" si="55"/>
        <v>54.322161420430582</v>
      </c>
      <c r="Q121" s="148">
        <f t="shared" ca="1" si="56"/>
        <v>108.64432284086116</v>
      </c>
      <c r="R121" s="148">
        <f t="shared" ca="1" si="57"/>
        <v>5806.1336864870218</v>
      </c>
      <c r="S121" s="148">
        <f t="shared" ca="1" si="58"/>
        <v>36214.774280287056</v>
      </c>
      <c r="T121" s="28">
        <f t="shared" ca="1" si="59"/>
        <v>35473.995468357833</v>
      </c>
      <c r="U121" s="148">
        <f t="shared" ca="1" si="60"/>
        <v>1716.9906104406004</v>
      </c>
      <c r="V121" s="148">
        <f t="shared" ca="1" si="61"/>
        <v>1266.217264336726</v>
      </c>
      <c r="W121" s="148">
        <f t="shared" ca="1" si="62"/>
        <v>607.78428688162853</v>
      </c>
      <c r="X121" s="148">
        <f t="shared" ca="1" si="63"/>
        <v>75.973035860203566</v>
      </c>
      <c r="Y121" s="148">
        <f t="shared" ca="1" si="64"/>
        <v>151.94607172040713</v>
      </c>
      <c r="Z121" s="148">
        <f t="shared" ca="1" si="65"/>
        <v>11016.090199729517</v>
      </c>
      <c r="AA121" s="148">
        <f t="shared" ca="1" si="66"/>
        <v>41858.421961544664</v>
      </c>
      <c r="AB121" s="24">
        <f t="shared" ca="1" si="67"/>
        <v>41131.957510235567</v>
      </c>
      <c r="AC121" s="148">
        <f t="shared" ca="1" si="68"/>
        <v>2033.5944310557888</v>
      </c>
      <c r="AD121" s="148">
        <f t="shared" ca="1" si="69"/>
        <v>1499.7009078582512</v>
      </c>
      <c r="AE121" s="148">
        <f t="shared" ca="1" si="70"/>
        <v>719.85643577196061</v>
      </c>
      <c r="AF121" s="148">
        <f t="shared" ca="1" si="71"/>
        <v>89.982054471495076</v>
      </c>
      <c r="AG121" s="148">
        <f t="shared" ca="1" si="72"/>
        <v>179.96410894299015</v>
      </c>
      <c r="AH121" s="148">
        <f t="shared" ca="1" si="73"/>
        <v>18146.380985084841</v>
      </c>
      <c r="AI121" s="148">
        <f t="shared" ca="1" si="74"/>
        <v>49576.88951597525</v>
      </c>
      <c r="AJ121" s="20">
        <f t="shared" ca="1" si="75"/>
        <v>48718.942302318988</v>
      </c>
      <c r="AK121" s="148">
        <f t="shared" ca="1" si="76"/>
        <v>2376.7909196264286</v>
      </c>
      <c r="AL121" s="148">
        <f t="shared" ca="1" si="77"/>
        <v>1752.7956634413188</v>
      </c>
      <c r="AM121" s="148">
        <f t="shared" ca="1" si="78"/>
        <v>841.34191845183307</v>
      </c>
      <c r="AN121" s="148">
        <f t="shared" ca="1" si="79"/>
        <v>105.16773980647913</v>
      </c>
      <c r="AO121" s="148">
        <f t="shared" ca="1" si="80"/>
        <v>210.33547961295827</v>
      </c>
      <c r="AP121" s="148">
        <f t="shared" ca="1" si="81"/>
        <v>25871.263992393866</v>
      </c>
      <c r="AQ121" s="148">
        <f t="shared" ca="1" si="82"/>
        <v>57943.65829558079</v>
      </c>
      <c r="AR121" s="17">
        <f t="shared" ca="1" si="83"/>
        <v>56938.878651548497</v>
      </c>
      <c r="AS121" s="148">
        <f t="shared" ca="1" si="84"/>
        <v>24227.867702403604</v>
      </c>
      <c r="AT121" s="48" t="str">
        <f>INDEX('stock fisico '!N:N, MATCH(B121, 'stock fisico '!B:B, 0))</f>
        <v>ELECTRODOMESTICOS Y AIRES ACOND</v>
      </c>
      <c r="AU121" s="46" t="str">
        <f>INDEX('stock fisico '!D:D, MATCH(B121, 'stock fisico '!B:B, 0))</f>
        <v xml:space="preserve">Pequeños Electrodomesticos </v>
      </c>
      <c r="AV121" s="43" t="str">
        <f>INDEX('stock fisico '!L:L, MATCH(B121, 'stock fisico '!B:B, 0))</f>
        <v>AIWA</v>
      </c>
    </row>
    <row r="122" spans="1:48" x14ac:dyDescent="0.25">
      <c r="A122" s="48">
        <f>INDEX('stock fisico '!M:M, MATCH(B122, 'stock fisico '!B:B, 0))</f>
        <v>9067</v>
      </c>
      <c r="B122" s="47" t="s">
        <v>282</v>
      </c>
      <c r="C122" s="46" t="str">
        <f>INDEX('stock fisico '!C:C, MATCH(B122, 'stock fisico '!B:B, 0))</f>
        <v>TURBO VENTILADOR STTG31-14 14" STAR-TRAK EAN:  7798185861068</v>
      </c>
      <c r="D122" s="44">
        <f>INDEX('stock fisico '!I:I, MATCH(B122, 'stock fisico '!B:B, 0))</f>
        <v>21000</v>
      </c>
      <c r="E122" s="6">
        <f t="shared" ca="1" si="85"/>
        <v>25609.756097560978</v>
      </c>
      <c r="F122" s="148">
        <f t="shared" ca="1" si="45"/>
        <v>1137.5045730507168</v>
      </c>
      <c r="G122" s="148">
        <f t="shared" ca="1" si="46"/>
        <v>693.27907375284428</v>
      </c>
      <c r="H122" s="148">
        <f t="shared" ca="1" si="47"/>
        <v>332.77395540136524</v>
      </c>
      <c r="I122" s="148">
        <f t="shared" ca="1" si="48"/>
        <v>41.596744425170655</v>
      </c>
      <c r="J122" s="148">
        <f t="shared" ca="1" si="49"/>
        <v>83.193488850341311</v>
      </c>
      <c r="K122" s="148">
        <f t="shared" ca="1" si="50"/>
        <v>27731.162950113769</v>
      </c>
      <c r="L122" s="32">
        <f t="shared" ca="1" si="51"/>
        <v>27163.228114863399</v>
      </c>
      <c r="M122" s="148">
        <f t="shared" ca="1" si="52"/>
        <v>1376.4221985547626</v>
      </c>
      <c r="N122" s="148">
        <f t="shared" ca="1" si="53"/>
        <v>838.89307306051023</v>
      </c>
      <c r="O122" s="148">
        <f t="shared" ca="1" si="54"/>
        <v>402.66867506904487</v>
      </c>
      <c r="P122" s="148">
        <f t="shared" ca="1" si="55"/>
        <v>50.333584383630608</v>
      </c>
      <c r="Q122" s="148">
        <f t="shared" ca="1" si="56"/>
        <v>100.66716876726122</v>
      </c>
      <c r="R122" s="148">
        <f t="shared" ca="1" si="57"/>
        <v>5379.8212775370512</v>
      </c>
      <c r="S122" s="148">
        <f t="shared" ca="1" si="58"/>
        <v>33555.722922420406</v>
      </c>
      <c r="T122" s="28">
        <f t="shared" ca="1" si="59"/>
        <v>32869.335417489099</v>
      </c>
      <c r="U122" s="148">
        <f t="shared" ca="1" si="60"/>
        <v>1590.9214493076106</v>
      </c>
      <c r="V122" s="148">
        <f t="shared" ca="1" si="61"/>
        <v>1173.2459065690343</v>
      </c>
      <c r="W122" s="148">
        <f t="shared" ca="1" si="62"/>
        <v>563.15803515313655</v>
      </c>
      <c r="X122" s="148">
        <f t="shared" ca="1" si="63"/>
        <v>70.394754394142069</v>
      </c>
      <c r="Y122" s="148">
        <f t="shared" ca="1" si="64"/>
        <v>140.78950878828414</v>
      </c>
      <c r="Z122" s="148">
        <f t="shared" ca="1" si="65"/>
        <v>10207.239387150599</v>
      </c>
      <c r="AA122" s="148">
        <f t="shared" ca="1" si="66"/>
        <v>38784.988646910228</v>
      </c>
      <c r="AB122" s="24">
        <f t="shared" ca="1" si="67"/>
        <v>38111.864477960611</v>
      </c>
      <c r="AC122" s="148">
        <f t="shared" ca="1" si="68"/>
        <v>1884.2787956358986</v>
      </c>
      <c r="AD122" s="148">
        <f t="shared" ca="1" si="69"/>
        <v>1389.5861324748514</v>
      </c>
      <c r="AE122" s="148">
        <f t="shared" ca="1" si="70"/>
        <v>667.00134358792877</v>
      </c>
      <c r="AF122" s="148">
        <f t="shared" ca="1" si="71"/>
        <v>83.375167948491097</v>
      </c>
      <c r="AG122" s="148">
        <f t="shared" ca="1" si="72"/>
        <v>166.75033589698219</v>
      </c>
      <c r="AH122" s="148">
        <f t="shared" ca="1" si="73"/>
        <v>16813.992202945705</v>
      </c>
      <c r="AI122" s="148">
        <f t="shared" ca="1" si="74"/>
        <v>45936.731652061208</v>
      </c>
      <c r="AJ122" s="20">
        <f t="shared" ca="1" si="75"/>
        <v>45141.778775627492</v>
      </c>
      <c r="AK122" s="148">
        <f t="shared" ca="1" si="76"/>
        <v>2202.276256818272</v>
      </c>
      <c r="AL122" s="148">
        <f t="shared" ca="1" si="77"/>
        <v>1624.0975345267493</v>
      </c>
      <c r="AM122" s="148">
        <f t="shared" ca="1" si="78"/>
        <v>779.56681657283968</v>
      </c>
      <c r="AN122" s="148">
        <f t="shared" ca="1" si="79"/>
        <v>97.445852071604961</v>
      </c>
      <c r="AO122" s="148">
        <f t="shared" ca="1" si="80"/>
        <v>194.89170414320992</v>
      </c>
      <c r="AP122" s="148">
        <f t="shared" ca="1" si="81"/>
        <v>23971.679609614821</v>
      </c>
      <c r="AQ122" s="148">
        <f t="shared" ca="1" si="82"/>
        <v>53689.174695099151</v>
      </c>
      <c r="AR122" s="17">
        <f t="shared" ca="1" si="83"/>
        <v>52758.170484710121</v>
      </c>
      <c r="AS122" s="148">
        <f t="shared" ca="1" si="84"/>
        <v>22448.948855259008</v>
      </c>
      <c r="AT122" s="48" t="str">
        <f>INDEX('stock fisico '!N:N, MATCH(B122, 'stock fisico '!B:B, 0))</f>
        <v>ELECTRODOMESTICOS Y AIRES ACOND</v>
      </c>
      <c r="AU122" s="46" t="str">
        <f>INDEX('stock fisico '!D:D, MATCH(B122, 'stock fisico '!B:B, 0))</f>
        <v>Ventiladores</v>
      </c>
      <c r="AV122" s="43" t="str">
        <f>INDEX('stock fisico '!L:L, MATCH(B122, 'stock fisico '!B:B, 0))</f>
        <v>Star-trak</v>
      </c>
    </row>
    <row r="123" spans="1:48" x14ac:dyDescent="0.25">
      <c r="A123" s="48">
        <f>INDEX('stock fisico '!M:M, MATCH(B123, 'stock fisico '!B:B, 0))</f>
        <v>3793</v>
      </c>
      <c r="B123" s="47" t="s">
        <v>933</v>
      </c>
      <c r="C123" s="46" t="str">
        <f>INDEX('stock fisico '!C:C, MATCH(B123, 'stock fisico '!B:B, 0))</f>
        <v>CABLE VGA M A 2 VGA H NM-C39 NETMAK</v>
      </c>
      <c r="D123" s="44">
        <f>INDEX('stock fisico '!I:I, MATCH(B123, 'stock fisico '!B:B, 0))</f>
        <v>10010</v>
      </c>
      <c r="E123" s="6">
        <f t="shared" ca="1" si="85"/>
        <v>12207.317073170732</v>
      </c>
      <c r="F123" s="148">
        <f t="shared" ca="1" si="45"/>
        <v>542.21051315417503</v>
      </c>
      <c r="G123" s="148">
        <f t="shared" ca="1" si="46"/>
        <v>330.46302515552247</v>
      </c>
      <c r="H123" s="148">
        <f t="shared" ca="1" si="47"/>
        <v>158.62225207465076</v>
      </c>
      <c r="I123" s="148">
        <f t="shared" ca="1" si="48"/>
        <v>19.827781509331345</v>
      </c>
      <c r="J123" s="148">
        <f t="shared" ca="1" si="49"/>
        <v>39.65556301866269</v>
      </c>
      <c r="K123" s="148">
        <f t="shared" ca="1" si="50"/>
        <v>13218.521006220897</v>
      </c>
      <c r="L123" s="32">
        <f t="shared" ca="1" si="51"/>
        <v>12947.80540141822</v>
      </c>
      <c r="M123" s="148">
        <f t="shared" ca="1" si="52"/>
        <v>656.09458131110352</v>
      </c>
      <c r="N123" s="148">
        <f t="shared" ca="1" si="53"/>
        <v>399.87236482550986</v>
      </c>
      <c r="O123" s="148">
        <f t="shared" ca="1" si="54"/>
        <v>191.93873511624471</v>
      </c>
      <c r="P123" s="148">
        <f t="shared" ca="1" si="55"/>
        <v>23.992341889530589</v>
      </c>
      <c r="Q123" s="148">
        <f t="shared" ca="1" si="56"/>
        <v>47.984683779061179</v>
      </c>
      <c r="R123" s="148">
        <f t="shared" ca="1" si="57"/>
        <v>2564.3814756259944</v>
      </c>
      <c r="S123" s="148">
        <f t="shared" ca="1" si="58"/>
        <v>15994.894593020394</v>
      </c>
      <c r="T123" s="28">
        <f t="shared" ca="1" si="59"/>
        <v>15667.716549003137</v>
      </c>
      <c r="U123" s="148">
        <f t="shared" ca="1" si="60"/>
        <v>758.33922416996097</v>
      </c>
      <c r="V123" s="148">
        <f t="shared" ca="1" si="61"/>
        <v>559.24721546457295</v>
      </c>
      <c r="W123" s="148">
        <f t="shared" ca="1" si="62"/>
        <v>268.43866342299503</v>
      </c>
      <c r="X123" s="148">
        <f t="shared" ca="1" si="63"/>
        <v>33.554832927874379</v>
      </c>
      <c r="Y123" s="148">
        <f t="shared" ca="1" si="64"/>
        <v>67.109665855748759</v>
      </c>
      <c r="Z123" s="148">
        <f t="shared" ca="1" si="65"/>
        <v>4865.450774541785</v>
      </c>
      <c r="AA123" s="148">
        <f t="shared" ca="1" si="66"/>
        <v>18487.511255027206</v>
      </c>
      <c r="AB123" s="24">
        <f t="shared" ca="1" si="67"/>
        <v>18166.655401161224</v>
      </c>
      <c r="AC123" s="148">
        <f t="shared" ca="1" si="68"/>
        <v>898.17289258644496</v>
      </c>
      <c r="AD123" s="148">
        <f t="shared" ca="1" si="69"/>
        <v>662.3693898130125</v>
      </c>
      <c r="AE123" s="148">
        <f t="shared" ca="1" si="70"/>
        <v>317.93730711024602</v>
      </c>
      <c r="AF123" s="148">
        <f t="shared" ca="1" si="71"/>
        <v>39.742163388780753</v>
      </c>
      <c r="AG123" s="148">
        <f t="shared" ca="1" si="72"/>
        <v>79.484326777561506</v>
      </c>
      <c r="AH123" s="148">
        <f t="shared" ca="1" si="73"/>
        <v>8014.6696167374512</v>
      </c>
      <c r="AI123" s="148">
        <f t="shared" ca="1" si="74"/>
        <v>21896.508754149174</v>
      </c>
      <c r="AJ123" s="20">
        <f t="shared" ca="1" si="75"/>
        <v>21517.581216382438</v>
      </c>
      <c r="AK123" s="148">
        <f t="shared" ca="1" si="76"/>
        <v>1049.7516824167096</v>
      </c>
      <c r="AL123" s="148">
        <f t="shared" ca="1" si="77"/>
        <v>774.15315812441713</v>
      </c>
      <c r="AM123" s="148">
        <f t="shared" ca="1" si="78"/>
        <v>371.59351589972022</v>
      </c>
      <c r="AN123" s="148">
        <f t="shared" ca="1" si="79"/>
        <v>46.449189487465027</v>
      </c>
      <c r="AO123" s="148">
        <f t="shared" ca="1" si="80"/>
        <v>92.898378974930054</v>
      </c>
      <c r="AP123" s="148">
        <f t="shared" ca="1" si="81"/>
        <v>11426.500613916398</v>
      </c>
      <c r="AQ123" s="148">
        <f t="shared" ca="1" si="82"/>
        <v>25591.839937997262</v>
      </c>
      <c r="AR123" s="17">
        <f t="shared" ca="1" si="83"/>
        <v>25148.061264378492</v>
      </c>
      <c r="AS123" s="148">
        <f t="shared" ca="1" si="84"/>
        <v>10700.665621006794</v>
      </c>
      <c r="AT123" s="48" t="str">
        <f>INDEX('stock fisico '!N:N, MATCH(B123, 'stock fisico '!B:B, 0))</f>
        <v>MAS CATEGORIAS</v>
      </c>
      <c r="AU123" s="46" t="str">
        <f>INDEX('stock fisico '!D:D, MATCH(B123, 'stock fisico '!B:B, 0))</f>
        <v>Cables</v>
      </c>
      <c r="AV123" s="43" t="str">
        <f>INDEX('stock fisico '!L:L, MATCH(B123, 'stock fisico '!B:B, 0))</f>
        <v>Tline</v>
      </c>
    </row>
    <row r="124" spans="1:48" x14ac:dyDescent="0.25">
      <c r="A124" s="48">
        <f>INDEX('stock fisico '!M:M, MATCH(B124, 'stock fisico '!B:B, 0))</f>
        <v>3630</v>
      </c>
      <c r="B124" s="47" t="s">
        <v>392</v>
      </c>
      <c r="C124" s="46" t="str">
        <f>INDEX('stock fisico '!C:C, MATCH(B124, 'stock fisico '!B:B, 0))</f>
        <v>CABLE HDMI A 3 RCA 1.5 METROS TL-HDMIRCA  T-LINE</v>
      </c>
      <c r="D124" s="44">
        <f>INDEX('stock fisico '!I:I, MATCH(B124, 'stock fisico '!B:B, 0))</f>
        <v>2080</v>
      </c>
      <c r="E124" s="6">
        <f t="shared" ca="1" si="85"/>
        <v>2536.5853658536585</v>
      </c>
      <c r="F124" s="148">
        <f t="shared" ca="1" si="45"/>
        <v>112.66711961645193</v>
      </c>
      <c r="G124" s="148">
        <f t="shared" ca="1" si="46"/>
        <v>68.667641590757896</v>
      </c>
      <c r="H124" s="148">
        <f t="shared" ca="1" si="47"/>
        <v>32.960467963563794</v>
      </c>
      <c r="I124" s="148">
        <f t="shared" ca="1" si="48"/>
        <v>4.1200584954454742</v>
      </c>
      <c r="J124" s="148">
        <f t="shared" ca="1" si="49"/>
        <v>8.2401169908909484</v>
      </c>
      <c r="K124" s="148">
        <f t="shared" ca="1" si="50"/>
        <v>2746.7056636303159</v>
      </c>
      <c r="L124" s="32">
        <f t="shared" ca="1" si="51"/>
        <v>2690.4530704245653</v>
      </c>
      <c r="M124" s="148">
        <f t="shared" ca="1" si="52"/>
        <v>136.33134157113838</v>
      </c>
      <c r="N124" s="148">
        <f t="shared" ca="1" si="53"/>
        <v>83.090361522183855</v>
      </c>
      <c r="O124" s="148">
        <f t="shared" ca="1" si="54"/>
        <v>39.88337353064825</v>
      </c>
      <c r="P124" s="148">
        <f t="shared" ca="1" si="55"/>
        <v>4.9854216913310312</v>
      </c>
      <c r="Q124" s="148">
        <f t="shared" ca="1" si="56"/>
        <v>9.9708433826620624</v>
      </c>
      <c r="R124" s="148">
        <f t="shared" ca="1" si="57"/>
        <v>532.85848844176508</v>
      </c>
      <c r="S124" s="148">
        <f t="shared" ca="1" si="58"/>
        <v>3323.6144608873542</v>
      </c>
      <c r="T124" s="28">
        <f t="shared" ca="1" si="59"/>
        <v>3255.6294127798724</v>
      </c>
      <c r="U124" s="148">
        <f t="shared" ca="1" si="60"/>
        <v>157.57698164570616</v>
      </c>
      <c r="V124" s="148">
        <f t="shared" ca="1" si="61"/>
        <v>116.20721360302814</v>
      </c>
      <c r="W124" s="148">
        <f t="shared" ca="1" si="62"/>
        <v>55.779462529453504</v>
      </c>
      <c r="X124" s="148">
        <f t="shared" ca="1" si="63"/>
        <v>6.972432816181688</v>
      </c>
      <c r="Y124" s="148">
        <f t="shared" ca="1" si="64"/>
        <v>13.944865632363376</v>
      </c>
      <c r="Z124" s="148">
        <f t="shared" ca="1" si="65"/>
        <v>1011.0027583463448</v>
      </c>
      <c r="AA124" s="148">
        <f t="shared" ca="1" si="66"/>
        <v>3841.5607802653931</v>
      </c>
      <c r="AB124" s="24">
        <f t="shared" ca="1" si="67"/>
        <v>3774.8894340075262</v>
      </c>
      <c r="AC124" s="148">
        <f t="shared" ca="1" si="68"/>
        <v>186.63332832965088</v>
      </c>
      <c r="AD124" s="148">
        <f t="shared" ca="1" si="69"/>
        <v>137.63519788322336</v>
      </c>
      <c r="AE124" s="148">
        <f t="shared" ca="1" si="70"/>
        <v>66.064894983947212</v>
      </c>
      <c r="AF124" s="148">
        <f t="shared" ca="1" si="71"/>
        <v>8.2581118729934015</v>
      </c>
      <c r="AG124" s="148">
        <f t="shared" ca="1" si="72"/>
        <v>16.516223745986803</v>
      </c>
      <c r="AH124" s="148">
        <f t="shared" ca="1" si="73"/>
        <v>1665.3858943870027</v>
      </c>
      <c r="AI124" s="148">
        <f t="shared" ca="1" si="74"/>
        <v>4549.9238969660619</v>
      </c>
      <c r="AJ124" s="20">
        <f t="shared" ca="1" si="75"/>
        <v>4471.1857073002466</v>
      </c>
      <c r="AK124" s="148">
        <f t="shared" ca="1" si="76"/>
        <v>218.13021972295266</v>
      </c>
      <c r="AL124" s="148">
        <f t="shared" ca="1" si="77"/>
        <v>160.86299389598278</v>
      </c>
      <c r="AM124" s="148">
        <f t="shared" ca="1" si="78"/>
        <v>77.214237070071746</v>
      </c>
      <c r="AN124" s="148">
        <f t="shared" ca="1" si="79"/>
        <v>9.6517796337589683</v>
      </c>
      <c r="AO124" s="148">
        <f t="shared" ca="1" si="80"/>
        <v>19.303559267517937</v>
      </c>
      <c r="AP124" s="148">
        <f t="shared" ca="1" si="81"/>
        <v>2374.3377899047059</v>
      </c>
      <c r="AQ124" s="148">
        <f t="shared" ca="1" si="82"/>
        <v>5317.7849221812494</v>
      </c>
      <c r="AR124" s="17">
        <f t="shared" ca="1" si="83"/>
        <v>5225.5711718189068</v>
      </c>
      <c r="AS124" s="148">
        <f t="shared" ca="1" si="84"/>
        <v>2223.5149342351779</v>
      </c>
      <c r="AT124" s="48" t="str">
        <f>INDEX('stock fisico '!N:N, MATCH(B124, 'stock fisico '!B:B, 0))</f>
        <v>MAS CATEGORIAS</v>
      </c>
      <c r="AU124" s="46" t="str">
        <f>INDEX('stock fisico '!D:D, MATCH(B124, 'stock fisico '!B:B, 0))</f>
        <v>Cables</v>
      </c>
      <c r="AV124" s="43" t="str">
        <f>INDEX('stock fisico '!L:L, MATCH(B124, 'stock fisico '!B:B, 0))</f>
        <v>Tline</v>
      </c>
    </row>
    <row r="125" spans="1:48" x14ac:dyDescent="0.25">
      <c r="A125" s="48">
        <f>INDEX('stock fisico '!M:M, MATCH(B125, 'stock fisico '!B:B, 0))</f>
        <v>4538</v>
      </c>
      <c r="B125" s="47" t="s">
        <v>416</v>
      </c>
      <c r="C125" s="46" t="str">
        <f>INDEX('stock fisico '!C:C, MATCH(B125, 'stock fisico '!B:B, 0))</f>
        <v>COOLER CNPS2X AMD/1150/1151  ZALMAN  EAN:  8809213765445</v>
      </c>
      <c r="D125" s="44">
        <f>INDEX('stock fisico '!I:I, MATCH(B125, 'stock fisico '!B:B, 0))</f>
        <v>19499.349999999999</v>
      </c>
      <c r="E125" s="6">
        <f t="shared" ca="1" si="85"/>
        <v>23779.695121951219</v>
      </c>
      <c r="F125" s="148">
        <f t="shared" ca="1" si="45"/>
        <v>1056.2190379293568</v>
      </c>
      <c r="G125" s="148">
        <f t="shared" ca="1" si="46"/>
        <v>643.73768127535823</v>
      </c>
      <c r="H125" s="148">
        <f t="shared" ca="1" si="47"/>
        <v>308.99408701217197</v>
      </c>
      <c r="I125" s="148">
        <f t="shared" ca="1" si="48"/>
        <v>38.624260876521497</v>
      </c>
      <c r="J125" s="148">
        <f t="shared" ca="1" si="49"/>
        <v>77.248521753042994</v>
      </c>
      <c r="K125" s="148">
        <f t="shared" ca="1" si="50"/>
        <v>25749.507251014329</v>
      </c>
      <c r="L125" s="32">
        <f t="shared" ca="1" si="51"/>
        <v>25222.156768645793</v>
      </c>
      <c r="M125" s="148">
        <f t="shared" ca="1" si="52"/>
        <v>1278.0637236851815</v>
      </c>
      <c r="N125" s="148">
        <f t="shared" ca="1" si="53"/>
        <v>778.94617353249805</v>
      </c>
      <c r="O125" s="148">
        <f t="shared" ca="1" si="54"/>
        <v>373.89416329559901</v>
      </c>
      <c r="P125" s="148">
        <f t="shared" ca="1" si="55"/>
        <v>46.736770411949877</v>
      </c>
      <c r="Q125" s="148">
        <f t="shared" ca="1" si="56"/>
        <v>93.473540823899754</v>
      </c>
      <c r="R125" s="148">
        <f t="shared" ca="1" si="57"/>
        <v>4995.3818108639089</v>
      </c>
      <c r="S125" s="148">
        <f t="shared" ca="1" si="58"/>
        <v>31157.846941299918</v>
      </c>
      <c r="T125" s="28">
        <f t="shared" ca="1" si="59"/>
        <v>30520.50836061981</v>
      </c>
      <c r="U125" s="148">
        <f t="shared" ca="1" si="60"/>
        <v>1477.2349601217311</v>
      </c>
      <c r="V125" s="148">
        <f t="shared" ca="1" si="61"/>
        <v>1089.4063127741381</v>
      </c>
      <c r="W125" s="148">
        <f t="shared" ca="1" si="62"/>
        <v>522.91503013158626</v>
      </c>
      <c r="X125" s="148">
        <f t="shared" ca="1" si="63"/>
        <v>65.364378766448283</v>
      </c>
      <c r="Y125" s="148">
        <f t="shared" ca="1" si="64"/>
        <v>130.72875753289657</v>
      </c>
      <c r="Z125" s="148">
        <f t="shared" ca="1" si="65"/>
        <v>9477.8349211350014</v>
      </c>
      <c r="AA125" s="148">
        <f t="shared" ca="1" si="66"/>
        <v>36013.431827244232</v>
      </c>
      <c r="AB125" s="24">
        <f t="shared" ca="1" si="67"/>
        <v>35388.408790872432</v>
      </c>
      <c r="AC125" s="148">
        <f t="shared" ca="1" si="68"/>
        <v>1749.6291301753743</v>
      </c>
      <c r="AD125" s="148">
        <f t="shared" ca="1" si="69"/>
        <v>1290.2869691558808</v>
      </c>
      <c r="AE125" s="148">
        <f t="shared" ca="1" si="70"/>
        <v>619.33774519482279</v>
      </c>
      <c r="AF125" s="148">
        <f t="shared" ca="1" si="71"/>
        <v>77.417218149352848</v>
      </c>
      <c r="AG125" s="148">
        <f t="shared" ca="1" si="72"/>
        <v>154.8344362987057</v>
      </c>
      <c r="AH125" s="148">
        <f t="shared" ca="1" si="73"/>
        <v>15612.472326786157</v>
      </c>
      <c r="AI125" s="148">
        <f t="shared" ca="1" si="74"/>
        <v>42654.114682839034</v>
      </c>
      <c r="AJ125" s="20">
        <f t="shared" ca="1" si="75"/>
        <v>41915.968760406278</v>
      </c>
      <c r="AK125" s="148">
        <f t="shared" ca="1" si="76"/>
        <v>2044.9026442090178</v>
      </c>
      <c r="AL125" s="148">
        <f t="shared" ca="1" si="77"/>
        <v>1508.0402980892461</v>
      </c>
      <c r="AM125" s="148">
        <f t="shared" ca="1" si="78"/>
        <v>723.85934308283822</v>
      </c>
      <c r="AN125" s="148">
        <f t="shared" ca="1" si="79"/>
        <v>90.482417885354778</v>
      </c>
      <c r="AO125" s="148">
        <f t="shared" ca="1" si="80"/>
        <v>180.96483577070956</v>
      </c>
      <c r="AP125" s="148">
        <f t="shared" ca="1" si="81"/>
        <v>22258.674799797274</v>
      </c>
      <c r="AQ125" s="148">
        <f t="shared" ca="1" si="82"/>
        <v>49852.571837661031</v>
      </c>
      <c r="AR125" s="17">
        <f t="shared" ca="1" si="83"/>
        <v>48988.09674481106</v>
      </c>
      <c r="AS125" s="148">
        <f t="shared" ca="1" si="84"/>
        <v>20844.757660037845</v>
      </c>
      <c r="AT125" s="48" t="str">
        <f>INDEX('stock fisico '!N:N, MATCH(B125, 'stock fisico '!B:B, 0))</f>
        <v>INFORMATICA</v>
      </c>
      <c r="AU125" s="46" t="str">
        <f>INDEX('stock fisico '!D:D, MATCH(B125, 'stock fisico '!B:B, 0))</f>
        <v>accesorios</v>
      </c>
      <c r="AV125" s="43" t="str">
        <f>INDEX('stock fisico '!L:L, MATCH(B125, 'stock fisico '!B:B, 0))</f>
        <v>Zalman</v>
      </c>
    </row>
    <row r="126" spans="1:48" x14ac:dyDescent="0.25">
      <c r="A126" s="48">
        <f>INDEX('stock fisico '!M:M, MATCH(B126, 'stock fisico '!B:B, 0))</f>
        <v>4050</v>
      </c>
      <c r="B126" s="47" t="s">
        <v>375</v>
      </c>
      <c r="C126" s="46" t="str">
        <f>INDEX('stock fisico '!C:C, MATCH(B126, 'stock fisico '!B:B, 0))</f>
        <v>CARGADOR INALAMBRICO CAR-39  INTCO  EAN:  NO TIENE</v>
      </c>
      <c r="D126" s="44">
        <f>INDEX('stock fisico '!I:I, MATCH(B126, 'stock fisico '!B:B, 0))</f>
        <v>12998.13</v>
      </c>
      <c r="E126" s="6">
        <f t="shared" ca="1" si="85"/>
        <v>15851.378048780487</v>
      </c>
      <c r="F126" s="148">
        <f t="shared" ca="1" si="45"/>
        <v>704.06820552893862</v>
      </c>
      <c r="G126" s="148">
        <f t="shared" ca="1" si="46"/>
        <v>429.11102509138368</v>
      </c>
      <c r="H126" s="148">
        <f t="shared" ca="1" si="47"/>
        <v>205.97329204386415</v>
      </c>
      <c r="I126" s="148">
        <f t="shared" ca="1" si="48"/>
        <v>25.746661505483019</v>
      </c>
      <c r="J126" s="148">
        <f t="shared" ca="1" si="49"/>
        <v>51.493323010966037</v>
      </c>
      <c r="K126" s="148">
        <f t="shared" ca="1" si="50"/>
        <v>17164.441003655345</v>
      </c>
      <c r="L126" s="32">
        <f t="shared" ca="1" si="51"/>
        <v>16812.912869364256</v>
      </c>
      <c r="M126" s="148">
        <f t="shared" ca="1" si="52"/>
        <v>851.94831770002918</v>
      </c>
      <c r="N126" s="148">
        <f t="shared" ca="1" si="53"/>
        <v>519.24005808285744</v>
      </c>
      <c r="O126" s="148">
        <f t="shared" ca="1" si="54"/>
        <v>249.2352278797716</v>
      </c>
      <c r="P126" s="148">
        <f t="shared" ca="1" si="55"/>
        <v>31.15440348497145</v>
      </c>
      <c r="Q126" s="148">
        <f t="shared" ca="1" si="56"/>
        <v>62.3088069699429</v>
      </c>
      <c r="R126" s="148">
        <f t="shared" ca="1" si="57"/>
        <v>3329.8864924853647</v>
      </c>
      <c r="S126" s="148">
        <f t="shared" ca="1" si="58"/>
        <v>20769.602323314299</v>
      </c>
      <c r="T126" s="28">
        <f t="shared" ca="1" si="59"/>
        <v>20344.756893815596</v>
      </c>
      <c r="U126" s="148">
        <f t="shared" ca="1" si="60"/>
        <v>984.7144675185109</v>
      </c>
      <c r="V126" s="148">
        <f t="shared" ca="1" si="61"/>
        <v>726.19061026438851</v>
      </c>
      <c r="W126" s="148">
        <f t="shared" ca="1" si="62"/>
        <v>348.5714929269065</v>
      </c>
      <c r="X126" s="148">
        <f t="shared" ca="1" si="63"/>
        <v>43.571436615863313</v>
      </c>
      <c r="Y126" s="148">
        <f t="shared" ca="1" si="64"/>
        <v>87.142873231726625</v>
      </c>
      <c r="Z126" s="148">
        <f t="shared" ca="1" si="65"/>
        <v>6317.8583093001807</v>
      </c>
      <c r="AA126" s="148">
        <f t="shared" ca="1" si="66"/>
        <v>24006.301165764911</v>
      </c>
      <c r="AB126" s="24">
        <f t="shared" ca="1" si="67"/>
        <v>23589.665191757813</v>
      </c>
      <c r="AC126" s="148">
        <f t="shared" ca="1" si="68"/>
        <v>1166.2905115199449</v>
      </c>
      <c r="AD126" s="148">
        <f t="shared" ca="1" si="69"/>
        <v>860.09624743358756</v>
      </c>
      <c r="AE126" s="148">
        <f t="shared" ca="1" si="70"/>
        <v>412.84619876812206</v>
      </c>
      <c r="AF126" s="148">
        <f t="shared" ca="1" si="71"/>
        <v>51.605774846015258</v>
      </c>
      <c r="AG126" s="148">
        <f t="shared" ca="1" si="72"/>
        <v>103.21154969203052</v>
      </c>
      <c r="AH126" s="148">
        <f t="shared" ca="1" si="73"/>
        <v>10407.164593946411</v>
      </c>
      <c r="AI126" s="148">
        <f t="shared" ca="1" si="74"/>
        <v>28432.933799457442</v>
      </c>
      <c r="AJ126" s="20">
        <f t="shared" ca="1" si="75"/>
        <v>27940.890902706997</v>
      </c>
      <c r="AK126" s="148">
        <f t="shared" ca="1" si="76"/>
        <v>1363.1177658112993</v>
      </c>
      <c r="AL126" s="148">
        <f t="shared" ca="1" si="77"/>
        <v>1005.2490898313417</v>
      </c>
      <c r="AM126" s="148">
        <f t="shared" ca="1" si="78"/>
        <v>482.51956311904399</v>
      </c>
      <c r="AN126" s="148">
        <f t="shared" ca="1" si="79"/>
        <v>60.314945389880499</v>
      </c>
      <c r="AO126" s="148">
        <f t="shared" ca="1" si="80"/>
        <v>120.629890779761</v>
      </c>
      <c r="AP126" s="148">
        <f t="shared" ca="1" si="81"/>
        <v>14837.476565910603</v>
      </c>
      <c r="AQ126" s="148">
        <f t="shared" ca="1" si="82"/>
        <v>33231.374870457577</v>
      </c>
      <c r="AR126" s="17">
        <f t="shared" ca="1" si="83"/>
        <v>32655.121834401194</v>
      </c>
      <c r="AS126" s="148">
        <f t="shared" ca="1" si="84"/>
        <v>13894.96931352418</v>
      </c>
      <c r="AT126" s="48" t="str">
        <f>INDEX('stock fisico '!N:N, MATCH(B126, 'stock fisico '!B:B, 0))</f>
        <v>MAS CATEGORIAS</v>
      </c>
      <c r="AU126" s="46" t="str">
        <f>INDEX('stock fisico '!D:D, MATCH(B126, 'stock fisico '!B:B, 0))</f>
        <v>Cargadores</v>
      </c>
      <c r="AV126" s="43" t="str">
        <f>INDEX('stock fisico '!L:L, MATCH(B126, 'stock fisico '!B:B, 0))</f>
        <v>Intco</v>
      </c>
    </row>
    <row r="127" spans="1:48" x14ac:dyDescent="0.25">
      <c r="A127" s="48">
        <f>INDEX('stock fisico '!M:M, MATCH(B127, 'stock fisico '!B:B, 0))</f>
        <v>9871</v>
      </c>
      <c r="B127" s="47" t="s">
        <v>1240</v>
      </c>
      <c r="C127" s="46" t="str">
        <f>INDEX('stock fisico '!C:C, MATCH(B127, 'stock fisico '!B:B, 0))</f>
        <v>HORNO ELECTRICO BGH BHE64M20AN PNH048317</v>
      </c>
      <c r="D127" s="44">
        <f>INDEX('stock fisico '!I:I, MATCH(B127, 'stock fisico '!B:B, 0))</f>
        <v>38659.5</v>
      </c>
      <c r="E127" s="6">
        <f t="shared" ca="1" si="85"/>
        <v>47145.731707317071</v>
      </c>
      <c r="F127" s="148">
        <f t="shared" ca="1" si="45"/>
        <v>2094.0646686597224</v>
      </c>
      <c r="G127" s="148">
        <f t="shared" ca="1" si="46"/>
        <v>1276.2772548451467</v>
      </c>
      <c r="H127" s="148">
        <f t="shared" ca="1" si="47"/>
        <v>612.61308232567035</v>
      </c>
      <c r="I127" s="148">
        <f t="shared" ca="1" si="48"/>
        <v>76.576635290708793</v>
      </c>
      <c r="J127" s="148">
        <f t="shared" ca="1" si="49"/>
        <v>153.15327058141759</v>
      </c>
      <c r="K127" s="148">
        <f t="shared" ca="1" si="50"/>
        <v>51051.09019380586</v>
      </c>
      <c r="L127" s="32">
        <f t="shared" ca="1" si="51"/>
        <v>50005.56272888388</v>
      </c>
      <c r="M127" s="148">
        <f t="shared" ca="1" si="52"/>
        <v>2533.8949516679922</v>
      </c>
      <c r="N127" s="148">
        <f t="shared" ca="1" si="53"/>
        <v>1544.342226570609</v>
      </c>
      <c r="O127" s="148">
        <f t="shared" ca="1" si="54"/>
        <v>741.28426875389232</v>
      </c>
      <c r="P127" s="148">
        <f t="shared" ca="1" si="55"/>
        <v>92.66053359423654</v>
      </c>
      <c r="Q127" s="148">
        <f t="shared" ca="1" si="56"/>
        <v>185.32106718847308</v>
      </c>
      <c r="R127" s="148">
        <f t="shared" ca="1" si="57"/>
        <v>9903.8666989973153</v>
      </c>
      <c r="S127" s="148">
        <f t="shared" ca="1" si="58"/>
        <v>61773.689062824356</v>
      </c>
      <c r="T127" s="28">
        <f t="shared" ca="1" si="59"/>
        <v>60510.098693924745</v>
      </c>
      <c r="U127" s="148">
        <f t="shared" ca="1" si="60"/>
        <v>2928.7727509289316</v>
      </c>
      <c r="V127" s="148">
        <f t="shared" ca="1" si="61"/>
        <v>2159.861910714551</v>
      </c>
      <c r="W127" s="148">
        <f t="shared" ca="1" si="62"/>
        <v>1036.7337171429847</v>
      </c>
      <c r="X127" s="148">
        <f t="shared" ca="1" si="63"/>
        <v>129.59171464287309</v>
      </c>
      <c r="Y127" s="148">
        <f t="shared" ca="1" si="64"/>
        <v>259.18342928574617</v>
      </c>
      <c r="Z127" s="148">
        <f t="shared" ca="1" si="65"/>
        <v>18790.798623216597</v>
      </c>
      <c r="AA127" s="148">
        <f t="shared" ca="1" si="66"/>
        <v>71400.393742629793</v>
      </c>
      <c r="AB127" s="24">
        <f t="shared" ca="1" si="67"/>
        <v>70161.220227891332</v>
      </c>
      <c r="AC127" s="148">
        <f t="shared" ca="1" si="68"/>
        <v>3468.8226714231437</v>
      </c>
      <c r="AD127" s="148">
        <f t="shared" ca="1" si="69"/>
        <v>2558.1288137338815</v>
      </c>
      <c r="AE127" s="148">
        <f t="shared" ca="1" si="70"/>
        <v>1227.9018305922632</v>
      </c>
      <c r="AF127" s="148">
        <f t="shared" ca="1" si="71"/>
        <v>153.4877288240329</v>
      </c>
      <c r="AG127" s="148">
        <f t="shared" ca="1" si="72"/>
        <v>306.9754576480658</v>
      </c>
      <c r="AH127" s="148">
        <f t="shared" ca="1" si="73"/>
        <v>30953.358646179968</v>
      </c>
      <c r="AI127" s="148">
        <f t="shared" ca="1" si="74"/>
        <v>84566.241776326671</v>
      </c>
      <c r="AJ127" s="20">
        <f t="shared" ca="1" si="75"/>
        <v>83102.790313160513</v>
      </c>
      <c r="AK127" s="148">
        <f t="shared" ca="1" si="76"/>
        <v>4054.2332833555229</v>
      </c>
      <c r="AL127" s="148">
        <f t="shared" ca="1" si="77"/>
        <v>2989.847554096993</v>
      </c>
      <c r="AM127" s="148">
        <f t="shared" ca="1" si="78"/>
        <v>1435.1268259665567</v>
      </c>
      <c r="AN127" s="148">
        <f t="shared" ca="1" si="79"/>
        <v>179.39085324581959</v>
      </c>
      <c r="AO127" s="148">
        <f t="shared" ca="1" si="80"/>
        <v>358.78170649163917</v>
      </c>
      <c r="AP127" s="148">
        <f t="shared" ca="1" si="81"/>
        <v>44130.149898471624</v>
      </c>
      <c r="AQ127" s="148">
        <f t="shared" ca="1" si="82"/>
        <v>98837.935672627878</v>
      </c>
      <c r="AR127" s="17">
        <f t="shared" ca="1" si="83"/>
        <v>97124.023421602411</v>
      </c>
      <c r="AS127" s="148">
        <f t="shared" ca="1" si="84"/>
        <v>41326.911346185028</v>
      </c>
      <c r="AT127" s="48" t="str">
        <f>INDEX('stock fisico '!N:N, MATCH(B127, 'stock fisico '!B:B, 0))</f>
        <v>ELECTRODOMESTICOS Y AIRES ACOND</v>
      </c>
      <c r="AU127" s="46" t="str">
        <f>INDEX('stock fisico '!D:D, MATCH(B127, 'stock fisico '!B:B, 0))</f>
        <v>Horno</v>
      </c>
      <c r="AV127" s="43" t="str">
        <f>INDEX('stock fisico '!L:L, MATCH(B127, 'stock fisico '!B:B, 0))</f>
        <v>Bgh</v>
      </c>
    </row>
    <row r="128" spans="1:48" x14ac:dyDescent="0.25">
      <c r="A128" s="48">
        <f>INDEX('stock fisico '!M:M, MATCH(B128, 'stock fisico '!B:B, 0))</f>
        <v>3604</v>
      </c>
      <c r="B128" s="47" t="s">
        <v>429</v>
      </c>
      <c r="C128" s="46" t="str">
        <f>INDEX('stock fisico '!C:C, MATCH(B128, 'stock fisico '!B:B, 0))</f>
        <v>CABLE ALARGUE USB 2.0 1.8MT NM-C09 1.8  NETMAK   EAN:  7792641880099</v>
      </c>
      <c r="D128" s="44">
        <f>INDEX('stock fisico '!I:I, MATCH(B128, 'stock fisico '!B:B, 0))</f>
        <v>1950</v>
      </c>
      <c r="E128" s="6">
        <f t="shared" ca="1" si="85"/>
        <v>2378.0487804878048</v>
      </c>
      <c r="F128" s="148">
        <f t="shared" ca="1" si="45"/>
        <v>105.62542464042369</v>
      </c>
      <c r="G128" s="148">
        <f t="shared" ca="1" si="46"/>
        <v>64.375913991335537</v>
      </c>
      <c r="H128" s="148">
        <f t="shared" ca="1" si="47"/>
        <v>30.900438715841055</v>
      </c>
      <c r="I128" s="148">
        <f t="shared" ca="1" si="48"/>
        <v>3.8625548394801319</v>
      </c>
      <c r="J128" s="148">
        <f t="shared" ca="1" si="49"/>
        <v>7.7251096789602638</v>
      </c>
      <c r="K128" s="148">
        <f t="shared" ca="1" si="50"/>
        <v>2575.0365596534211</v>
      </c>
      <c r="L128" s="32">
        <f t="shared" ca="1" si="51"/>
        <v>2522.2997535230297</v>
      </c>
      <c r="M128" s="148">
        <f t="shared" ca="1" si="52"/>
        <v>127.81063272294222</v>
      </c>
      <c r="N128" s="148">
        <f t="shared" ca="1" si="53"/>
        <v>77.89721392704736</v>
      </c>
      <c r="O128" s="148">
        <f t="shared" ca="1" si="54"/>
        <v>37.390662684982729</v>
      </c>
      <c r="P128" s="148">
        <f t="shared" ca="1" si="55"/>
        <v>4.6738328356228411</v>
      </c>
      <c r="Q128" s="148">
        <f t="shared" ca="1" si="56"/>
        <v>9.3476656712456823</v>
      </c>
      <c r="R128" s="148">
        <f t="shared" ca="1" si="57"/>
        <v>499.5548329141547</v>
      </c>
      <c r="S128" s="148">
        <f t="shared" ca="1" si="58"/>
        <v>3115.8885570818943</v>
      </c>
      <c r="T128" s="28">
        <f t="shared" ca="1" si="59"/>
        <v>3052.1525744811302</v>
      </c>
      <c r="U128" s="148">
        <f t="shared" ca="1" si="60"/>
        <v>147.72842029284953</v>
      </c>
      <c r="V128" s="148">
        <f t="shared" ca="1" si="61"/>
        <v>108.94426275283888</v>
      </c>
      <c r="W128" s="148">
        <f t="shared" ca="1" si="62"/>
        <v>52.293246121362664</v>
      </c>
      <c r="X128" s="148">
        <f t="shared" ca="1" si="63"/>
        <v>6.536655765170333</v>
      </c>
      <c r="Y128" s="148">
        <f t="shared" ca="1" si="64"/>
        <v>13.073311530340666</v>
      </c>
      <c r="Z128" s="148">
        <f t="shared" ca="1" si="65"/>
        <v>947.8150859496983</v>
      </c>
      <c r="AA128" s="148">
        <f t="shared" ca="1" si="66"/>
        <v>3601.4632314988062</v>
      </c>
      <c r="AB128" s="24">
        <f t="shared" ca="1" si="67"/>
        <v>3538.9588443820558</v>
      </c>
      <c r="AC128" s="148">
        <f t="shared" ca="1" si="68"/>
        <v>174.9687453090477</v>
      </c>
      <c r="AD128" s="148">
        <f t="shared" ca="1" si="69"/>
        <v>129.03299801552191</v>
      </c>
      <c r="AE128" s="148">
        <f t="shared" ca="1" si="70"/>
        <v>61.935839047450514</v>
      </c>
      <c r="AF128" s="148">
        <f t="shared" ca="1" si="71"/>
        <v>7.7419798809313143</v>
      </c>
      <c r="AG128" s="148">
        <f t="shared" ca="1" si="72"/>
        <v>15.483959761862629</v>
      </c>
      <c r="AH128" s="148">
        <f t="shared" ca="1" si="73"/>
        <v>1561.299275987815</v>
      </c>
      <c r="AI128" s="148">
        <f t="shared" ca="1" si="74"/>
        <v>4265.5536534056828</v>
      </c>
      <c r="AJ128" s="20">
        <f t="shared" ca="1" si="75"/>
        <v>4191.7366005939803</v>
      </c>
      <c r="AK128" s="148">
        <f t="shared" ca="1" si="76"/>
        <v>204.49708099026813</v>
      </c>
      <c r="AL128" s="148">
        <f t="shared" ca="1" si="77"/>
        <v>150.80905677748387</v>
      </c>
      <c r="AM128" s="148">
        <f t="shared" ca="1" si="78"/>
        <v>72.388347253192251</v>
      </c>
      <c r="AN128" s="148">
        <f t="shared" ca="1" si="79"/>
        <v>9.0485434066490313</v>
      </c>
      <c r="AO128" s="148">
        <f t="shared" ca="1" si="80"/>
        <v>18.097086813298063</v>
      </c>
      <c r="AP128" s="148">
        <f t="shared" ca="1" si="81"/>
        <v>2225.9416780356619</v>
      </c>
      <c r="AQ128" s="148">
        <f t="shared" ca="1" si="82"/>
        <v>4985.4233645449212</v>
      </c>
      <c r="AR128" s="17">
        <f t="shared" ca="1" si="83"/>
        <v>4898.9729735802248</v>
      </c>
      <c r="AS128" s="148">
        <f t="shared" ca="1" si="84"/>
        <v>2084.5452508454791</v>
      </c>
      <c r="AT128" s="48" t="str">
        <f>INDEX('stock fisico '!N:N, MATCH(B128, 'stock fisico '!B:B, 0))</f>
        <v>MAS CATEGORIAS</v>
      </c>
      <c r="AU128" s="46" t="str">
        <f>INDEX('stock fisico '!D:D, MATCH(B128, 'stock fisico '!B:B, 0))</f>
        <v>Cables</v>
      </c>
      <c r="AV128" s="43" t="str">
        <f>INDEX('stock fisico '!L:L, MATCH(B128, 'stock fisico '!B:B, 0))</f>
        <v>Netmak</v>
      </c>
    </row>
    <row r="129" spans="1:48" x14ac:dyDescent="0.25">
      <c r="A129" s="48">
        <f>INDEX('stock fisico '!M:M, MATCH(B129, 'stock fisico '!B:B, 0))</f>
        <v>3631</v>
      </c>
      <c r="B129" s="47" t="s">
        <v>331</v>
      </c>
      <c r="C129" s="46" t="str">
        <f>INDEX('stock fisico '!C:C, MATCH(B129, 'stock fisico '!B:B, 0))</f>
        <v>CABLE HDMI A VGA 1.5 METROS  TL-HDMIVGA  T-LINE  EAN:  NO TIENE</v>
      </c>
      <c r="D129" s="44">
        <f>INDEX('stock fisico '!I:I, MATCH(B129, 'stock fisico '!B:B, 0))</f>
        <v>3639.99</v>
      </c>
      <c r="E129" s="6">
        <f t="shared" ca="1" si="85"/>
        <v>4439.0121951219508</v>
      </c>
      <c r="F129" s="148">
        <f t="shared" ca="1" si="45"/>
        <v>197.16691765994656</v>
      </c>
      <c r="G129" s="148">
        <f t="shared" ca="1" si="46"/>
        <v>120.16804265093407</v>
      </c>
      <c r="H129" s="148">
        <f t="shared" ca="1" si="47"/>
        <v>57.680660472448352</v>
      </c>
      <c r="I129" s="148">
        <f t="shared" ca="1" si="48"/>
        <v>7.210082559056044</v>
      </c>
      <c r="J129" s="148">
        <f t="shared" ca="1" si="49"/>
        <v>14.420165118112088</v>
      </c>
      <c r="K129" s="148">
        <f t="shared" ca="1" si="50"/>
        <v>4806.7217060373623</v>
      </c>
      <c r="L129" s="32">
        <f t="shared" ca="1" si="51"/>
        <v>4708.2799383724578</v>
      </c>
      <c r="M129" s="148">
        <f t="shared" ca="1" si="52"/>
        <v>238.57919231034998</v>
      </c>
      <c r="N129" s="148">
        <f t="shared" ca="1" si="53"/>
        <v>145.4077331909298</v>
      </c>
      <c r="O129" s="148">
        <f t="shared" ca="1" si="54"/>
        <v>69.795711931646309</v>
      </c>
      <c r="P129" s="148">
        <f t="shared" ca="1" si="55"/>
        <v>8.7244639914557887</v>
      </c>
      <c r="Q129" s="148">
        <f t="shared" ca="1" si="56"/>
        <v>17.448927982911577</v>
      </c>
      <c r="R129" s="148">
        <f t="shared" ca="1" si="57"/>
        <v>932.4997929534328</v>
      </c>
      <c r="S129" s="148">
        <f t="shared" ca="1" si="58"/>
        <v>5816.3093276371919</v>
      </c>
      <c r="T129" s="28">
        <f t="shared" ca="1" si="59"/>
        <v>5697.3358203002917</v>
      </c>
      <c r="U129" s="148">
        <f t="shared" ca="1" si="60"/>
        <v>275.75896029834325</v>
      </c>
      <c r="V129" s="148">
        <f t="shared" ca="1" si="61"/>
        <v>203.3620651167723</v>
      </c>
      <c r="W129" s="148">
        <f t="shared" ca="1" si="62"/>
        <v>97.613791256050703</v>
      </c>
      <c r="X129" s="148">
        <f t="shared" ca="1" si="63"/>
        <v>12.201723907006338</v>
      </c>
      <c r="Y129" s="148">
        <f t="shared" ca="1" si="64"/>
        <v>24.403447814012676</v>
      </c>
      <c r="Z129" s="148">
        <f t="shared" ca="1" si="65"/>
        <v>1769.2499665159189</v>
      </c>
      <c r="AA129" s="148">
        <f t="shared" ca="1" si="66"/>
        <v>6722.7128964222247</v>
      </c>
      <c r="AB129" s="24">
        <f t="shared" ca="1" si="67"/>
        <v>6606.0383610062763</v>
      </c>
      <c r="AC129" s="148">
        <f t="shared" ca="1" si="68"/>
        <v>326.60742730127208</v>
      </c>
      <c r="AD129" s="148">
        <f t="shared" ca="1" si="69"/>
        <v>240.86093458795875</v>
      </c>
      <c r="AE129" s="148">
        <f t="shared" ca="1" si="70"/>
        <v>115.6132486022202</v>
      </c>
      <c r="AF129" s="148">
        <f t="shared" ca="1" si="71"/>
        <v>14.451656075277524</v>
      </c>
      <c r="AG129" s="148">
        <f t="shared" ca="1" si="72"/>
        <v>28.903312150555049</v>
      </c>
      <c r="AH129" s="148">
        <f t="shared" ca="1" si="73"/>
        <v>2914.4173085143007</v>
      </c>
      <c r="AI129" s="148">
        <f t="shared" ca="1" si="74"/>
        <v>7962.3449450564876</v>
      </c>
      <c r="AJ129" s="20">
        <f t="shared" ca="1" si="75"/>
        <v>7824.5534916902989</v>
      </c>
      <c r="AK129" s="148">
        <f t="shared" ca="1" si="76"/>
        <v>381.72683581218769</v>
      </c>
      <c r="AL129" s="148">
        <f t="shared" ca="1" si="77"/>
        <v>281.50946593819151</v>
      </c>
      <c r="AM129" s="148">
        <f t="shared" ca="1" si="78"/>
        <v>135.12454365033193</v>
      </c>
      <c r="AN129" s="148">
        <f t="shared" ca="1" si="79"/>
        <v>16.890567956291491</v>
      </c>
      <c r="AO129" s="148">
        <f t="shared" ca="1" si="80"/>
        <v>33.781135912582982</v>
      </c>
      <c r="AP129" s="148">
        <f t="shared" ca="1" si="81"/>
        <v>4155.0797172477069</v>
      </c>
      <c r="AQ129" s="148">
        <f t="shared" ca="1" si="82"/>
        <v>9306.0980475435208</v>
      </c>
      <c r="AR129" s="17">
        <f t="shared" ca="1" si="83"/>
        <v>9144.7244277447608</v>
      </c>
      <c r="AS129" s="148">
        <f t="shared" ca="1" si="84"/>
        <v>3891.1404449359156</v>
      </c>
      <c r="AT129" s="48" t="str">
        <f>INDEX('stock fisico '!N:N, MATCH(B129, 'stock fisico '!B:B, 0))</f>
        <v>MAS CATEGORIAS</v>
      </c>
      <c r="AU129" s="46" t="str">
        <f>INDEX('stock fisico '!D:D, MATCH(B129, 'stock fisico '!B:B, 0))</f>
        <v>Cables</v>
      </c>
      <c r="AV129" s="43" t="str">
        <f>INDEX('stock fisico '!L:L, MATCH(B129, 'stock fisico '!B:B, 0))</f>
        <v>Tline</v>
      </c>
    </row>
    <row r="130" spans="1:48" x14ac:dyDescent="0.25">
      <c r="A130" s="48">
        <f>INDEX('stock fisico '!M:M, MATCH(B130, 'stock fisico '!B:B, 0))</f>
        <v>6320</v>
      </c>
      <c r="B130" s="47" t="s">
        <v>221</v>
      </c>
      <c r="C130" s="46" t="str">
        <f>INDEX('stock fisico '!C:C, MATCH(B130, 'stock fisico '!B:B, 0))</f>
        <v>PAD MOUSE GEL RED NM-PGEL-R NETMAK  EAN:  0700306602990</v>
      </c>
      <c r="D130" s="44">
        <f>INDEX('stock fisico '!I:I, MATCH(B130, 'stock fisico '!B:B, 0))</f>
        <v>2390.46</v>
      </c>
      <c r="E130" s="6">
        <f t="shared" ca="1" si="85"/>
        <v>2915.1951219512198</v>
      </c>
      <c r="F130" s="148">
        <f t="shared" ca="1" si="45"/>
        <v>129.48377055689602</v>
      </c>
      <c r="G130" s="148">
        <f t="shared" ca="1" si="46"/>
        <v>78.916947363963061</v>
      </c>
      <c r="H130" s="148">
        <f t="shared" ca="1" si="47"/>
        <v>37.880134734702267</v>
      </c>
      <c r="I130" s="148">
        <f t="shared" ca="1" si="48"/>
        <v>4.7350168418377834</v>
      </c>
      <c r="J130" s="148">
        <f t="shared" ca="1" si="49"/>
        <v>9.4700336836755667</v>
      </c>
      <c r="K130" s="148">
        <f t="shared" ca="1" si="50"/>
        <v>3156.677894558522</v>
      </c>
      <c r="L130" s="32">
        <f t="shared" ca="1" si="51"/>
        <v>3092.0290609264935</v>
      </c>
      <c r="M130" s="148">
        <f t="shared" ca="1" si="52"/>
        <v>156.68010517891514</v>
      </c>
      <c r="N130" s="148">
        <f t="shared" ca="1" si="53"/>
        <v>95.492396925153685</v>
      </c>
      <c r="O130" s="148">
        <f t="shared" ca="1" si="54"/>
        <v>45.836350524073765</v>
      </c>
      <c r="P130" s="148">
        <f t="shared" ca="1" si="55"/>
        <v>5.7295438155092207</v>
      </c>
      <c r="Q130" s="148">
        <f t="shared" ca="1" si="56"/>
        <v>11.459087631018441</v>
      </c>
      <c r="R130" s="148">
        <f t="shared" ca="1" si="57"/>
        <v>612.39274148101049</v>
      </c>
      <c r="S130" s="148">
        <f t="shared" ca="1" si="58"/>
        <v>3819.6958770061469</v>
      </c>
      <c r="T130" s="28">
        <f t="shared" ca="1" si="59"/>
        <v>3741.5634067662377</v>
      </c>
      <c r="U130" s="148">
        <f t="shared" ca="1" si="60"/>
        <v>181.09686131961291</v>
      </c>
      <c r="V130" s="148">
        <f t="shared" ca="1" si="61"/>
        <v>133.55225761033401</v>
      </c>
      <c r="W130" s="148">
        <f t="shared" ca="1" si="62"/>
        <v>64.105083652960317</v>
      </c>
      <c r="X130" s="148">
        <f t="shared" ca="1" si="63"/>
        <v>8.0131354566200397</v>
      </c>
      <c r="Y130" s="148">
        <f t="shared" ca="1" si="64"/>
        <v>16.026270913240079</v>
      </c>
      <c r="Z130" s="148">
        <f t="shared" ca="1" si="65"/>
        <v>1161.9046412099058</v>
      </c>
      <c r="AA130" s="148">
        <f t="shared" ca="1" si="66"/>
        <v>4414.9506648044298</v>
      </c>
      <c r="AB130" s="24">
        <f t="shared" ca="1" si="67"/>
        <v>4338.3279790469387</v>
      </c>
      <c r="AC130" s="148">
        <f t="shared" ca="1" si="68"/>
        <v>214.49014713408525</v>
      </c>
      <c r="AD130" s="148">
        <f t="shared" ca="1" si="69"/>
        <v>158.17857458265874</v>
      </c>
      <c r="AE130" s="148">
        <f t="shared" ca="1" si="70"/>
        <v>75.925715799676198</v>
      </c>
      <c r="AF130" s="148">
        <f t="shared" ca="1" si="71"/>
        <v>9.4907144749595247</v>
      </c>
      <c r="AG130" s="148">
        <f t="shared" ca="1" si="72"/>
        <v>18.981428949919049</v>
      </c>
      <c r="AH130" s="148">
        <f t="shared" ca="1" si="73"/>
        <v>1913.9607524501707</v>
      </c>
      <c r="AI130" s="148">
        <f t="shared" ca="1" si="74"/>
        <v>5229.0437878564871</v>
      </c>
      <c r="AJ130" s="20">
        <f t="shared" ca="1" si="75"/>
        <v>5138.5531662850717</v>
      </c>
      <c r="AK130" s="148">
        <f t="shared" ca="1" si="76"/>
        <v>250.68825242256224</v>
      </c>
      <c r="AL130" s="148">
        <f t="shared" ca="1" si="77"/>
        <v>184.87334249451493</v>
      </c>
      <c r="AM130" s="148">
        <f t="shared" ca="1" si="78"/>
        <v>88.739204397367175</v>
      </c>
      <c r="AN130" s="148">
        <f t="shared" ca="1" si="79"/>
        <v>11.092400549670897</v>
      </c>
      <c r="AO130" s="148">
        <f t="shared" ca="1" si="80"/>
        <v>22.184801099341794</v>
      </c>
      <c r="AP130" s="148">
        <f t="shared" ca="1" si="81"/>
        <v>2728.7305352190406</v>
      </c>
      <c r="AQ130" s="148">
        <f t="shared" ca="1" si="82"/>
        <v>6111.5154543641302</v>
      </c>
      <c r="AR130" s="17">
        <f t="shared" ca="1" si="83"/>
        <v>6005.5379150895315</v>
      </c>
      <c r="AS130" s="148">
        <f t="shared" ca="1" si="84"/>
        <v>2555.3959181210689</v>
      </c>
      <c r="AT130" s="48" t="str">
        <f>INDEX('stock fisico '!N:N, MATCH(B130, 'stock fisico '!B:B, 0))</f>
        <v>INFORMATICA</v>
      </c>
      <c r="AU130" s="46" t="str">
        <f>INDEX('stock fisico '!D:D, MATCH(B130, 'stock fisico '!B:B, 0))</f>
        <v>PAD MOUSE</v>
      </c>
      <c r="AV130" s="43" t="str">
        <f>INDEX('stock fisico '!L:L, MATCH(B130, 'stock fisico '!B:B, 0))</f>
        <v>Netmak</v>
      </c>
    </row>
    <row r="131" spans="1:48" x14ac:dyDescent="0.25">
      <c r="A131" s="48">
        <f>INDEX('stock fisico '!M:M, MATCH(B131, 'stock fisico '!B:B, 0))</f>
        <v>3937</v>
      </c>
      <c r="B131" s="47" t="s">
        <v>259</v>
      </c>
      <c r="C131" s="46" t="str">
        <f>INDEX('stock fisico '!C:C, MATCH(B131, 'stock fisico '!B:B, 0))</f>
        <v>CALOVENTOR CFH510 DUAL HOT COLOR BLANCO LILIANA  EAN:  7793862009696</v>
      </c>
      <c r="D131" s="44">
        <f>INDEX('stock fisico '!I:I, MATCH(B131, 'stock fisico '!B:B, 0))</f>
        <v>35577.35</v>
      </c>
      <c r="E131" s="6">
        <f t="shared" ca="1" si="85"/>
        <v>43387.012195121948</v>
      </c>
      <c r="F131" s="148">
        <f t="shared" ca="1" si="45"/>
        <v>1927.1142058107578</v>
      </c>
      <c r="G131" s="148">
        <f t="shared" ca="1" si="46"/>
        <v>1174.5253454562262</v>
      </c>
      <c r="H131" s="148">
        <f t="shared" ca="1" si="47"/>
        <v>563.77216581898858</v>
      </c>
      <c r="I131" s="148">
        <f t="shared" ca="1" si="48"/>
        <v>70.471520727373573</v>
      </c>
      <c r="J131" s="148">
        <f t="shared" ca="1" si="49"/>
        <v>140.94304145474715</v>
      </c>
      <c r="K131" s="148">
        <f t="shared" ca="1" si="50"/>
        <v>46981.013818249048</v>
      </c>
      <c r="L131" s="32">
        <f t="shared" ca="1" si="51"/>
        <v>46018.841608206443</v>
      </c>
      <c r="M131" s="148">
        <f t="shared" ca="1" si="52"/>
        <v>2331.8787764643939</v>
      </c>
      <c r="N131" s="148">
        <f t="shared" ca="1" si="53"/>
        <v>1421.2186891833016</v>
      </c>
      <c r="O131" s="148">
        <f t="shared" ca="1" si="54"/>
        <v>682.18497080798477</v>
      </c>
      <c r="P131" s="148">
        <f t="shared" ca="1" si="55"/>
        <v>85.273121350998096</v>
      </c>
      <c r="Q131" s="148">
        <f t="shared" ca="1" si="56"/>
        <v>170.54624270199619</v>
      </c>
      <c r="R131" s="148">
        <f t="shared" ca="1" si="57"/>
        <v>9114.2754537325127</v>
      </c>
      <c r="S131" s="148">
        <f t="shared" ca="1" si="58"/>
        <v>56848.747567332066</v>
      </c>
      <c r="T131" s="28">
        <f t="shared" ca="1" si="59"/>
        <v>55685.897638828836</v>
      </c>
      <c r="U131" s="148">
        <f t="shared" ca="1" si="60"/>
        <v>2695.2747249773383</v>
      </c>
      <c r="V131" s="148">
        <f t="shared" ca="1" si="61"/>
        <v>1987.6657263844679</v>
      </c>
      <c r="W131" s="148">
        <f t="shared" ca="1" si="62"/>
        <v>954.07954866454463</v>
      </c>
      <c r="X131" s="148">
        <f t="shared" ca="1" si="63"/>
        <v>119.25994358306808</v>
      </c>
      <c r="Y131" s="148">
        <f t="shared" ca="1" si="64"/>
        <v>238.51988716613616</v>
      </c>
      <c r="Z131" s="148">
        <f t="shared" ca="1" si="65"/>
        <v>17292.691819544871</v>
      </c>
      <c r="AA131" s="148">
        <f t="shared" ca="1" si="66"/>
        <v>65707.957897007203</v>
      </c>
      <c r="AB131" s="24">
        <f t="shared" ca="1" si="67"/>
        <v>64567.578175474839</v>
      </c>
      <c r="AC131" s="148">
        <f t="shared" ca="1" si="68"/>
        <v>3192.2688671388969</v>
      </c>
      <c r="AD131" s="148">
        <f t="shared" ca="1" si="69"/>
        <v>2354.1805804859118</v>
      </c>
      <c r="AE131" s="148">
        <f t="shared" ca="1" si="70"/>
        <v>1130.0066786332379</v>
      </c>
      <c r="AF131" s="148">
        <f t="shared" ca="1" si="71"/>
        <v>141.25083482915474</v>
      </c>
      <c r="AG131" s="148">
        <f t="shared" ca="1" si="72"/>
        <v>282.50166965830948</v>
      </c>
      <c r="AH131" s="148">
        <f t="shared" ca="1" si="73"/>
        <v>28485.585023879536</v>
      </c>
      <c r="AI131" s="148">
        <f t="shared" ca="1" si="74"/>
        <v>77824.151421021888</v>
      </c>
      <c r="AJ131" s="20">
        <f t="shared" ca="1" si="75"/>
        <v>76477.374434431928</v>
      </c>
      <c r="AK131" s="148">
        <f t="shared" ca="1" si="76"/>
        <v>3731.0072945482639</v>
      </c>
      <c r="AL131" s="148">
        <f t="shared" ca="1" si="77"/>
        <v>2751.4803057140589</v>
      </c>
      <c r="AM131" s="148">
        <f t="shared" ca="1" si="78"/>
        <v>1320.7105467427482</v>
      </c>
      <c r="AN131" s="148">
        <f t="shared" ca="1" si="79"/>
        <v>165.08881834284352</v>
      </c>
      <c r="AO131" s="148">
        <f t="shared" ca="1" si="80"/>
        <v>330.17763668568705</v>
      </c>
      <c r="AP131" s="148">
        <f t="shared" ca="1" si="81"/>
        <v>40611.849312339509</v>
      </c>
      <c r="AQ131" s="148">
        <f t="shared" ca="1" si="82"/>
        <v>90958.026635175498</v>
      </c>
      <c r="AR131" s="17">
        <f t="shared" ca="1" si="83"/>
        <v>89380.756985438158</v>
      </c>
      <c r="AS131" s="148">
        <f t="shared" ca="1" si="84"/>
        <v>38032.100502649955</v>
      </c>
      <c r="AT131" s="48" t="str">
        <f>INDEX('stock fisico '!N:N, MATCH(B131, 'stock fisico '!B:B, 0))</f>
        <v>ELECTRODOMESTICOS Y AIRES ACOND</v>
      </c>
      <c r="AU131" s="46" t="str">
        <f>INDEX('stock fisico '!D:D, MATCH(B131, 'stock fisico '!B:B, 0))</f>
        <v>Estufas y Calefactores Eléctricos</v>
      </c>
      <c r="AV131" s="43" t="str">
        <f>INDEX('stock fisico '!L:L, MATCH(B131, 'stock fisico '!B:B, 0))</f>
        <v>Liliana</v>
      </c>
    </row>
    <row r="132" spans="1:48" x14ac:dyDescent="0.25">
      <c r="A132" s="48">
        <f>INDEX('stock fisico '!M:M, MATCH(B132, 'stock fisico '!B:B, 0))</f>
        <v>9939</v>
      </c>
      <c r="B132" s="47" t="s">
        <v>1402</v>
      </c>
      <c r="C132" s="46" t="str">
        <f>INDEX('stock fisico '!C:C, MATCH(B132, 'stock fisico '!B:B, 0))</f>
        <v xml:space="preserve">TOSTADORA ELECTRICA AIWA AWK-TO700B 700 W BLANCA EAN </v>
      </c>
      <c r="D132" s="44">
        <f>INDEX('stock fisico '!I:I, MATCH(B132, 'stock fisico '!B:B, 0))</f>
        <v>17433.830000000002</v>
      </c>
      <c r="E132" s="6">
        <f t="shared" ca="1" si="85"/>
        <v>21260.768292682929</v>
      </c>
      <c r="F132" s="148">
        <f t="shared" ca="1" si="45"/>
        <v>944.33625479946556</v>
      </c>
      <c r="G132" s="148">
        <f t="shared" ca="1" si="46"/>
        <v>575.54807211259765</v>
      </c>
      <c r="H132" s="148">
        <f t="shared" ca="1" si="47"/>
        <v>276.26307461404684</v>
      </c>
      <c r="I132" s="148">
        <f t="shared" ca="1" si="48"/>
        <v>34.532884326755855</v>
      </c>
      <c r="J132" s="148">
        <f t="shared" ca="1" si="49"/>
        <v>69.065768653511711</v>
      </c>
      <c r="K132" s="148">
        <f t="shared" ca="1" si="50"/>
        <v>23021.922884503903</v>
      </c>
      <c r="L132" s="32">
        <f t="shared" ca="1" si="51"/>
        <v>22550.433390749953</v>
      </c>
      <c r="M132" s="148">
        <f t="shared" ca="1" si="52"/>
        <v>1142.6814579919037</v>
      </c>
      <c r="N132" s="148">
        <f t="shared" ca="1" si="53"/>
        <v>696.4342487578341</v>
      </c>
      <c r="O132" s="148">
        <f t="shared" ca="1" si="54"/>
        <v>334.28843940376032</v>
      </c>
      <c r="P132" s="148">
        <f t="shared" ca="1" si="55"/>
        <v>41.78605492547004</v>
      </c>
      <c r="Q132" s="148">
        <f t="shared" ca="1" si="56"/>
        <v>83.57210985094008</v>
      </c>
      <c r="R132" s="148">
        <f t="shared" ca="1" si="57"/>
        <v>4466.2328372839893</v>
      </c>
      <c r="S132" s="148">
        <f t="shared" ca="1" si="58"/>
        <v>27857.369950313361</v>
      </c>
      <c r="T132" s="28">
        <f t="shared" ca="1" si="59"/>
        <v>27287.543137213521</v>
      </c>
      <c r="U132" s="148">
        <f t="shared" ca="1" si="60"/>
        <v>1320.7549566944047</v>
      </c>
      <c r="V132" s="148">
        <f t="shared" ca="1" si="61"/>
        <v>974.0080801581156</v>
      </c>
      <c r="W132" s="148">
        <f t="shared" ca="1" si="62"/>
        <v>467.52387847589546</v>
      </c>
      <c r="X132" s="148">
        <f t="shared" ca="1" si="63"/>
        <v>58.440484809486932</v>
      </c>
      <c r="Y132" s="148">
        <f t="shared" ca="1" si="64"/>
        <v>116.88096961897386</v>
      </c>
      <c r="Z132" s="148">
        <f t="shared" ca="1" si="65"/>
        <v>8473.8702973756044</v>
      </c>
      <c r="AA132" s="148">
        <f t="shared" ca="1" si="66"/>
        <v>32198.614220102994</v>
      </c>
      <c r="AB132" s="24">
        <f t="shared" ca="1" si="67"/>
        <v>31639.798394847807</v>
      </c>
      <c r="AC132" s="148">
        <f t="shared" ca="1" si="68"/>
        <v>1564.2950569390953</v>
      </c>
      <c r="AD132" s="148">
        <f t="shared" ca="1" si="69"/>
        <v>1153.6099239963828</v>
      </c>
      <c r="AE132" s="148">
        <f t="shared" ca="1" si="70"/>
        <v>553.73276351826382</v>
      </c>
      <c r="AF132" s="148">
        <f t="shared" ca="1" si="71"/>
        <v>69.216595439782978</v>
      </c>
      <c r="AG132" s="148">
        <f t="shared" ca="1" si="72"/>
        <v>138.43319087956596</v>
      </c>
      <c r="AH132" s="148">
        <f t="shared" ca="1" si="73"/>
        <v>13958.680080356233</v>
      </c>
      <c r="AI132" s="148">
        <f t="shared" ca="1" si="74"/>
        <v>38135.865256078774</v>
      </c>
      <c r="AJ132" s="20">
        <f t="shared" ca="1" si="75"/>
        <v>37475.909384376086</v>
      </c>
      <c r="AK132" s="148">
        <f t="shared" ca="1" si="76"/>
        <v>1828.2909464002905</v>
      </c>
      <c r="AL132" s="148">
        <f t="shared" ca="1" si="77"/>
        <v>1348.2971581123086</v>
      </c>
      <c r="AM132" s="148">
        <f t="shared" ca="1" si="78"/>
        <v>647.18263589390813</v>
      </c>
      <c r="AN132" s="148">
        <f t="shared" ca="1" si="79"/>
        <v>80.897829486738516</v>
      </c>
      <c r="AO132" s="148">
        <f t="shared" ca="1" si="80"/>
        <v>161.79565897347703</v>
      </c>
      <c r="AP132" s="148">
        <f t="shared" ca="1" si="81"/>
        <v>19900.866053737675</v>
      </c>
      <c r="AQ132" s="148">
        <f t="shared" ca="1" si="82"/>
        <v>44571.806879745738</v>
      </c>
      <c r="AR132" s="17">
        <f t="shared" ca="1" si="83"/>
        <v>43798.903587688284</v>
      </c>
      <c r="AS132" s="148">
        <f t="shared" ca="1" si="84"/>
        <v>18636.72181053715</v>
      </c>
      <c r="AT132" s="48" t="str">
        <f>INDEX('stock fisico '!N:N, MATCH(B132, 'stock fisico '!B:B, 0))</f>
        <v>ELECTRODOMESTICOS Y AIRES ACOND</v>
      </c>
      <c r="AU132" s="46" t="str">
        <f>INDEX('stock fisico '!D:D, MATCH(B132, 'stock fisico '!B:B, 0))</f>
        <v xml:space="preserve">Pequeños Electrodomesticos </v>
      </c>
      <c r="AV132" s="43" t="str">
        <f>INDEX('stock fisico '!L:L, MATCH(B132, 'stock fisico '!B:B, 0))</f>
        <v>AIWA</v>
      </c>
    </row>
    <row r="133" spans="1:48" x14ac:dyDescent="0.25">
      <c r="A133" s="48">
        <f>INDEX('stock fisico '!M:M, MATCH(B133, 'stock fisico '!B:B, 0))</f>
        <v>3636</v>
      </c>
      <c r="B133" s="47" t="s">
        <v>448</v>
      </c>
      <c r="C133" s="46" t="str">
        <f>INDEX('stock fisico '!C:C, MATCH(B133, 'stock fisico '!B:B, 0))</f>
        <v>CABLE HDMI FLAT 4K 2.5 METROS T-LINE  EAN: NO TIENE</v>
      </c>
      <c r="D133" s="44">
        <f>INDEX('stock fisico '!I:I, MATCH(B133, 'stock fisico '!B:B, 0))</f>
        <v>3835</v>
      </c>
      <c r="E133" s="6">
        <f t="shared" ca="1" si="85"/>
        <v>4676.8292682926831</v>
      </c>
      <c r="F133" s="148">
        <f t="shared" ref="F133:F196" ca="1" si="86">K133*$F$3</f>
        <v>207.73000179283326</v>
      </c>
      <c r="G133" s="148">
        <f t="shared" ref="G133:G196" ca="1" si="87">K133*$G$2</f>
        <v>126.60596418295989</v>
      </c>
      <c r="H133" s="148">
        <f t="shared" ref="H133:H196" ca="1" si="88">K133*$H$2</f>
        <v>60.770862807820748</v>
      </c>
      <c r="I133" s="148">
        <f t="shared" ref="I133:I196" ca="1" si="89">K133*$I$2</f>
        <v>7.5963578509775935</v>
      </c>
      <c r="J133" s="148">
        <f t="shared" ref="J133:J196" ca="1" si="90">K133*$J$2</f>
        <v>15.192715701955187</v>
      </c>
      <c r="K133" s="148">
        <f t="shared" ref="K133:K196" ca="1" si="91">E133*$J$1</f>
        <v>5064.2385673183953</v>
      </c>
      <c r="L133" s="32">
        <f t="shared" ca="1" si="51"/>
        <v>4960.5228485952921</v>
      </c>
      <c r="M133" s="148">
        <f t="shared" ref="M133:M196" ca="1" si="92">S133*$M$3</f>
        <v>251.36091102178639</v>
      </c>
      <c r="N133" s="148">
        <f t="shared" ref="N133:N196" ca="1" si="93">S133*$N$2</f>
        <v>153.1978540565265</v>
      </c>
      <c r="O133" s="148">
        <f t="shared" ref="O133:O196" ca="1" si="94">S133*$O$2</f>
        <v>73.534969947132723</v>
      </c>
      <c r="P133" s="148">
        <f t="shared" ref="P133:P196" ca="1" si="95">S133*$P$2</f>
        <v>9.1918712433915903</v>
      </c>
      <c r="Q133" s="148">
        <f t="shared" ref="Q133:Q196" ca="1" si="96">S133*$Q$2</f>
        <v>18.383742486783181</v>
      </c>
      <c r="R133" s="148">
        <f t="shared" ref="R133:R196" ca="1" si="97">S133*$R$3</f>
        <v>982.45783806450436</v>
      </c>
      <c r="S133" s="148">
        <f t="shared" ref="S133:S196" ca="1" si="98">E133*$S$1</f>
        <v>6127.9141622610596</v>
      </c>
      <c r="T133" s="28">
        <f t="shared" ca="1" si="59"/>
        <v>6002.5667298128901</v>
      </c>
      <c r="U133" s="148">
        <f t="shared" ref="U133:U196" ca="1" si="99">AA133*$U$3</f>
        <v>290.53255990927079</v>
      </c>
      <c r="V133" s="148">
        <f t="shared" ref="V133:V196" ca="1" si="100">AA133*$V$3</f>
        <v>214.25705008058316</v>
      </c>
      <c r="W133" s="148">
        <f t="shared" ref="W133:W196" ca="1" si="101">AA133*$W$3</f>
        <v>102.84338403867991</v>
      </c>
      <c r="X133" s="148">
        <f t="shared" ref="X133:X196" ca="1" si="102">AA133*$X$3</f>
        <v>12.855423004834989</v>
      </c>
      <c r="Y133" s="148">
        <f t="shared" ref="Y133:Y196" ca="1" si="103">AA133*$Y$3</f>
        <v>25.710846009669979</v>
      </c>
      <c r="Z133" s="148">
        <f t="shared" ref="Z133:Z196" ca="1" si="104">AA133*$Z$3</f>
        <v>1864.0363357010735</v>
      </c>
      <c r="AA133" s="148">
        <f t="shared" ref="AA133:AA196" ca="1" si="105">E133*$AA$1</f>
        <v>7082.8776886143196</v>
      </c>
      <c r="AB133" s="24">
        <f t="shared" ca="1" si="67"/>
        <v>6959.9523939513774</v>
      </c>
      <c r="AC133" s="148">
        <f t="shared" ref="AC133:AC196" ca="1" si="106">AI133*$AC$3</f>
        <v>344.10519910779385</v>
      </c>
      <c r="AD133" s="148">
        <f t="shared" ref="AD133:AD196" ca="1" si="107">AI133*$AD$3</f>
        <v>253.76489609719309</v>
      </c>
      <c r="AE133" s="148">
        <f t="shared" ref="AE133:AE196" ca="1" si="108">AI133*$AE$3</f>
        <v>121.80715012665269</v>
      </c>
      <c r="AF133" s="148">
        <f t="shared" ref="AF133:AF196" ca="1" si="109">AI133*$AF$3</f>
        <v>15.225893765831586</v>
      </c>
      <c r="AG133" s="148">
        <f t="shared" ref="AG133:AG196" ca="1" si="110">AI133*$AG$3</f>
        <v>30.451787531663172</v>
      </c>
      <c r="AH133" s="148">
        <f t="shared" ref="AH133:AH196" ca="1" si="111">AI133*$AH$3</f>
        <v>3070.5552427760363</v>
      </c>
      <c r="AI133" s="148">
        <f t="shared" ref="AI133:AI196" ca="1" si="112">E133*$AI$1</f>
        <v>8388.9221850311769</v>
      </c>
      <c r="AJ133" s="20">
        <f t="shared" ca="1" si="75"/>
        <v>8243.7486478348292</v>
      </c>
      <c r="AK133" s="148">
        <f t="shared" ref="AK133:AK196" ca="1" si="113">AQ133*$AK$3</f>
        <v>402.177592614194</v>
      </c>
      <c r="AL133" s="148">
        <f t="shared" ref="AL133:AL196" ca="1" si="114">AQ133*$AL$3</f>
        <v>296.59114499571831</v>
      </c>
      <c r="AM133" s="148">
        <f t="shared" ref="AM133:AM196" ca="1" si="115">AQ133*$AM$3</f>
        <v>142.36374959794477</v>
      </c>
      <c r="AN133" s="148">
        <f t="shared" ref="AN133:AN196" ca="1" si="116">AQ133*$AN$3</f>
        <v>17.795468699743097</v>
      </c>
      <c r="AO133" s="148">
        <f t="shared" ref="AO133:AO196" ca="1" si="117">AQ133*$AO$3</f>
        <v>35.590937399486194</v>
      </c>
      <c r="AP133" s="148">
        <f t="shared" ref="AP133:AP196" ca="1" si="118">AQ133*$AP$3</f>
        <v>4377.6853001368017</v>
      </c>
      <c r="AQ133" s="148">
        <f t="shared" ref="AQ133:AQ196" ca="1" si="119">E133*$AQ$1</f>
        <v>9804.6659502716793</v>
      </c>
      <c r="AR133" s="17">
        <f t="shared" ca="1" si="83"/>
        <v>9634.6468480411095</v>
      </c>
      <c r="AS133" s="148">
        <f t="shared" ref="AS133:AS196" ca="1" si="120">L133/1.21</f>
        <v>4099.6056599961094</v>
      </c>
      <c r="AT133" s="48" t="str">
        <f>INDEX('stock fisico '!N:N, MATCH(B133, 'stock fisico '!B:B, 0))</f>
        <v>MAS CATEGORIAS</v>
      </c>
      <c r="AU133" s="46" t="str">
        <f>INDEX('stock fisico '!D:D, MATCH(B133, 'stock fisico '!B:B, 0))</f>
        <v>Cables</v>
      </c>
      <c r="AV133" s="43" t="str">
        <f>INDEX('stock fisico '!L:L, MATCH(B133, 'stock fisico '!B:B, 0))</f>
        <v>Tline</v>
      </c>
    </row>
    <row r="134" spans="1:48" x14ac:dyDescent="0.25">
      <c r="A134" s="48">
        <f>INDEX('stock fisico '!M:M, MATCH(B134, 'stock fisico '!B:B, 0))</f>
        <v>753</v>
      </c>
      <c r="B134" s="47" t="s">
        <v>480</v>
      </c>
      <c r="C134" s="46" t="str">
        <f>INDEX('stock fisico '!C:C, MATCH(B134, 'stock fisico '!B:B, 0))</f>
        <v>FUNDA PARA TABLET CON TECLADO 7" NEGRA NETMAK  EAN:  700306601252</v>
      </c>
      <c r="D134" s="44">
        <f>INDEX('stock fisico '!I:I, MATCH(B134, 'stock fisico '!B:B, 0))</f>
        <v>10075</v>
      </c>
      <c r="E134" s="6">
        <f t="shared" ca="1" si="85"/>
        <v>12286.585365853658</v>
      </c>
      <c r="F134" s="148">
        <f t="shared" ca="1" si="86"/>
        <v>545.73136064218909</v>
      </c>
      <c r="G134" s="148">
        <f t="shared" ca="1" si="87"/>
        <v>332.60888895523362</v>
      </c>
      <c r="H134" s="148">
        <f t="shared" ca="1" si="88"/>
        <v>159.65226669851211</v>
      </c>
      <c r="I134" s="148">
        <f t="shared" ca="1" si="89"/>
        <v>19.956533337314013</v>
      </c>
      <c r="J134" s="148">
        <f t="shared" ca="1" si="90"/>
        <v>39.913066674628027</v>
      </c>
      <c r="K134" s="148">
        <f t="shared" ca="1" si="91"/>
        <v>13304.355558209343</v>
      </c>
      <c r="L134" s="32">
        <f t="shared" ref="L134:L197" ca="1" si="121">F134+H134+J134+E134</f>
        <v>13031.882059868987</v>
      </c>
      <c r="M134" s="148">
        <f t="shared" ca="1" si="92"/>
        <v>660.35493573520148</v>
      </c>
      <c r="N134" s="148">
        <f t="shared" ca="1" si="93"/>
        <v>402.46893862307803</v>
      </c>
      <c r="O134" s="148">
        <f t="shared" ca="1" si="94"/>
        <v>193.18509053907746</v>
      </c>
      <c r="P134" s="148">
        <f t="shared" ca="1" si="95"/>
        <v>24.148136317384683</v>
      </c>
      <c r="Q134" s="148">
        <f t="shared" ca="1" si="96"/>
        <v>48.296272634769366</v>
      </c>
      <c r="R134" s="148">
        <f t="shared" ca="1" si="97"/>
        <v>2581.0333033897991</v>
      </c>
      <c r="S134" s="148">
        <f t="shared" ca="1" si="98"/>
        <v>16098.757544923121</v>
      </c>
      <c r="T134" s="28">
        <f t="shared" ref="T134:T197" ca="1" si="122">R134+Q134+O134+M134+E134</f>
        <v>15769.454968152506</v>
      </c>
      <c r="U134" s="148">
        <f t="shared" ca="1" si="99"/>
        <v>763.2635048463892</v>
      </c>
      <c r="V134" s="148">
        <f t="shared" ca="1" si="100"/>
        <v>562.87869088966761</v>
      </c>
      <c r="W134" s="148">
        <f t="shared" ca="1" si="101"/>
        <v>270.18177162704046</v>
      </c>
      <c r="X134" s="148">
        <f t="shared" ca="1" si="102"/>
        <v>33.772721453380058</v>
      </c>
      <c r="Y134" s="148">
        <f t="shared" ca="1" si="103"/>
        <v>67.545442906760115</v>
      </c>
      <c r="Z134" s="148">
        <f t="shared" ca="1" si="104"/>
        <v>4897.0446107401076</v>
      </c>
      <c r="AA134" s="148">
        <f t="shared" ca="1" si="105"/>
        <v>18607.560029410499</v>
      </c>
      <c r="AB134" s="24">
        <f t="shared" ref="AB134:AB197" ca="1" si="123">U134+W134+Y134+Z134+E134</f>
        <v>18284.620695973957</v>
      </c>
      <c r="AC134" s="148">
        <f t="shared" ca="1" si="106"/>
        <v>904.00518409674658</v>
      </c>
      <c r="AD134" s="148">
        <f t="shared" ca="1" si="107"/>
        <v>666.67048974686315</v>
      </c>
      <c r="AE134" s="148">
        <f t="shared" ca="1" si="108"/>
        <v>320.00183507849437</v>
      </c>
      <c r="AF134" s="148">
        <f t="shared" ca="1" si="109"/>
        <v>40.000229384811796</v>
      </c>
      <c r="AG134" s="148">
        <f t="shared" ca="1" si="110"/>
        <v>80.000458769623592</v>
      </c>
      <c r="AH134" s="148">
        <f t="shared" ca="1" si="111"/>
        <v>8066.7129259370449</v>
      </c>
      <c r="AI134" s="148">
        <f t="shared" ca="1" si="112"/>
        <v>22038.693875929363</v>
      </c>
      <c r="AJ134" s="20">
        <f t="shared" ref="AJ134:AJ197" ca="1" si="124">AC134+AE134+AG134+AH134+E134</f>
        <v>21657.305769735569</v>
      </c>
      <c r="AK134" s="148">
        <f t="shared" ca="1" si="113"/>
        <v>1056.5682517830519</v>
      </c>
      <c r="AL134" s="148">
        <f t="shared" ca="1" si="114"/>
        <v>779.18012668366657</v>
      </c>
      <c r="AM134" s="148">
        <f t="shared" ca="1" si="115"/>
        <v>374.00646080815994</v>
      </c>
      <c r="AN134" s="148">
        <f t="shared" ca="1" si="116"/>
        <v>46.750807601019993</v>
      </c>
      <c r="AO134" s="148">
        <f t="shared" ca="1" si="117"/>
        <v>93.501615202039986</v>
      </c>
      <c r="AP134" s="148">
        <f t="shared" ca="1" si="118"/>
        <v>11500.698669850919</v>
      </c>
      <c r="AQ134" s="148">
        <f t="shared" ca="1" si="119"/>
        <v>25758.020716815423</v>
      </c>
      <c r="AR134" s="17">
        <f t="shared" ref="AR134:AR197" ca="1" si="125">AK134+AM134+AO134+AP134+E134</f>
        <v>25311.360363497828</v>
      </c>
      <c r="AS134" s="148">
        <f t="shared" ca="1" si="120"/>
        <v>10770.150462701642</v>
      </c>
      <c r="AT134" s="48" t="str">
        <f>INDEX('stock fisico '!N:N, MATCH(B134, 'stock fisico '!B:B, 0))</f>
        <v>TECNOLOGIA Y CELULARES</v>
      </c>
      <c r="AU134" s="46" t="str">
        <f>INDEX('stock fisico '!D:D, MATCH(B134, 'stock fisico '!B:B, 0))</f>
        <v>Accesorios</v>
      </c>
      <c r="AV134" s="43" t="str">
        <f>INDEX('stock fisico '!L:L, MATCH(B134, 'stock fisico '!B:B, 0))</f>
        <v>Netmak</v>
      </c>
    </row>
    <row r="135" spans="1:48" x14ac:dyDescent="0.25">
      <c r="A135" s="48">
        <f>INDEX('stock fisico '!M:M, MATCH(B135, 'stock fisico '!B:B, 0))</f>
        <v>9221</v>
      </c>
      <c r="B135" s="47" t="s">
        <v>124</v>
      </c>
      <c r="C135" s="46" t="str">
        <f>INDEX('stock fisico '!C:C, MATCH(B135, 'stock fisico '!B:B, 0))</f>
        <v>CALOVENTOR BLACKSUN CCCFH450 LILIANA  EAN:  7793862011699</v>
      </c>
      <c r="D135" s="44">
        <f>INDEX('stock fisico '!I:I, MATCH(B135, 'stock fisico '!B:B, 0))</f>
        <v>30015.43</v>
      </c>
      <c r="E135" s="6">
        <f t="shared" ref="E135:E198" ca="1" si="126">PrecioConMargen(D135,B135, AV135, AU135, AT135)</f>
        <v>36604.182926829271</v>
      </c>
      <c r="F135" s="148">
        <f t="shared" ca="1" si="86"/>
        <v>1625.8423279563656</v>
      </c>
      <c r="G135" s="148">
        <f t="shared" ca="1" si="87"/>
        <v>990.90807184253981</v>
      </c>
      <c r="H135" s="148">
        <f t="shared" ca="1" si="88"/>
        <v>475.63587448441905</v>
      </c>
      <c r="I135" s="148">
        <f t="shared" ca="1" si="89"/>
        <v>59.454484310552381</v>
      </c>
      <c r="J135" s="148">
        <f t="shared" ca="1" si="90"/>
        <v>118.90896862110476</v>
      </c>
      <c r="K135" s="148">
        <f t="shared" ca="1" si="91"/>
        <v>39636.322873701589</v>
      </c>
      <c r="L135" s="32">
        <f t="shared" ca="1" si="121"/>
        <v>38824.570097891163</v>
      </c>
      <c r="M135" s="148">
        <f t="shared" ca="1" si="92"/>
        <v>1967.3287691031703</v>
      </c>
      <c r="N135" s="148">
        <f t="shared" ca="1" si="93"/>
        <v>1199.0350624729824</v>
      </c>
      <c r="O135" s="148">
        <f t="shared" ca="1" si="94"/>
        <v>575.53682998703152</v>
      </c>
      <c r="P135" s="148">
        <f t="shared" ca="1" si="95"/>
        <v>71.942103748378941</v>
      </c>
      <c r="Q135" s="148">
        <f t="shared" ca="1" si="96"/>
        <v>143.88420749675788</v>
      </c>
      <c r="R135" s="148">
        <f t="shared" ca="1" si="97"/>
        <v>7689.411855639235</v>
      </c>
      <c r="S135" s="148">
        <f t="shared" ca="1" si="98"/>
        <v>47961.402498919291</v>
      </c>
      <c r="T135" s="28">
        <f t="shared" ca="1" si="122"/>
        <v>46980.344589055465</v>
      </c>
      <c r="U135" s="148">
        <f t="shared" ca="1" si="99"/>
        <v>2273.9138760567203</v>
      </c>
      <c r="V135" s="148">
        <f t="shared" ca="1" si="100"/>
        <v>1676.9276372099707</v>
      </c>
      <c r="W135" s="148">
        <f t="shared" ca="1" si="101"/>
        <v>804.925265860786</v>
      </c>
      <c r="X135" s="148">
        <f t="shared" ca="1" si="102"/>
        <v>100.61565823259825</v>
      </c>
      <c r="Y135" s="148">
        <f t="shared" ca="1" si="103"/>
        <v>201.2313164651965</v>
      </c>
      <c r="Z135" s="148">
        <f t="shared" ca="1" si="104"/>
        <v>14589.270443726746</v>
      </c>
      <c r="AA135" s="148">
        <f t="shared" ca="1" si="105"/>
        <v>55435.624370577549</v>
      </c>
      <c r="AB135" s="24">
        <f t="shared" ca="1" si="123"/>
        <v>54473.52382893872</v>
      </c>
      <c r="AC135" s="148">
        <f t="shared" ca="1" si="106"/>
        <v>2693.2113471854104</v>
      </c>
      <c r="AD135" s="148">
        <f t="shared" ca="1" si="107"/>
        <v>1986.1440613461727</v>
      </c>
      <c r="AE135" s="148">
        <f t="shared" ca="1" si="108"/>
        <v>953.34914944616298</v>
      </c>
      <c r="AF135" s="148">
        <f t="shared" ca="1" si="109"/>
        <v>119.16864368077037</v>
      </c>
      <c r="AG135" s="148">
        <f t="shared" ca="1" si="110"/>
        <v>238.33728736154075</v>
      </c>
      <c r="AH135" s="148">
        <f t="shared" ca="1" si="111"/>
        <v>24032.34314228869</v>
      </c>
      <c r="AI135" s="148">
        <f t="shared" ca="1" si="112"/>
        <v>65657.654920534638</v>
      </c>
      <c r="AJ135" s="20">
        <f t="shared" ca="1" si="124"/>
        <v>64521.423853111075</v>
      </c>
      <c r="AK135" s="148">
        <f t="shared" ca="1" si="113"/>
        <v>3147.7270870090888</v>
      </c>
      <c r="AL135" s="148">
        <f t="shared" ca="1" si="114"/>
        <v>2321.3326600362011</v>
      </c>
      <c r="AM135" s="148">
        <f t="shared" ca="1" si="115"/>
        <v>1114.2396768173767</v>
      </c>
      <c r="AN135" s="148">
        <f t="shared" ca="1" si="116"/>
        <v>139.27995960217208</v>
      </c>
      <c r="AO135" s="148">
        <f t="shared" ca="1" si="117"/>
        <v>278.55991920434417</v>
      </c>
      <c r="AP135" s="148">
        <f t="shared" ca="1" si="118"/>
        <v>34262.870062134331</v>
      </c>
      <c r="AQ135" s="148">
        <f t="shared" ca="1" si="119"/>
        <v>76738.269753262852</v>
      </c>
      <c r="AR135" s="17">
        <f t="shared" ca="1" si="125"/>
        <v>75407.579671994405</v>
      </c>
      <c r="AS135" s="148">
        <f t="shared" ca="1" si="120"/>
        <v>32086.421568505095</v>
      </c>
      <c r="AT135" s="48" t="str">
        <f>INDEX('stock fisico '!N:N, MATCH(B135, 'stock fisico '!B:B, 0))</f>
        <v>ELECTRODOMESTICOS Y AIRES ACOND</v>
      </c>
      <c r="AU135" s="46" t="str">
        <f>INDEX('stock fisico '!D:D, MATCH(B135, 'stock fisico '!B:B, 0))</f>
        <v>Estufas y Calefactores Eléctricos</v>
      </c>
      <c r="AV135" s="43" t="str">
        <f>INDEX('stock fisico '!L:L, MATCH(B135, 'stock fisico '!B:B, 0))</f>
        <v>Liliana</v>
      </c>
    </row>
    <row r="136" spans="1:48" x14ac:dyDescent="0.25">
      <c r="A136" s="48">
        <f>INDEX('stock fisico '!M:M, MATCH(B136, 'stock fisico '!B:B, 0))</f>
        <v>5022</v>
      </c>
      <c r="B136" s="47" t="s">
        <v>394</v>
      </c>
      <c r="C136" s="46" t="str">
        <f>INDEX('stock fisico '!C:C, MATCH(B136, 'stock fisico '!B:B, 0))</f>
        <v>FUENTE ATX 550W 24 PINS NOGANET  EAN:  NO TIENE</v>
      </c>
      <c r="D136" s="44">
        <f>INDEX('stock fisico '!I:I, MATCH(B136, 'stock fisico '!B:B, 0))</f>
        <v>14298.7</v>
      </c>
      <c r="E136" s="6">
        <f t="shared" ca="1" si="126"/>
        <v>17437.439024390245</v>
      </c>
      <c r="F136" s="148">
        <f t="shared" ca="1" si="86"/>
        <v>774.51603041334681</v>
      </c>
      <c r="G136" s="148">
        <f t="shared" ca="1" si="87"/>
        <v>472.04711866046637</v>
      </c>
      <c r="H136" s="148">
        <f t="shared" ca="1" si="88"/>
        <v>226.58261695702387</v>
      </c>
      <c r="I136" s="148">
        <f t="shared" ca="1" si="89"/>
        <v>28.322827119627984</v>
      </c>
      <c r="J136" s="148">
        <f t="shared" ca="1" si="90"/>
        <v>56.645654239255968</v>
      </c>
      <c r="K136" s="148">
        <f t="shared" ca="1" si="91"/>
        <v>18881.884746418655</v>
      </c>
      <c r="L136" s="32">
        <f t="shared" ca="1" si="121"/>
        <v>18495.183325999871</v>
      </c>
      <c r="M136" s="148">
        <f t="shared" ca="1" si="92"/>
        <v>937.1927662130945</v>
      </c>
      <c r="N136" s="148">
        <f t="shared" ca="1" si="93"/>
        <v>571.19430398906275</v>
      </c>
      <c r="O136" s="148">
        <f t="shared" ca="1" si="94"/>
        <v>274.17326591475012</v>
      </c>
      <c r="P136" s="148">
        <f t="shared" ca="1" si="95"/>
        <v>34.271658239343765</v>
      </c>
      <c r="Q136" s="148">
        <f t="shared" ca="1" si="96"/>
        <v>68.54331647868753</v>
      </c>
      <c r="R136" s="148">
        <f t="shared" ca="1" si="97"/>
        <v>3663.0690714818588</v>
      </c>
      <c r="S136" s="148">
        <f t="shared" ca="1" si="98"/>
        <v>22847.772159562508</v>
      </c>
      <c r="T136" s="28">
        <f t="shared" ca="1" si="122"/>
        <v>22380.417444478637</v>
      </c>
      <c r="U136" s="148">
        <f t="shared" ca="1" si="99"/>
        <v>1083.2432632007014</v>
      </c>
      <c r="V136" s="148">
        <f t="shared" ca="1" si="100"/>
        <v>798.85196401231667</v>
      </c>
      <c r="W136" s="148">
        <f t="shared" ca="1" si="101"/>
        <v>383.44894272591199</v>
      </c>
      <c r="X136" s="148">
        <f t="shared" ca="1" si="102"/>
        <v>47.931117840738999</v>
      </c>
      <c r="Y136" s="148">
        <f t="shared" ca="1" si="103"/>
        <v>95.862235681477998</v>
      </c>
      <c r="Z136" s="148">
        <f t="shared" ca="1" si="104"/>
        <v>6950.0120869071552</v>
      </c>
      <c r="AA136" s="148">
        <f t="shared" ca="1" si="105"/>
        <v>26408.329388836915</v>
      </c>
      <c r="AB136" s="24">
        <f t="shared" ca="1" si="123"/>
        <v>25950.005552905492</v>
      </c>
      <c r="AC136" s="148">
        <f t="shared" ca="1" si="106"/>
        <v>1282.9874864361441</v>
      </c>
      <c r="AD136" s="148">
        <f t="shared" ca="1" si="107"/>
        <v>946.15596344848382</v>
      </c>
      <c r="AE136" s="148">
        <f t="shared" ca="1" si="108"/>
        <v>454.15486245527222</v>
      </c>
      <c r="AF136" s="148">
        <f t="shared" ca="1" si="109"/>
        <v>56.769357806909028</v>
      </c>
      <c r="AG136" s="148">
        <f t="shared" ca="1" si="110"/>
        <v>113.53871561381806</v>
      </c>
      <c r="AH136" s="148">
        <f t="shared" ca="1" si="111"/>
        <v>11448.487157726653</v>
      </c>
      <c r="AI136" s="148">
        <f t="shared" ca="1" si="112"/>
        <v>31277.883089206076</v>
      </c>
      <c r="AJ136" s="20">
        <f t="shared" ca="1" si="124"/>
        <v>30736.60724662213</v>
      </c>
      <c r="AK136" s="148">
        <f t="shared" ca="1" si="113"/>
        <v>1499.5089292079726</v>
      </c>
      <c r="AL136" s="148">
        <f t="shared" ca="1" si="114"/>
        <v>1105.8325436636967</v>
      </c>
      <c r="AM136" s="148">
        <f t="shared" ca="1" si="115"/>
        <v>530.79962095857445</v>
      </c>
      <c r="AN136" s="148">
        <f t="shared" ca="1" si="116"/>
        <v>66.349952619821806</v>
      </c>
      <c r="AO136" s="148">
        <f t="shared" ca="1" si="117"/>
        <v>132.69990523964361</v>
      </c>
      <c r="AP136" s="148">
        <f t="shared" ca="1" si="118"/>
        <v>16322.088344476164</v>
      </c>
      <c r="AQ136" s="148">
        <f t="shared" ca="1" si="119"/>
        <v>36556.447724419726</v>
      </c>
      <c r="AR136" s="17">
        <f t="shared" ca="1" si="125"/>
        <v>35922.5358242726</v>
      </c>
      <c r="AS136" s="148">
        <f t="shared" ca="1" si="120"/>
        <v>15285.275476032952</v>
      </c>
      <c r="AT136" s="48" t="str">
        <f>INDEX('stock fisico '!N:N, MATCH(B136, 'stock fisico '!B:B, 0))</f>
        <v>INFORMATICA</v>
      </c>
      <c r="AU136" s="46" t="str">
        <f>INDEX('stock fisico '!D:D, MATCH(B136, 'stock fisico '!B:B, 0))</f>
        <v>Fuentes PC</v>
      </c>
      <c r="AV136" s="43" t="str">
        <f>INDEX('stock fisico '!L:L, MATCH(B136, 'stock fisico '!B:B, 0))</f>
        <v>Noganet</v>
      </c>
    </row>
    <row r="137" spans="1:48" x14ac:dyDescent="0.25">
      <c r="A137" s="48">
        <f>INDEX('stock fisico '!M:M, MATCH(B137, 'stock fisico '!B:B, 0))</f>
        <v>7714</v>
      </c>
      <c r="B137" s="47" t="s">
        <v>487</v>
      </c>
      <c r="C137" s="46" t="str">
        <f>INDEX('stock fisico '!C:C, MATCH(B137, 'stock fisico '!B:B, 0))</f>
        <v>BOTELLA TINTA ORIGINAL 673 AMARILLO  EPSON  EAN:  010343888296</v>
      </c>
      <c r="D137" s="44">
        <f>INDEX('stock fisico '!I:I, MATCH(B137, 'stock fisico '!B:B, 0))</f>
        <v>14000</v>
      </c>
      <c r="E137" s="6">
        <f t="shared" ca="1" si="126"/>
        <v>17073.170731707316</v>
      </c>
      <c r="F137" s="148">
        <f t="shared" ca="1" si="86"/>
        <v>758.33638203381099</v>
      </c>
      <c r="G137" s="148">
        <f t="shared" ca="1" si="87"/>
        <v>462.18604916856276</v>
      </c>
      <c r="H137" s="148">
        <f t="shared" ca="1" si="88"/>
        <v>221.84930360091013</v>
      </c>
      <c r="I137" s="148">
        <f t="shared" ca="1" si="89"/>
        <v>27.731162950113767</v>
      </c>
      <c r="J137" s="148">
        <f t="shared" ca="1" si="90"/>
        <v>55.462325900227533</v>
      </c>
      <c r="K137" s="148">
        <f t="shared" ca="1" si="91"/>
        <v>18487.44196674251</v>
      </c>
      <c r="L137" s="32">
        <f t="shared" ca="1" si="121"/>
        <v>18108.818743242264</v>
      </c>
      <c r="M137" s="148">
        <f t="shared" ca="1" si="92"/>
        <v>917.61479903650832</v>
      </c>
      <c r="N137" s="148">
        <f t="shared" ca="1" si="93"/>
        <v>559.26204870700667</v>
      </c>
      <c r="O137" s="148">
        <f t="shared" ca="1" si="94"/>
        <v>268.44578337936321</v>
      </c>
      <c r="P137" s="148">
        <f t="shared" ca="1" si="95"/>
        <v>33.555722922420401</v>
      </c>
      <c r="Q137" s="148">
        <f t="shared" ca="1" si="96"/>
        <v>67.111445844840802</v>
      </c>
      <c r="R137" s="148">
        <f t="shared" ca="1" si="97"/>
        <v>3586.5475183580338</v>
      </c>
      <c r="S137" s="148">
        <f t="shared" ca="1" si="98"/>
        <v>22370.481948280267</v>
      </c>
      <c r="T137" s="28">
        <f t="shared" ca="1" si="122"/>
        <v>21912.890278326064</v>
      </c>
      <c r="U137" s="148">
        <f t="shared" ca="1" si="99"/>
        <v>1060.6142995384068</v>
      </c>
      <c r="V137" s="148">
        <f t="shared" ca="1" si="100"/>
        <v>782.1639377126894</v>
      </c>
      <c r="W137" s="148">
        <f t="shared" ca="1" si="101"/>
        <v>375.43869010209096</v>
      </c>
      <c r="X137" s="148">
        <f t="shared" ca="1" si="102"/>
        <v>46.92983626276137</v>
      </c>
      <c r="Y137" s="148">
        <f t="shared" ca="1" si="103"/>
        <v>93.85967252552274</v>
      </c>
      <c r="Z137" s="148">
        <f t="shared" ca="1" si="104"/>
        <v>6804.8262581003983</v>
      </c>
      <c r="AA137" s="148">
        <f t="shared" ca="1" si="105"/>
        <v>25856.659097940148</v>
      </c>
      <c r="AB137" s="24">
        <f t="shared" ca="1" si="123"/>
        <v>25407.909651973736</v>
      </c>
      <c r="AC137" s="148">
        <f t="shared" ca="1" si="106"/>
        <v>1256.1858637572657</v>
      </c>
      <c r="AD137" s="148">
        <f t="shared" ca="1" si="107"/>
        <v>926.39075498323427</v>
      </c>
      <c r="AE137" s="148">
        <f t="shared" ca="1" si="108"/>
        <v>444.66756239195246</v>
      </c>
      <c r="AF137" s="148">
        <f t="shared" ca="1" si="109"/>
        <v>55.583445298994057</v>
      </c>
      <c r="AG137" s="148">
        <f t="shared" ca="1" si="110"/>
        <v>111.16689059798811</v>
      </c>
      <c r="AH137" s="148">
        <f t="shared" ca="1" si="111"/>
        <v>11209.328135297135</v>
      </c>
      <c r="AI137" s="148">
        <f t="shared" ca="1" si="112"/>
        <v>30624.487768040803</v>
      </c>
      <c r="AJ137" s="20">
        <f t="shared" ca="1" si="124"/>
        <v>30094.519183751658</v>
      </c>
      <c r="AK137" s="148">
        <f t="shared" ca="1" si="113"/>
        <v>1468.1841712121814</v>
      </c>
      <c r="AL137" s="148">
        <f t="shared" ca="1" si="114"/>
        <v>1082.7316896844995</v>
      </c>
      <c r="AM137" s="148">
        <f t="shared" ca="1" si="115"/>
        <v>519.71121104855979</v>
      </c>
      <c r="AN137" s="148">
        <f t="shared" ca="1" si="116"/>
        <v>64.963901381069974</v>
      </c>
      <c r="AO137" s="148">
        <f t="shared" ca="1" si="117"/>
        <v>129.92780276213995</v>
      </c>
      <c r="AP137" s="148">
        <f t="shared" ca="1" si="118"/>
        <v>15981.119739743212</v>
      </c>
      <c r="AQ137" s="148">
        <f t="shared" ca="1" si="119"/>
        <v>35792.783130066098</v>
      </c>
      <c r="AR137" s="17">
        <f t="shared" ca="1" si="125"/>
        <v>35172.113656473404</v>
      </c>
      <c r="AS137" s="148">
        <f t="shared" ca="1" si="120"/>
        <v>14965.965903506003</v>
      </c>
      <c r="AT137" s="48" t="str">
        <f>INDEX('stock fisico '!N:N, MATCH(B137, 'stock fisico '!B:B, 0))</f>
        <v>INFORMATICA</v>
      </c>
      <c r="AU137" s="46" t="str">
        <f>INDEX('stock fisico '!D:D, MATCH(B137, 'stock fisico '!B:B, 0))</f>
        <v>Cartuchos de Tinta Original</v>
      </c>
      <c r="AV137" s="43" t="str">
        <f>INDEX('stock fisico '!L:L, MATCH(B137, 'stock fisico '!B:B, 0))</f>
        <v>Epson</v>
      </c>
    </row>
    <row r="138" spans="1:48" x14ac:dyDescent="0.25">
      <c r="A138" s="48">
        <f>INDEX('stock fisico '!M:M, MATCH(B138, 'stock fisico '!B:B, 0))</f>
        <v>3802</v>
      </c>
      <c r="B138" s="47" t="s">
        <v>491</v>
      </c>
      <c r="C138" s="46" t="str">
        <f>INDEX('stock fisico '!C:C, MATCH(B138, 'stock fisico '!B:B, 0))</f>
        <v>CABLE VGA M/M NM-C18 5MT NETMAK   EAN:  7792641882192</v>
      </c>
      <c r="D138" s="44">
        <f>INDEX('stock fisico '!I:I, MATCH(B138, 'stock fisico '!B:B, 0))</f>
        <v>5200</v>
      </c>
      <c r="E138" s="6">
        <f t="shared" ca="1" si="126"/>
        <v>6341.4634146341468</v>
      </c>
      <c r="F138" s="148">
        <f t="shared" ca="1" si="86"/>
        <v>281.66779904112985</v>
      </c>
      <c r="G138" s="148">
        <f t="shared" ca="1" si="87"/>
        <v>171.66910397689477</v>
      </c>
      <c r="H138" s="148">
        <f t="shared" ca="1" si="88"/>
        <v>82.40116990890948</v>
      </c>
      <c r="I138" s="148">
        <f t="shared" ca="1" si="89"/>
        <v>10.300146238613685</v>
      </c>
      <c r="J138" s="148">
        <f t="shared" ca="1" si="90"/>
        <v>20.60029247722737</v>
      </c>
      <c r="K138" s="148">
        <f t="shared" ca="1" si="91"/>
        <v>6866.7641590757903</v>
      </c>
      <c r="L138" s="32">
        <f t="shared" ca="1" si="121"/>
        <v>6726.1326760614138</v>
      </c>
      <c r="M138" s="148">
        <f t="shared" ca="1" si="92"/>
        <v>340.82835392784602</v>
      </c>
      <c r="N138" s="148">
        <f t="shared" ca="1" si="93"/>
        <v>207.72590380545967</v>
      </c>
      <c r="O138" s="148">
        <f t="shared" ca="1" si="94"/>
        <v>99.708433826620649</v>
      </c>
      <c r="P138" s="148">
        <f t="shared" ca="1" si="95"/>
        <v>12.463554228327581</v>
      </c>
      <c r="Q138" s="148">
        <f t="shared" ca="1" si="96"/>
        <v>24.927108456655162</v>
      </c>
      <c r="R138" s="148">
        <f t="shared" ca="1" si="97"/>
        <v>1332.1462211044127</v>
      </c>
      <c r="S138" s="148">
        <f t="shared" ca="1" si="98"/>
        <v>8309.0361522183866</v>
      </c>
      <c r="T138" s="28">
        <f t="shared" ca="1" si="122"/>
        <v>8139.0735319496816</v>
      </c>
      <c r="U138" s="148">
        <f t="shared" ca="1" si="99"/>
        <v>393.9424541142655</v>
      </c>
      <c r="V138" s="148">
        <f t="shared" ca="1" si="100"/>
        <v>290.51803400757041</v>
      </c>
      <c r="W138" s="148">
        <f t="shared" ca="1" si="101"/>
        <v>139.4486563236338</v>
      </c>
      <c r="X138" s="148">
        <f t="shared" ca="1" si="102"/>
        <v>17.431082040454225</v>
      </c>
      <c r="Y138" s="148">
        <f t="shared" ca="1" si="103"/>
        <v>34.86216408090845</v>
      </c>
      <c r="Z138" s="148">
        <f t="shared" ca="1" si="104"/>
        <v>2527.5068958658626</v>
      </c>
      <c r="AA138" s="148">
        <f t="shared" ca="1" si="105"/>
        <v>9603.901950663485</v>
      </c>
      <c r="AB138" s="24">
        <f t="shared" ca="1" si="123"/>
        <v>9437.2235850188172</v>
      </c>
      <c r="AC138" s="148">
        <f t="shared" ca="1" si="106"/>
        <v>466.58332082412733</v>
      </c>
      <c r="AD138" s="148">
        <f t="shared" ca="1" si="107"/>
        <v>344.08799470805849</v>
      </c>
      <c r="AE138" s="148">
        <f t="shared" ca="1" si="108"/>
        <v>165.16223745986807</v>
      </c>
      <c r="AF138" s="148">
        <f t="shared" ca="1" si="109"/>
        <v>20.645279682483508</v>
      </c>
      <c r="AG138" s="148">
        <f t="shared" ca="1" si="110"/>
        <v>41.290559364967017</v>
      </c>
      <c r="AH138" s="148">
        <f t="shared" ca="1" si="111"/>
        <v>4163.4647359675073</v>
      </c>
      <c r="AI138" s="148">
        <f t="shared" ca="1" si="112"/>
        <v>11374.809742415157</v>
      </c>
      <c r="AJ138" s="20">
        <f t="shared" ca="1" si="124"/>
        <v>11177.964268250616</v>
      </c>
      <c r="AK138" s="148">
        <f t="shared" ca="1" si="113"/>
        <v>545.32554930738172</v>
      </c>
      <c r="AL138" s="148">
        <f t="shared" ca="1" si="114"/>
        <v>402.157484739957</v>
      </c>
      <c r="AM138" s="148">
        <f t="shared" ca="1" si="115"/>
        <v>193.03559267517934</v>
      </c>
      <c r="AN138" s="148">
        <f t="shared" ca="1" si="116"/>
        <v>24.129449084397418</v>
      </c>
      <c r="AO138" s="148">
        <f t="shared" ca="1" si="117"/>
        <v>48.258898168794836</v>
      </c>
      <c r="AP138" s="148">
        <f t="shared" ca="1" si="118"/>
        <v>5935.844474761765</v>
      </c>
      <c r="AQ138" s="148">
        <f t="shared" ca="1" si="119"/>
        <v>13294.462305453124</v>
      </c>
      <c r="AR138" s="17">
        <f t="shared" ca="1" si="125"/>
        <v>13063.927929547268</v>
      </c>
      <c r="AS138" s="148">
        <f t="shared" ca="1" si="120"/>
        <v>5558.7873355879456</v>
      </c>
      <c r="AT138" s="48" t="str">
        <f>INDEX('stock fisico '!N:N, MATCH(B138, 'stock fisico '!B:B, 0))</f>
        <v>MAS CATEGORIAS</v>
      </c>
      <c r="AU138" s="46" t="str">
        <f>INDEX('stock fisico '!D:D, MATCH(B138, 'stock fisico '!B:B, 0))</f>
        <v>Cables</v>
      </c>
      <c r="AV138" s="43" t="str">
        <f>INDEX('stock fisico '!L:L, MATCH(B138, 'stock fisico '!B:B, 0))</f>
        <v>Netmak</v>
      </c>
    </row>
    <row r="139" spans="1:48" x14ac:dyDescent="0.25">
      <c r="A139" s="48">
        <f>INDEX('stock fisico '!M:M, MATCH(B139, 'stock fisico '!B:B, 0))</f>
        <v>3785</v>
      </c>
      <c r="B139" s="47" t="s">
        <v>499</v>
      </c>
      <c r="C139" s="46" t="str">
        <f>INDEX('stock fisico '!C:C, MATCH(B139, 'stock fisico '!B:B, 0))</f>
        <v xml:space="preserve">CABLE VGA CON FILTRO 2 METROS T-LINE  EAN:  NO TIENE </v>
      </c>
      <c r="D139" s="44">
        <f>INDEX('stock fisico '!I:I, MATCH(B139, 'stock fisico '!B:B, 0))</f>
        <v>2145</v>
      </c>
      <c r="E139" s="6">
        <f t="shared" ca="1" si="126"/>
        <v>2615.8536585365855</v>
      </c>
      <c r="F139" s="148">
        <f t="shared" ca="1" si="86"/>
        <v>116.18796710446605</v>
      </c>
      <c r="G139" s="148">
        <f t="shared" ca="1" si="87"/>
        <v>70.813505390469089</v>
      </c>
      <c r="H139" s="148">
        <f t="shared" ca="1" si="88"/>
        <v>33.990482587425163</v>
      </c>
      <c r="I139" s="148">
        <f t="shared" ca="1" si="89"/>
        <v>4.2488103234281454</v>
      </c>
      <c r="J139" s="148">
        <f t="shared" ca="1" si="90"/>
        <v>8.4976206468562907</v>
      </c>
      <c r="K139" s="148">
        <f t="shared" ca="1" si="91"/>
        <v>2832.5402156187633</v>
      </c>
      <c r="L139" s="32">
        <f t="shared" ca="1" si="121"/>
        <v>2774.5297288753331</v>
      </c>
      <c r="M139" s="148">
        <f t="shared" ca="1" si="92"/>
        <v>140.59169599523645</v>
      </c>
      <c r="N139" s="148">
        <f t="shared" ca="1" si="93"/>
        <v>85.686935319752109</v>
      </c>
      <c r="O139" s="148">
        <f t="shared" ca="1" si="94"/>
        <v>41.129728953481013</v>
      </c>
      <c r="P139" s="148">
        <f t="shared" ca="1" si="95"/>
        <v>5.1412161191851267</v>
      </c>
      <c r="Q139" s="148">
        <f t="shared" ca="1" si="96"/>
        <v>10.282432238370253</v>
      </c>
      <c r="R139" s="148">
        <f t="shared" ca="1" si="97"/>
        <v>549.51031620557023</v>
      </c>
      <c r="S139" s="148">
        <f t="shared" ca="1" si="98"/>
        <v>3427.4774127900841</v>
      </c>
      <c r="T139" s="28">
        <f t="shared" ca="1" si="122"/>
        <v>3357.3678319292435</v>
      </c>
      <c r="U139" s="148">
        <f t="shared" ca="1" si="99"/>
        <v>162.50126232213449</v>
      </c>
      <c r="V139" s="148">
        <f t="shared" ca="1" si="100"/>
        <v>119.83868902812279</v>
      </c>
      <c r="W139" s="148">
        <f t="shared" ca="1" si="101"/>
        <v>57.522570733498938</v>
      </c>
      <c r="X139" s="148">
        <f t="shared" ca="1" si="102"/>
        <v>7.1903213416873673</v>
      </c>
      <c r="Y139" s="148">
        <f t="shared" ca="1" si="103"/>
        <v>14.380642683374735</v>
      </c>
      <c r="Z139" s="148">
        <f t="shared" ca="1" si="104"/>
        <v>1042.5965945446683</v>
      </c>
      <c r="AA139" s="148">
        <f t="shared" ca="1" si="105"/>
        <v>3961.6095546486872</v>
      </c>
      <c r="AB139" s="24">
        <f t="shared" ca="1" si="123"/>
        <v>3892.8547288202617</v>
      </c>
      <c r="AC139" s="148">
        <f t="shared" ca="1" si="106"/>
        <v>192.4656198399525</v>
      </c>
      <c r="AD139" s="148">
        <f t="shared" ca="1" si="107"/>
        <v>141.93629781707409</v>
      </c>
      <c r="AE139" s="148">
        <f t="shared" ca="1" si="108"/>
        <v>68.129422952195569</v>
      </c>
      <c r="AF139" s="148">
        <f t="shared" ca="1" si="109"/>
        <v>8.5161778690244461</v>
      </c>
      <c r="AG139" s="148">
        <f t="shared" ca="1" si="110"/>
        <v>17.032355738048892</v>
      </c>
      <c r="AH139" s="148">
        <f t="shared" ca="1" si="111"/>
        <v>1717.4292035865967</v>
      </c>
      <c r="AI139" s="148">
        <f t="shared" ca="1" si="112"/>
        <v>4692.1090187462514</v>
      </c>
      <c r="AJ139" s="20">
        <f t="shared" ca="1" si="124"/>
        <v>4610.9102606533797</v>
      </c>
      <c r="AK139" s="148">
        <f t="shared" ca="1" si="113"/>
        <v>224.94678908929495</v>
      </c>
      <c r="AL139" s="148">
        <f t="shared" ca="1" si="114"/>
        <v>165.88996245523225</v>
      </c>
      <c r="AM139" s="148">
        <f t="shared" ca="1" si="115"/>
        <v>79.627181978511487</v>
      </c>
      <c r="AN139" s="148">
        <f t="shared" ca="1" si="116"/>
        <v>9.9533977473139359</v>
      </c>
      <c r="AO139" s="148">
        <f t="shared" ca="1" si="117"/>
        <v>19.906795494627872</v>
      </c>
      <c r="AP139" s="148">
        <f t="shared" ca="1" si="118"/>
        <v>2448.5358458392279</v>
      </c>
      <c r="AQ139" s="148">
        <f t="shared" ca="1" si="119"/>
        <v>5483.9657009994135</v>
      </c>
      <c r="AR139" s="17">
        <f t="shared" ca="1" si="125"/>
        <v>5388.8702709382478</v>
      </c>
      <c r="AS139" s="148">
        <f t="shared" ca="1" si="120"/>
        <v>2292.9997759300277</v>
      </c>
      <c r="AT139" s="48" t="str">
        <f>INDEX('stock fisico '!N:N, MATCH(B139, 'stock fisico '!B:B, 0))</f>
        <v>MAS CATEGORIAS</v>
      </c>
      <c r="AU139" s="46" t="str">
        <f>INDEX('stock fisico '!D:D, MATCH(B139, 'stock fisico '!B:B, 0))</f>
        <v>Cables</v>
      </c>
      <c r="AV139" s="43" t="str">
        <f>INDEX('stock fisico '!L:L, MATCH(B139, 'stock fisico '!B:B, 0))</f>
        <v>Tline</v>
      </c>
    </row>
    <row r="140" spans="1:48" x14ac:dyDescent="0.25">
      <c r="A140" s="48">
        <f>INDEX('stock fisico '!M:M, MATCH(B140, 'stock fisico '!B:B, 0))</f>
        <v>8767</v>
      </c>
      <c r="B140" s="47" t="s">
        <v>1391</v>
      </c>
      <c r="C140" s="46" t="str">
        <f>INDEX('stock fisico '!C:C, MATCH(B140, 'stock fisico '!B:B, 0))</f>
        <v>AURICULAR BT AVA-BT301B BLANCO  AIWA   EAN:  7798111353391</v>
      </c>
      <c r="D140" s="44">
        <f>INDEX('stock fisico '!I:I, MATCH(B140, 'stock fisico '!B:B, 0))</f>
        <v>25458.35</v>
      </c>
      <c r="E140" s="6">
        <f t="shared" ca="1" si="126"/>
        <v>31046.768292682926</v>
      </c>
      <c r="F140" s="148">
        <f t="shared" ca="1" si="86"/>
        <v>1378.9995022536052</v>
      </c>
      <c r="G140" s="148">
        <f t="shared" ca="1" si="87"/>
        <v>840.46387177503425</v>
      </c>
      <c r="H140" s="148">
        <f t="shared" ca="1" si="88"/>
        <v>403.42265845201644</v>
      </c>
      <c r="I140" s="148">
        <f t="shared" ca="1" si="89"/>
        <v>50.427832306502054</v>
      </c>
      <c r="J140" s="148">
        <f t="shared" ca="1" si="90"/>
        <v>100.85566461300411</v>
      </c>
      <c r="K140" s="148">
        <f t="shared" ca="1" si="91"/>
        <v>33618.554871001368</v>
      </c>
      <c r="L140" s="32">
        <f t="shared" ca="1" si="121"/>
        <v>32930.046118001548</v>
      </c>
      <c r="M140" s="148">
        <f t="shared" ca="1" si="92"/>
        <v>1668.6399085036494</v>
      </c>
      <c r="N140" s="148">
        <f t="shared" ca="1" si="93"/>
        <v>1016.9920698357161</v>
      </c>
      <c r="O140" s="148">
        <f t="shared" ca="1" si="94"/>
        <v>488.15619352114368</v>
      </c>
      <c r="P140" s="148">
        <f t="shared" ca="1" si="95"/>
        <v>61.01952419014296</v>
      </c>
      <c r="Q140" s="148">
        <f t="shared" ca="1" si="96"/>
        <v>122.03904838028592</v>
      </c>
      <c r="R140" s="148">
        <f t="shared" ca="1" si="97"/>
        <v>6521.9701438564471</v>
      </c>
      <c r="S140" s="148">
        <f t="shared" ca="1" si="98"/>
        <v>40679.682793428641</v>
      </c>
      <c r="T140" s="28">
        <f t="shared" ca="1" si="122"/>
        <v>39847.573586944454</v>
      </c>
      <c r="U140" s="148">
        <f t="shared" ca="1" si="99"/>
        <v>1928.6778609038288</v>
      </c>
      <c r="V140" s="148">
        <f t="shared" ca="1" si="100"/>
        <v>1422.3288059762749</v>
      </c>
      <c r="W140" s="148">
        <f t="shared" ca="1" si="101"/>
        <v>682.71782686861195</v>
      </c>
      <c r="X140" s="148">
        <f t="shared" ca="1" si="102"/>
        <v>85.339728358576494</v>
      </c>
      <c r="Y140" s="148">
        <f t="shared" ca="1" si="103"/>
        <v>170.67945671715299</v>
      </c>
      <c r="Z140" s="148">
        <f t="shared" ca="1" si="104"/>
        <v>12374.260611993592</v>
      </c>
      <c r="AA140" s="148">
        <f t="shared" ca="1" si="105"/>
        <v>47019.134081860328</v>
      </c>
      <c r="AB140" s="24">
        <f t="shared" ca="1" si="123"/>
        <v>46203.104049166112</v>
      </c>
      <c r="AC140" s="148">
        <f t="shared" ca="1" si="106"/>
        <v>2284.3156703274844</v>
      </c>
      <c r="AD140" s="148">
        <f t="shared" ca="1" si="107"/>
        <v>1684.598576937673</v>
      </c>
      <c r="AE140" s="148">
        <f t="shared" ca="1" si="108"/>
        <v>808.60731693008302</v>
      </c>
      <c r="AF140" s="148">
        <f t="shared" ca="1" si="109"/>
        <v>101.07591461626038</v>
      </c>
      <c r="AG140" s="148">
        <f t="shared" ca="1" si="110"/>
        <v>202.15182923252075</v>
      </c>
      <c r="AH140" s="148">
        <f t="shared" ca="1" si="111"/>
        <v>20383.642780945844</v>
      </c>
      <c r="AI140" s="148">
        <f t="shared" ca="1" si="112"/>
        <v>55689.209154964396</v>
      </c>
      <c r="AJ140" s="20">
        <f t="shared" ca="1" si="124"/>
        <v>54725.485890118856</v>
      </c>
      <c r="AK140" s="148">
        <f t="shared" ca="1" si="113"/>
        <v>2669.8247496556883</v>
      </c>
      <c r="AL140" s="148">
        <f t="shared" ca="1" si="114"/>
        <v>1968.8973080056699</v>
      </c>
      <c r="AM140" s="148">
        <f t="shared" ca="1" si="115"/>
        <v>945.0707078427215</v>
      </c>
      <c r="AN140" s="148">
        <f t="shared" ca="1" si="116"/>
        <v>118.13383848034019</v>
      </c>
      <c r="AO140" s="148">
        <f t="shared" ca="1" si="117"/>
        <v>236.26767696068038</v>
      </c>
      <c r="AP140" s="148">
        <f t="shared" ca="1" si="118"/>
        <v>29060.924266163689</v>
      </c>
      <c r="AQ140" s="148">
        <f t="shared" ca="1" si="119"/>
        <v>65087.514314237022</v>
      </c>
      <c r="AR140" s="17">
        <f t="shared" ca="1" si="125"/>
        <v>63958.855693305712</v>
      </c>
      <c r="AS140" s="148">
        <f t="shared" ca="1" si="120"/>
        <v>27214.914147108717</v>
      </c>
      <c r="AT140" s="48" t="str">
        <f>INDEX('stock fisico '!N:N, MATCH(B140, 'stock fisico '!B:B, 0))</f>
        <v>TV-AUDIO-VIDEO</v>
      </c>
      <c r="AU140" s="46" t="str">
        <f>INDEX('stock fisico '!D:D, MATCH(B140, 'stock fisico '!B:B, 0))</f>
        <v>Auriculares</v>
      </c>
      <c r="AV140" s="43" t="str">
        <f>INDEX('stock fisico '!L:L, MATCH(B140, 'stock fisico '!B:B, 0))</f>
        <v>AIWA</v>
      </c>
    </row>
    <row r="141" spans="1:48" x14ac:dyDescent="0.25">
      <c r="A141" s="48">
        <f>INDEX('stock fisico '!M:M, MATCH(B141, 'stock fisico '!B:B, 0))</f>
        <v>4952</v>
      </c>
      <c r="B141" s="47" t="s">
        <v>501</v>
      </c>
      <c r="C141" s="46" t="str">
        <f>INDEX('stock fisico '!C:C, MATCH(B141, 'stock fisico '!B:B, 0))</f>
        <v>FUENTE ACER 19V 3.42A 5.5*1.7  BELSIC   EAN:  NO TIENE</v>
      </c>
      <c r="D141" s="44">
        <f>INDEX('stock fisico '!I:I, MATCH(B141, 'stock fisico '!B:B, 0))</f>
        <v>12720.5</v>
      </c>
      <c r="E141" s="6">
        <f t="shared" ca="1" si="126"/>
        <v>15512.804878048781</v>
      </c>
      <c r="F141" s="148">
        <f t="shared" ca="1" si="86"/>
        <v>689.02985340436385</v>
      </c>
      <c r="G141" s="148">
        <f t="shared" ca="1" si="87"/>
        <v>419.94554560347882</v>
      </c>
      <c r="H141" s="148">
        <f t="shared" ca="1" si="88"/>
        <v>201.57386188966981</v>
      </c>
      <c r="I141" s="148">
        <f t="shared" ca="1" si="89"/>
        <v>25.196732736208727</v>
      </c>
      <c r="J141" s="148">
        <f t="shared" ca="1" si="90"/>
        <v>50.393465472417454</v>
      </c>
      <c r="K141" s="148">
        <f t="shared" ca="1" si="91"/>
        <v>16797.821824139151</v>
      </c>
      <c r="L141" s="32">
        <f t="shared" ca="1" si="121"/>
        <v>16453.802058815232</v>
      </c>
      <c r="M141" s="148">
        <f t="shared" ca="1" si="92"/>
        <v>833.75136079599315</v>
      </c>
      <c r="N141" s="148">
        <f t="shared" ca="1" si="93"/>
        <v>508.14949218410567</v>
      </c>
      <c r="O141" s="148">
        <f t="shared" ca="1" si="94"/>
        <v>243.91175624837072</v>
      </c>
      <c r="P141" s="148">
        <f t="shared" ca="1" si="95"/>
        <v>30.48896953104634</v>
      </c>
      <c r="Q141" s="148">
        <f t="shared" ca="1" si="96"/>
        <v>60.97793906209268</v>
      </c>
      <c r="R141" s="148">
        <f t="shared" ca="1" si="97"/>
        <v>3258.7626933766696</v>
      </c>
      <c r="S141" s="148">
        <f t="shared" ca="1" si="98"/>
        <v>20325.979687364226</v>
      </c>
      <c r="T141" s="28">
        <f t="shared" ca="1" si="122"/>
        <v>19910.208627531909</v>
      </c>
      <c r="U141" s="148">
        <f t="shared" ca="1" si="99"/>
        <v>963.68172837702173</v>
      </c>
      <c r="V141" s="148">
        <f t="shared" ca="1" si="100"/>
        <v>710.67974069101899</v>
      </c>
      <c r="W141" s="148">
        <f t="shared" ca="1" si="101"/>
        <v>341.12627553168915</v>
      </c>
      <c r="X141" s="148">
        <f t="shared" ca="1" si="102"/>
        <v>42.640784441461143</v>
      </c>
      <c r="Y141" s="148">
        <f t="shared" ca="1" si="103"/>
        <v>85.281568882922286</v>
      </c>
      <c r="Z141" s="148">
        <f t="shared" ca="1" si="104"/>
        <v>6182.9137440118648</v>
      </c>
      <c r="AA141" s="148">
        <f t="shared" ca="1" si="105"/>
        <v>23493.545146810546</v>
      </c>
      <c r="AB141" s="24">
        <f t="shared" ca="1" si="123"/>
        <v>23085.808194852278</v>
      </c>
      <c r="AC141" s="148">
        <f t="shared" ca="1" si="106"/>
        <v>1141.3794485660214</v>
      </c>
      <c r="AD141" s="148">
        <f t="shared" ca="1" si="107"/>
        <v>841.72525705458804</v>
      </c>
      <c r="AE141" s="148">
        <f t="shared" ca="1" si="108"/>
        <v>404.02812338620225</v>
      </c>
      <c r="AF141" s="148">
        <f t="shared" ca="1" si="109"/>
        <v>50.503515423275282</v>
      </c>
      <c r="AG141" s="148">
        <f t="shared" ca="1" si="110"/>
        <v>101.00703084655056</v>
      </c>
      <c r="AH141" s="148">
        <f t="shared" ca="1" si="111"/>
        <v>10184.875610360516</v>
      </c>
      <c r="AI141" s="148">
        <f t="shared" ca="1" si="112"/>
        <v>27825.628332383076</v>
      </c>
      <c r="AJ141" s="20">
        <f t="shared" ca="1" si="124"/>
        <v>27344.09509120807</v>
      </c>
      <c r="AK141" s="148">
        <f t="shared" ca="1" si="113"/>
        <v>1334.0026249931823</v>
      </c>
      <c r="AL141" s="148">
        <f t="shared" ca="1" si="114"/>
        <v>983.77774704511967</v>
      </c>
      <c r="AM141" s="148">
        <f t="shared" ca="1" si="115"/>
        <v>472.21331858165746</v>
      </c>
      <c r="AN141" s="148">
        <f t="shared" ca="1" si="116"/>
        <v>59.026664822707183</v>
      </c>
      <c r="AO141" s="148">
        <f t="shared" ca="1" si="117"/>
        <v>118.05332964541437</v>
      </c>
      <c r="AP141" s="148">
        <f t="shared" ca="1" si="118"/>
        <v>14520.559546385968</v>
      </c>
      <c r="AQ141" s="148">
        <f t="shared" ca="1" si="119"/>
        <v>32521.578414714702</v>
      </c>
      <c r="AR141" s="17">
        <f t="shared" ca="1" si="125"/>
        <v>31957.633697655001</v>
      </c>
      <c r="AS141" s="148">
        <f t="shared" ca="1" si="120"/>
        <v>13598.18351968201</v>
      </c>
      <c r="AT141" s="48" t="str">
        <f>INDEX('stock fisico '!N:N, MATCH(B141, 'stock fisico '!B:B, 0))</f>
        <v>INFORMATICA</v>
      </c>
      <c r="AU141" s="46" t="str">
        <f>INDEX('stock fisico '!D:D, MATCH(B141, 'stock fisico '!B:B, 0))</f>
        <v>Cargadores</v>
      </c>
      <c r="AV141" s="43" t="str">
        <f>INDEX('stock fisico '!L:L, MATCH(B141, 'stock fisico '!B:B, 0))</f>
        <v>Belsic</v>
      </c>
    </row>
    <row r="142" spans="1:48" x14ac:dyDescent="0.25">
      <c r="A142" s="48">
        <f>INDEX('stock fisico '!M:M, MATCH(B142, 'stock fisico '!B:B, 0))</f>
        <v>2772</v>
      </c>
      <c r="B142" s="47" t="s">
        <v>506</v>
      </c>
      <c r="C142" s="46" t="str">
        <f>INDEX('stock fisico '!C:C, MATCH(B142, 'stock fisico '!B:B, 0))</f>
        <v>ADAPTADOR VGA (H) A VGA (H)  NM-VGAH  NETMAK  EAN:  7792641881003</v>
      </c>
      <c r="D142" s="44">
        <f>INDEX('stock fisico '!I:I, MATCH(B142, 'stock fisico '!B:B, 0))</f>
        <v>1310.4100000000001</v>
      </c>
      <c r="E142" s="6">
        <f t="shared" ca="1" si="126"/>
        <v>1598.0609756097563</v>
      </c>
      <c r="F142" s="148">
        <f t="shared" ca="1" si="86"/>
        <v>70.980827027209031</v>
      </c>
      <c r="G142" s="148">
        <f t="shared" ca="1" si="87"/>
        <v>43.260944335069752</v>
      </c>
      <c r="H142" s="148">
        <f t="shared" ca="1" si="88"/>
        <v>20.765253280833477</v>
      </c>
      <c r="I142" s="148">
        <f t="shared" ca="1" si="89"/>
        <v>2.5956566601041846</v>
      </c>
      <c r="J142" s="148">
        <f t="shared" ca="1" si="90"/>
        <v>5.1913133202083692</v>
      </c>
      <c r="K142" s="148">
        <f t="shared" ca="1" si="91"/>
        <v>1730.4377734027898</v>
      </c>
      <c r="L142" s="32">
        <f t="shared" ca="1" si="121"/>
        <v>1694.9983692380072</v>
      </c>
      <c r="M142" s="148">
        <f t="shared" ca="1" si="92"/>
        <v>85.889400628959365</v>
      </c>
      <c r="N142" s="148">
        <f t="shared" ca="1" si="93"/>
        <v>52.347327231867773</v>
      </c>
      <c r="O142" s="148">
        <f t="shared" ca="1" si="94"/>
        <v>25.126717071296529</v>
      </c>
      <c r="P142" s="148">
        <f t="shared" ca="1" si="95"/>
        <v>3.1408396339120661</v>
      </c>
      <c r="Q142" s="148">
        <f t="shared" ca="1" si="96"/>
        <v>6.2816792678241322</v>
      </c>
      <c r="R142" s="148">
        <f t="shared" ca="1" si="97"/>
        <v>335.70340953796801</v>
      </c>
      <c r="S142" s="148">
        <f t="shared" ca="1" si="98"/>
        <v>2093.8930892747107</v>
      </c>
      <c r="T142" s="28">
        <f t="shared" ca="1" si="122"/>
        <v>2051.0621821158043</v>
      </c>
      <c r="U142" s="148">
        <f t="shared" ca="1" si="99"/>
        <v>99.274256018437427</v>
      </c>
      <c r="V142" s="148">
        <f t="shared" ca="1" si="100"/>
        <v>73.211103258434676</v>
      </c>
      <c r="W142" s="148">
        <f t="shared" ca="1" si="101"/>
        <v>35.141329564048647</v>
      </c>
      <c r="X142" s="148">
        <f t="shared" ca="1" si="102"/>
        <v>4.3926661955060808</v>
      </c>
      <c r="Y142" s="148">
        <f t="shared" ca="1" si="103"/>
        <v>8.7853323910121617</v>
      </c>
      <c r="Z142" s="148">
        <f t="shared" ca="1" si="104"/>
        <v>636.93659834838172</v>
      </c>
      <c r="AA142" s="148">
        <f t="shared" ca="1" si="105"/>
        <v>2420.2017606094109</v>
      </c>
      <c r="AB142" s="24">
        <f t="shared" ca="1" si="123"/>
        <v>2378.1984919316365</v>
      </c>
      <c r="AC142" s="148">
        <f t="shared" ca="1" si="106"/>
        <v>117.57989412329704</v>
      </c>
      <c r="AD142" s="148">
        <f t="shared" ca="1" si="107"/>
        <v>86.710836374112858</v>
      </c>
      <c r="AE142" s="148">
        <f t="shared" ca="1" si="108"/>
        <v>41.621201459574173</v>
      </c>
      <c r="AF142" s="148">
        <f t="shared" ca="1" si="109"/>
        <v>5.2026501824467717</v>
      </c>
      <c r="AG142" s="148">
        <f t="shared" ca="1" si="110"/>
        <v>10.405300364893543</v>
      </c>
      <c r="AH142" s="148">
        <f t="shared" ca="1" si="111"/>
        <v>1049.2011201267655</v>
      </c>
      <c r="AI142" s="148">
        <f t="shared" ca="1" si="112"/>
        <v>2866.4739297227393</v>
      </c>
      <c r="AJ142" s="20">
        <f t="shared" ca="1" si="124"/>
        <v>2816.8684916842867</v>
      </c>
      <c r="AK142" s="148">
        <f t="shared" ca="1" si="113"/>
        <v>137.42308712843965</v>
      </c>
      <c r="AL142" s="148">
        <f t="shared" ca="1" si="114"/>
        <v>101.34445953424752</v>
      </c>
      <c r="AM142" s="148">
        <f t="shared" ca="1" si="115"/>
        <v>48.645340576438805</v>
      </c>
      <c r="AN142" s="148">
        <f t="shared" ca="1" si="116"/>
        <v>6.0806675720548506</v>
      </c>
      <c r="AO142" s="148">
        <f t="shared" ca="1" si="117"/>
        <v>12.161335144109701</v>
      </c>
      <c r="AP142" s="148">
        <f t="shared" ca="1" si="118"/>
        <v>1495.8442227254934</v>
      </c>
      <c r="AQ142" s="148">
        <f t="shared" ca="1" si="119"/>
        <v>3350.2300672478518</v>
      </c>
      <c r="AR142" s="17">
        <f t="shared" ca="1" si="125"/>
        <v>3292.1349611842379</v>
      </c>
      <c r="AS142" s="148">
        <f t="shared" ca="1" si="120"/>
        <v>1400.8250985438076</v>
      </c>
      <c r="AT142" s="48" t="str">
        <f>INDEX('stock fisico '!N:N, MATCH(B142, 'stock fisico '!B:B, 0))</f>
        <v>MAS CATEGORIAS</v>
      </c>
      <c r="AU142" s="46" t="str">
        <f>INDEX('stock fisico '!D:D, MATCH(B142, 'stock fisico '!B:B, 0))</f>
        <v>Adaptadores</v>
      </c>
      <c r="AV142" s="43" t="str">
        <f>INDEX('stock fisico '!L:L, MATCH(B142, 'stock fisico '!B:B, 0))</f>
        <v>Netmak</v>
      </c>
    </row>
    <row r="143" spans="1:48" x14ac:dyDescent="0.25">
      <c r="A143" s="48">
        <f>INDEX('stock fisico '!M:M, MATCH(B143, 'stock fisico '!B:B, 0))</f>
        <v>9600</v>
      </c>
      <c r="B143" s="47" t="s">
        <v>442</v>
      </c>
      <c r="C143" s="46" t="str">
        <f>INDEX('stock fisico '!C:C, MATCH(B143, 'stock fisico '!B:B, 0))</f>
        <v>AURICULAR NGX-BTWINS 4 GAMING ROSA  NOGANET  EAN:  7798137720054</v>
      </c>
      <c r="D143" s="44">
        <f>INDEX('stock fisico '!I:I, MATCH(B143, 'stock fisico '!B:B, 0))</f>
        <v>11895</v>
      </c>
      <c r="E143" s="6">
        <f t="shared" ca="1" si="126"/>
        <v>14506.09756097561</v>
      </c>
      <c r="F143" s="148">
        <f t="shared" ca="1" si="86"/>
        <v>644.31509030658447</v>
      </c>
      <c r="G143" s="148">
        <f t="shared" ca="1" si="87"/>
        <v>392.69307534714676</v>
      </c>
      <c r="H143" s="148">
        <f t="shared" ca="1" si="88"/>
        <v>188.49267616663042</v>
      </c>
      <c r="I143" s="148">
        <f t="shared" ca="1" si="89"/>
        <v>23.561584520828802</v>
      </c>
      <c r="J143" s="148">
        <f t="shared" ca="1" si="90"/>
        <v>47.123169041657604</v>
      </c>
      <c r="K143" s="148">
        <f t="shared" ca="1" si="91"/>
        <v>15707.723013885869</v>
      </c>
      <c r="L143" s="32">
        <f t="shared" ca="1" si="121"/>
        <v>15386.028496490482</v>
      </c>
      <c r="M143" s="148">
        <f t="shared" ca="1" si="92"/>
        <v>779.64485960994762</v>
      </c>
      <c r="N143" s="148">
        <f t="shared" ca="1" si="93"/>
        <v>475.17300495498898</v>
      </c>
      <c r="O143" s="148">
        <f t="shared" ca="1" si="94"/>
        <v>228.08304237839471</v>
      </c>
      <c r="P143" s="148">
        <f t="shared" ca="1" si="95"/>
        <v>28.510380297299339</v>
      </c>
      <c r="Q143" s="148">
        <f t="shared" ca="1" si="96"/>
        <v>57.020760594598677</v>
      </c>
      <c r="R143" s="148">
        <f t="shared" ca="1" si="97"/>
        <v>3047.284480776344</v>
      </c>
      <c r="S143" s="148">
        <f t="shared" ca="1" si="98"/>
        <v>19006.920198199557</v>
      </c>
      <c r="T143" s="28">
        <f t="shared" ca="1" si="122"/>
        <v>18618.130704334893</v>
      </c>
      <c r="U143" s="148">
        <f t="shared" ca="1" si="99"/>
        <v>901.14336378638211</v>
      </c>
      <c r="V143" s="148">
        <f t="shared" ca="1" si="100"/>
        <v>664.56000279231716</v>
      </c>
      <c r="W143" s="148">
        <f t="shared" ca="1" si="101"/>
        <v>318.98880134031225</v>
      </c>
      <c r="X143" s="148">
        <f t="shared" ca="1" si="102"/>
        <v>39.873600167539031</v>
      </c>
      <c r="Y143" s="148">
        <f t="shared" ca="1" si="103"/>
        <v>79.747200335078062</v>
      </c>
      <c r="Z143" s="148">
        <f t="shared" ca="1" si="104"/>
        <v>5781.6720242931597</v>
      </c>
      <c r="AA143" s="148">
        <f t="shared" ca="1" si="105"/>
        <v>21968.925712142718</v>
      </c>
      <c r="AB143" s="24">
        <f t="shared" ca="1" si="123"/>
        <v>21587.648950730541</v>
      </c>
      <c r="AC143" s="148">
        <f t="shared" ca="1" si="106"/>
        <v>1067.309346385191</v>
      </c>
      <c r="AD143" s="148">
        <f t="shared" ca="1" si="107"/>
        <v>787.10128789468365</v>
      </c>
      <c r="AE143" s="148">
        <f t="shared" ca="1" si="108"/>
        <v>377.80861818944817</v>
      </c>
      <c r="AF143" s="148">
        <f t="shared" ca="1" si="109"/>
        <v>47.226077273681021</v>
      </c>
      <c r="AG143" s="148">
        <f t="shared" ca="1" si="110"/>
        <v>94.452154547362042</v>
      </c>
      <c r="AH143" s="148">
        <f t="shared" ca="1" si="111"/>
        <v>9523.9255835256718</v>
      </c>
      <c r="AI143" s="148">
        <f t="shared" ca="1" si="112"/>
        <v>26019.877285774666</v>
      </c>
      <c r="AJ143" s="20">
        <f t="shared" ca="1" si="124"/>
        <v>25569.593263623283</v>
      </c>
      <c r="AK143" s="148">
        <f t="shared" ca="1" si="113"/>
        <v>1247.4321940406355</v>
      </c>
      <c r="AL143" s="148">
        <f t="shared" ca="1" si="114"/>
        <v>919.93524634265145</v>
      </c>
      <c r="AM143" s="148">
        <f t="shared" ca="1" si="115"/>
        <v>441.56891824447274</v>
      </c>
      <c r="AN143" s="148">
        <f t="shared" ca="1" si="116"/>
        <v>55.196114780559093</v>
      </c>
      <c r="AO143" s="148">
        <f t="shared" ca="1" si="117"/>
        <v>110.39222956111819</v>
      </c>
      <c r="AP143" s="148">
        <f t="shared" ca="1" si="118"/>
        <v>13578.244236017536</v>
      </c>
      <c r="AQ143" s="148">
        <f t="shared" ca="1" si="119"/>
        <v>30411.082523724017</v>
      </c>
      <c r="AR143" s="17">
        <f t="shared" ca="1" si="125"/>
        <v>29883.735138839373</v>
      </c>
      <c r="AS143" s="148">
        <f t="shared" ca="1" si="120"/>
        <v>12715.726030157424</v>
      </c>
      <c r="AT143" s="48" t="str">
        <f>INDEX('stock fisico '!N:N, MATCH(B143, 'stock fisico '!B:B, 0))</f>
        <v>TV-AUDIO-VIDEO</v>
      </c>
      <c r="AU143" s="46" t="str">
        <f>INDEX('stock fisico '!D:D, MATCH(B143, 'stock fisico '!B:B, 0))</f>
        <v>Auriculares</v>
      </c>
      <c r="AV143" s="43" t="str">
        <f>INDEX('stock fisico '!L:L, MATCH(B143, 'stock fisico '!B:B, 0))</f>
        <v>Noganet</v>
      </c>
    </row>
    <row r="144" spans="1:48" x14ac:dyDescent="0.25">
      <c r="A144" s="48">
        <f>INDEX('stock fisico '!M:M, MATCH(B144, 'stock fisico '!B:B, 0))</f>
        <v>4163</v>
      </c>
      <c r="B144" s="47" t="s">
        <v>514</v>
      </c>
      <c r="C144" s="46" t="str">
        <f>INDEX('stock fisico '!C:C, MATCH(B144, 'stock fisico '!B:B, 0))</f>
        <v>CD PRINTABLE BULK X50 UNIDADES 700MB 52X GLOBAL</v>
      </c>
      <c r="D144" s="44">
        <f>INDEX('stock fisico '!I:I, MATCH(B144, 'stock fisico '!B:B, 0))</f>
        <v>11700</v>
      </c>
      <c r="E144" s="6">
        <f t="shared" ca="1" si="126"/>
        <v>14268.292682926829</v>
      </c>
      <c r="F144" s="148">
        <f t="shared" ca="1" si="86"/>
        <v>633.75254784254207</v>
      </c>
      <c r="G144" s="148">
        <f t="shared" ca="1" si="87"/>
        <v>386.25548394801319</v>
      </c>
      <c r="H144" s="148">
        <f t="shared" ca="1" si="88"/>
        <v>185.40263229504632</v>
      </c>
      <c r="I144" s="148">
        <f t="shared" ca="1" si="89"/>
        <v>23.17532903688079</v>
      </c>
      <c r="J144" s="148">
        <f t="shared" ca="1" si="90"/>
        <v>46.350658073761579</v>
      </c>
      <c r="K144" s="148">
        <f t="shared" ca="1" si="91"/>
        <v>15450.219357920527</v>
      </c>
      <c r="L144" s="32">
        <f t="shared" ca="1" si="121"/>
        <v>15133.798521138178</v>
      </c>
      <c r="M144" s="148">
        <f t="shared" ca="1" si="92"/>
        <v>766.86379633765341</v>
      </c>
      <c r="N144" s="148">
        <f t="shared" ca="1" si="93"/>
        <v>467.38328356228425</v>
      </c>
      <c r="O144" s="148">
        <f t="shared" ca="1" si="94"/>
        <v>224.34397610989643</v>
      </c>
      <c r="P144" s="148">
        <f t="shared" ca="1" si="95"/>
        <v>28.042997013737054</v>
      </c>
      <c r="Q144" s="148">
        <f t="shared" ca="1" si="96"/>
        <v>56.085994027474108</v>
      </c>
      <c r="R144" s="148">
        <f t="shared" ca="1" si="97"/>
        <v>2997.3289974849285</v>
      </c>
      <c r="S144" s="148">
        <f t="shared" ca="1" si="98"/>
        <v>18695.331342491369</v>
      </c>
      <c r="T144" s="28">
        <f t="shared" ca="1" si="122"/>
        <v>18312.915446886782</v>
      </c>
      <c r="U144" s="148">
        <f t="shared" ca="1" si="99"/>
        <v>886.37052175709709</v>
      </c>
      <c r="V144" s="148">
        <f t="shared" ca="1" si="100"/>
        <v>653.66557651703329</v>
      </c>
      <c r="W144" s="148">
        <f t="shared" ca="1" si="101"/>
        <v>313.75947672817597</v>
      </c>
      <c r="X144" s="148">
        <f t="shared" ca="1" si="102"/>
        <v>39.219934591021996</v>
      </c>
      <c r="Y144" s="148">
        <f t="shared" ca="1" si="103"/>
        <v>78.439869182043992</v>
      </c>
      <c r="Z144" s="148">
        <f t="shared" ca="1" si="104"/>
        <v>5686.8905156981891</v>
      </c>
      <c r="AA144" s="148">
        <f t="shared" ca="1" si="105"/>
        <v>21608.779388992836</v>
      </c>
      <c r="AB144" s="24">
        <f t="shared" ca="1" si="123"/>
        <v>21233.753066292335</v>
      </c>
      <c r="AC144" s="148">
        <f t="shared" ca="1" si="106"/>
        <v>1049.8124718542863</v>
      </c>
      <c r="AD144" s="148">
        <f t="shared" ca="1" si="107"/>
        <v>774.19798809313147</v>
      </c>
      <c r="AE144" s="148">
        <f t="shared" ca="1" si="108"/>
        <v>371.61503428470314</v>
      </c>
      <c r="AF144" s="148">
        <f t="shared" ca="1" si="109"/>
        <v>46.451879285587893</v>
      </c>
      <c r="AG144" s="148">
        <f t="shared" ca="1" si="110"/>
        <v>92.903758571175786</v>
      </c>
      <c r="AH144" s="148">
        <f t="shared" ca="1" si="111"/>
        <v>9367.7956559268914</v>
      </c>
      <c r="AI144" s="148">
        <f t="shared" ca="1" si="112"/>
        <v>25593.3219204341</v>
      </c>
      <c r="AJ144" s="20">
        <f t="shared" ca="1" si="124"/>
        <v>25150.419603563885</v>
      </c>
      <c r="AK144" s="148">
        <f t="shared" ca="1" si="113"/>
        <v>1226.9824859416087</v>
      </c>
      <c r="AL144" s="148">
        <f t="shared" ca="1" si="114"/>
        <v>904.85434066490313</v>
      </c>
      <c r="AM144" s="148">
        <f t="shared" ca="1" si="115"/>
        <v>434.3300835191535</v>
      </c>
      <c r="AN144" s="148">
        <f t="shared" ca="1" si="116"/>
        <v>54.291260439894188</v>
      </c>
      <c r="AO144" s="148">
        <f t="shared" ca="1" si="117"/>
        <v>108.58252087978838</v>
      </c>
      <c r="AP144" s="148">
        <f t="shared" ca="1" si="118"/>
        <v>13355.65006821397</v>
      </c>
      <c r="AQ144" s="148">
        <f t="shared" ca="1" si="119"/>
        <v>29912.540187269526</v>
      </c>
      <c r="AR144" s="17">
        <f t="shared" ca="1" si="125"/>
        <v>29393.837841481349</v>
      </c>
      <c r="AS144" s="148">
        <f t="shared" ca="1" si="120"/>
        <v>12507.271505072875</v>
      </c>
      <c r="AT144" s="48" t="str">
        <f>INDEX('stock fisico '!N:N, MATCH(B144, 'stock fisico '!B:B, 0))</f>
        <v>INFORMATICA</v>
      </c>
      <c r="AU144" s="46" t="str">
        <f>INDEX('stock fisico '!D:D, MATCH(B144, 'stock fisico '!B:B, 0))</f>
        <v>CDs y DVDs Vírgenes</v>
      </c>
      <c r="AV144" s="43" t="str">
        <f>INDEX('stock fisico '!L:L, MATCH(B144, 'stock fisico '!B:B, 0))</f>
        <v>Global</v>
      </c>
    </row>
    <row r="145" spans="1:48" x14ac:dyDescent="0.25">
      <c r="A145" s="48">
        <f>INDEX('stock fisico '!M:M, MATCH(B145, 'stock fisico '!B:B, 0))</f>
        <v>9620</v>
      </c>
      <c r="B145" s="47" t="s">
        <v>280</v>
      </c>
      <c r="C145" s="46" t="str">
        <f>INDEX('stock fisico '!C:C, MATCH(B145, 'stock fisico '!B:B, 0))</f>
        <v>RELOJ SMARTWATCH NG-SW04 AMARILLO NOGANET EAN:  7798137720511</v>
      </c>
      <c r="D145" s="44">
        <f>INDEX('stock fisico '!I:I, MATCH(B145, 'stock fisico '!B:B, 0))</f>
        <v>5790</v>
      </c>
      <c r="E145" s="6">
        <f t="shared" ca="1" si="126"/>
        <v>7060.9756097560976</v>
      </c>
      <c r="F145" s="148">
        <f t="shared" ca="1" si="86"/>
        <v>313.62626085541183</v>
      </c>
      <c r="G145" s="148">
        <f t="shared" ca="1" si="87"/>
        <v>191.14694462042704</v>
      </c>
      <c r="H145" s="148">
        <f t="shared" ca="1" si="88"/>
        <v>91.750533417804974</v>
      </c>
      <c r="I145" s="148">
        <f t="shared" ca="1" si="89"/>
        <v>11.468816677225622</v>
      </c>
      <c r="J145" s="148">
        <f t="shared" ca="1" si="90"/>
        <v>22.937633354451243</v>
      </c>
      <c r="K145" s="148">
        <f t="shared" ca="1" si="91"/>
        <v>7645.8777848170812</v>
      </c>
      <c r="L145" s="32">
        <f t="shared" ca="1" si="121"/>
        <v>7489.2900373837656</v>
      </c>
      <c r="M145" s="148">
        <f t="shared" ca="1" si="92"/>
        <v>379.4992633158131</v>
      </c>
      <c r="N145" s="148">
        <f t="shared" ca="1" si="93"/>
        <v>231.29480442954065</v>
      </c>
      <c r="O145" s="148">
        <f t="shared" ca="1" si="94"/>
        <v>111.0215061261795</v>
      </c>
      <c r="P145" s="148">
        <f t="shared" ca="1" si="95"/>
        <v>13.877688265772438</v>
      </c>
      <c r="Q145" s="148">
        <f t="shared" ca="1" si="96"/>
        <v>27.755376531544876</v>
      </c>
      <c r="R145" s="148">
        <f t="shared" ca="1" si="97"/>
        <v>1483.2935808066441</v>
      </c>
      <c r="S145" s="148">
        <f t="shared" ca="1" si="98"/>
        <v>9251.7921771816254</v>
      </c>
      <c r="T145" s="28">
        <f t="shared" ca="1" si="122"/>
        <v>9062.5453365362791</v>
      </c>
      <c r="U145" s="148">
        <f t="shared" ca="1" si="99"/>
        <v>438.63977102338401</v>
      </c>
      <c r="V145" s="148">
        <f t="shared" ca="1" si="100"/>
        <v>323.48065709689087</v>
      </c>
      <c r="W145" s="148">
        <f t="shared" ca="1" si="101"/>
        <v>155.27071540650761</v>
      </c>
      <c r="X145" s="148">
        <f t="shared" ca="1" si="102"/>
        <v>19.408839425813451</v>
      </c>
      <c r="Y145" s="148">
        <f t="shared" ca="1" si="103"/>
        <v>38.817678851626901</v>
      </c>
      <c r="Z145" s="148">
        <f t="shared" ca="1" si="104"/>
        <v>2814.2817167429503</v>
      </c>
      <c r="AA145" s="148">
        <f t="shared" ca="1" si="105"/>
        <v>10693.575441219533</v>
      </c>
      <c r="AB145" s="24">
        <f t="shared" ca="1" si="123"/>
        <v>10507.985491780566</v>
      </c>
      <c r="AC145" s="148">
        <f t="shared" ca="1" si="106"/>
        <v>519.52258222532635</v>
      </c>
      <c r="AD145" s="148">
        <f t="shared" ca="1" si="107"/>
        <v>383.12874795378048</v>
      </c>
      <c r="AE145" s="148">
        <f t="shared" ca="1" si="108"/>
        <v>183.90179901781462</v>
      </c>
      <c r="AF145" s="148">
        <f t="shared" ca="1" si="109"/>
        <v>22.987724877226828</v>
      </c>
      <c r="AG145" s="148">
        <f t="shared" ca="1" si="110"/>
        <v>45.975449754453656</v>
      </c>
      <c r="AH145" s="148">
        <f t="shared" ca="1" si="111"/>
        <v>4635.8578502407436</v>
      </c>
      <c r="AI145" s="148">
        <f t="shared" ca="1" si="112"/>
        <v>12665.413155496875</v>
      </c>
      <c r="AJ145" s="20">
        <f t="shared" ca="1" si="124"/>
        <v>12446.233290994434</v>
      </c>
      <c r="AK145" s="148">
        <f t="shared" ca="1" si="113"/>
        <v>607.19902509418068</v>
      </c>
      <c r="AL145" s="148">
        <f t="shared" ca="1" si="114"/>
        <v>447.78689166237513</v>
      </c>
      <c r="AM145" s="148">
        <f t="shared" ca="1" si="115"/>
        <v>214.93770799794007</v>
      </c>
      <c r="AN145" s="148">
        <f t="shared" ca="1" si="116"/>
        <v>26.867213499742508</v>
      </c>
      <c r="AO145" s="148">
        <f t="shared" ca="1" si="117"/>
        <v>53.734426999485017</v>
      </c>
      <c r="AP145" s="148">
        <f t="shared" ca="1" si="118"/>
        <v>6609.3345209366571</v>
      </c>
      <c r="AQ145" s="148">
        <f t="shared" ca="1" si="119"/>
        <v>14802.872451648765</v>
      </c>
      <c r="AR145" s="17">
        <f t="shared" ca="1" si="125"/>
        <v>14546.18129078436</v>
      </c>
      <c r="AS145" s="148">
        <f t="shared" ca="1" si="120"/>
        <v>6189.4958986642696</v>
      </c>
      <c r="AT145" s="48" t="str">
        <f>INDEX('stock fisico '!N:N, MATCH(B145, 'stock fisico '!B:B, 0))</f>
        <v>TECNOLOGIA Y CELULARES</v>
      </c>
      <c r="AU145" s="46" t="str">
        <f>INDEX('stock fisico '!D:D, MATCH(B145, 'stock fisico '!B:B, 0))</f>
        <v>Smartwatch</v>
      </c>
      <c r="AV145" s="43" t="str">
        <f>INDEX('stock fisico '!L:L, MATCH(B145, 'stock fisico '!B:B, 0))</f>
        <v>Noganet</v>
      </c>
    </row>
    <row r="146" spans="1:48" x14ac:dyDescent="0.25">
      <c r="A146" s="48">
        <f>INDEX('stock fisico '!M:M, MATCH(B146, 'stock fisico '!B:B, 0))</f>
        <v>9035</v>
      </c>
      <c r="B146" s="47" t="s">
        <v>523</v>
      </c>
      <c r="C146" s="46" t="str">
        <f>INDEX('stock fisico '!C:C, MATCH(B146, 'stock fisico '!B:B, 0))</f>
        <v>CABLE VGA M/M NM-C18 3 METROS  NETMAK EAN:  7792641882185</v>
      </c>
      <c r="D146" s="44">
        <f>INDEX('stock fisico '!I:I, MATCH(B146, 'stock fisico '!B:B, 0))</f>
        <v>4451.2</v>
      </c>
      <c r="E146" s="6">
        <f t="shared" ca="1" si="126"/>
        <v>5428.292682926829</v>
      </c>
      <c r="F146" s="148">
        <f t="shared" ca="1" si="86"/>
        <v>241.10763597920715</v>
      </c>
      <c r="G146" s="148">
        <f t="shared" ca="1" si="87"/>
        <v>146.94875300422191</v>
      </c>
      <c r="H146" s="148">
        <f t="shared" ca="1" si="88"/>
        <v>70.535401442026512</v>
      </c>
      <c r="I146" s="148">
        <f t="shared" ca="1" si="89"/>
        <v>8.816925180253314</v>
      </c>
      <c r="J146" s="148">
        <f t="shared" ca="1" si="90"/>
        <v>17.633850360506628</v>
      </c>
      <c r="K146" s="148">
        <f t="shared" ca="1" si="91"/>
        <v>5877.9501201688763</v>
      </c>
      <c r="L146" s="32">
        <f t="shared" ca="1" si="121"/>
        <v>5757.5695707085697</v>
      </c>
      <c r="M146" s="148">
        <f t="shared" ca="1" si="92"/>
        <v>291.74907096223615</v>
      </c>
      <c r="N146" s="148">
        <f t="shared" ca="1" si="93"/>
        <v>177.81337365747345</v>
      </c>
      <c r="O146" s="148">
        <f t="shared" ca="1" si="94"/>
        <v>85.350419355587263</v>
      </c>
      <c r="P146" s="148">
        <f t="shared" ca="1" si="95"/>
        <v>10.668802419448408</v>
      </c>
      <c r="Q146" s="148">
        <f t="shared" ca="1" si="96"/>
        <v>21.337604838896816</v>
      </c>
      <c r="R146" s="148">
        <f t="shared" ca="1" si="97"/>
        <v>1140.3171652653773</v>
      </c>
      <c r="S146" s="148">
        <f t="shared" ca="1" si="98"/>
        <v>7112.5349462989379</v>
      </c>
      <c r="T146" s="28">
        <f t="shared" ca="1" si="122"/>
        <v>6967.046943348927</v>
      </c>
      <c r="U146" s="148">
        <f t="shared" ca="1" si="99"/>
        <v>337.21474072181115</v>
      </c>
      <c r="V146" s="148">
        <f t="shared" ca="1" si="100"/>
        <v>248.68343711048021</v>
      </c>
      <c r="W146" s="148">
        <f t="shared" ca="1" si="101"/>
        <v>119.36804981303051</v>
      </c>
      <c r="X146" s="148">
        <f t="shared" ca="1" si="102"/>
        <v>14.921006226628814</v>
      </c>
      <c r="Y146" s="148">
        <f t="shared" ca="1" si="103"/>
        <v>29.842012453257627</v>
      </c>
      <c r="Z146" s="148">
        <f t="shared" ca="1" si="104"/>
        <v>2163.5459028611776</v>
      </c>
      <c r="AA146" s="148">
        <f t="shared" ca="1" si="105"/>
        <v>8220.9400697679412</v>
      </c>
      <c r="AB146" s="24">
        <f t="shared" ca="1" si="123"/>
        <v>8078.2633887761058</v>
      </c>
      <c r="AC146" s="148">
        <f t="shared" ca="1" si="106"/>
        <v>399.39532262545288</v>
      </c>
      <c r="AD146" s="148">
        <f t="shared" ca="1" si="107"/>
        <v>294.539323470098</v>
      </c>
      <c r="AE146" s="148">
        <f t="shared" ca="1" si="108"/>
        <v>141.37887526564703</v>
      </c>
      <c r="AF146" s="148">
        <f t="shared" ca="1" si="109"/>
        <v>17.672359408205878</v>
      </c>
      <c r="AG146" s="148">
        <f t="shared" ca="1" si="110"/>
        <v>35.344718816411756</v>
      </c>
      <c r="AH146" s="148">
        <f t="shared" ca="1" si="111"/>
        <v>3563.9258139881858</v>
      </c>
      <c r="AI146" s="148">
        <f t="shared" ca="1" si="112"/>
        <v>9736.8371395073718</v>
      </c>
      <c r="AJ146" s="20">
        <f t="shared" ca="1" si="124"/>
        <v>9568.3374136225266</v>
      </c>
      <c r="AK146" s="148">
        <f t="shared" ca="1" si="113"/>
        <v>466.79867020711868</v>
      </c>
      <c r="AL146" s="148">
        <f t="shared" ca="1" si="114"/>
        <v>344.24680693740316</v>
      </c>
      <c r="AM146" s="148">
        <f t="shared" ca="1" si="115"/>
        <v>165.23846732995352</v>
      </c>
      <c r="AN146" s="148">
        <f t="shared" ca="1" si="116"/>
        <v>20.65480841624419</v>
      </c>
      <c r="AO146" s="148">
        <f t="shared" ca="1" si="117"/>
        <v>41.309616832488381</v>
      </c>
      <c r="AP146" s="148">
        <f t="shared" ca="1" si="118"/>
        <v>5081.0828703960706</v>
      </c>
      <c r="AQ146" s="148">
        <f t="shared" ca="1" si="119"/>
        <v>11380.059733467873</v>
      </c>
      <c r="AR146" s="17">
        <f t="shared" ca="1" si="125"/>
        <v>11182.72230769246</v>
      </c>
      <c r="AS146" s="148">
        <f t="shared" ca="1" si="120"/>
        <v>4758.3219592632813</v>
      </c>
      <c r="AT146" s="48" t="str">
        <f>INDEX('stock fisico '!N:N, MATCH(B146, 'stock fisico '!B:B, 0))</f>
        <v>MAS CATEGORIAS</v>
      </c>
      <c r="AU146" s="46" t="str">
        <f>INDEX('stock fisico '!D:D, MATCH(B146, 'stock fisico '!B:B, 0))</f>
        <v>Cables</v>
      </c>
      <c r="AV146" s="43" t="str">
        <f>INDEX('stock fisico '!L:L, MATCH(B146, 'stock fisico '!B:B, 0))</f>
        <v>Netmak</v>
      </c>
    </row>
    <row r="147" spans="1:48" x14ac:dyDescent="0.25">
      <c r="A147" s="48">
        <f>INDEX('stock fisico '!M:M, MATCH(B147, 'stock fisico '!B:B, 0))</f>
        <v>9363</v>
      </c>
      <c r="B147" s="47" t="s">
        <v>560</v>
      </c>
      <c r="C147" s="46" t="str">
        <f>INDEX('stock fisico '!C:C, MATCH(B147, 'stock fisico '!B:B, 0))</f>
        <v>SECADOR DE PELO HELIOS- CX GFAMA  EAN:  8023277149816</v>
      </c>
      <c r="D147" s="44">
        <f>INDEX('stock fisico '!I:I, MATCH(B147, 'stock fisico '!B:B, 0))</f>
        <v>18638.71</v>
      </c>
      <c r="E147" s="6">
        <f t="shared" ca="1" si="126"/>
        <v>22730.134146341461</v>
      </c>
      <c r="F147" s="148">
        <f t="shared" ca="1" si="86"/>
        <v>1009.6008505126723</v>
      </c>
      <c r="G147" s="148">
        <f t="shared" ca="1" si="87"/>
        <v>615.32512403561304</v>
      </c>
      <c r="H147" s="148">
        <f t="shared" ca="1" si="88"/>
        <v>295.35605953709421</v>
      </c>
      <c r="I147" s="148">
        <f t="shared" ca="1" si="89"/>
        <v>36.919507442136776</v>
      </c>
      <c r="J147" s="148">
        <f t="shared" ca="1" si="90"/>
        <v>73.839014884273553</v>
      </c>
      <c r="K147" s="148">
        <f t="shared" ca="1" si="91"/>
        <v>24613.004961424518</v>
      </c>
      <c r="L147" s="32">
        <f t="shared" ca="1" si="121"/>
        <v>24108.930071275499</v>
      </c>
      <c r="M147" s="148">
        <f t="shared" ca="1" si="92"/>
        <v>1221.6540093535541</v>
      </c>
      <c r="N147" s="148">
        <f t="shared" ca="1" si="93"/>
        <v>744.56593856112659</v>
      </c>
      <c r="O147" s="148">
        <f t="shared" ca="1" si="94"/>
        <v>357.39165050934076</v>
      </c>
      <c r="P147" s="148">
        <f t="shared" ca="1" si="95"/>
        <v>44.673956313667595</v>
      </c>
      <c r="Q147" s="148">
        <f t="shared" ca="1" si="96"/>
        <v>89.347912627335191</v>
      </c>
      <c r="R147" s="148">
        <f t="shared" ca="1" si="97"/>
        <v>4774.9013639925042</v>
      </c>
      <c r="S147" s="148">
        <f t="shared" ca="1" si="98"/>
        <v>29782.637542445063</v>
      </c>
      <c r="T147" s="28">
        <f t="shared" ca="1" si="122"/>
        <v>29173.429082824194</v>
      </c>
      <c r="U147" s="148">
        <f t="shared" ca="1" si="99"/>
        <v>1412.0344536392499</v>
      </c>
      <c r="V147" s="148">
        <f t="shared" ca="1" si="100"/>
        <v>1041.3233433917771</v>
      </c>
      <c r="W147" s="148">
        <f t="shared" ca="1" si="101"/>
        <v>499.83520482805307</v>
      </c>
      <c r="X147" s="148">
        <f t="shared" ca="1" si="102"/>
        <v>62.479400603506633</v>
      </c>
      <c r="Y147" s="148">
        <f t="shared" ca="1" si="103"/>
        <v>124.95880120701327</v>
      </c>
      <c r="Z147" s="148">
        <f t="shared" ca="1" si="104"/>
        <v>9059.5130875084615</v>
      </c>
      <c r="AA147" s="148">
        <f t="shared" ca="1" si="105"/>
        <v>34423.912178240571</v>
      </c>
      <c r="AB147" s="24">
        <f t="shared" ca="1" si="123"/>
        <v>33826.47569352424</v>
      </c>
      <c r="AC147" s="148">
        <f t="shared" ca="1" si="106"/>
        <v>1672.406001476513</v>
      </c>
      <c r="AD147" s="148">
        <f t="shared" ca="1" si="107"/>
        <v>1233.3377592009683</v>
      </c>
      <c r="AE147" s="148">
        <f t="shared" ca="1" si="108"/>
        <v>592.00212441646477</v>
      </c>
      <c r="AF147" s="148">
        <f t="shared" ca="1" si="109"/>
        <v>74.000265552058096</v>
      </c>
      <c r="AG147" s="148">
        <f t="shared" ca="1" si="110"/>
        <v>148.00053110411619</v>
      </c>
      <c r="AH147" s="148">
        <f t="shared" ca="1" si="111"/>
        <v>14923.386886331715</v>
      </c>
      <c r="AI147" s="148">
        <f t="shared" ca="1" si="112"/>
        <v>40771.496171932835</v>
      </c>
      <c r="AJ147" s="20">
        <f t="shared" ca="1" si="124"/>
        <v>40065.929689670273</v>
      </c>
      <c r="AK147" s="148">
        <f t="shared" ca="1" si="113"/>
        <v>1954.6470709867283</v>
      </c>
      <c r="AL147" s="148">
        <f t="shared" ca="1" si="114"/>
        <v>1441.4801408456699</v>
      </c>
      <c r="AM147" s="148">
        <f t="shared" ca="1" si="115"/>
        <v>691.91046760592155</v>
      </c>
      <c r="AN147" s="148">
        <f t="shared" ca="1" si="116"/>
        <v>86.488808450740194</v>
      </c>
      <c r="AO147" s="148">
        <f t="shared" ca="1" si="117"/>
        <v>172.97761690148039</v>
      </c>
      <c r="AP147" s="148">
        <f t="shared" ca="1" si="118"/>
        <v>21276.246878882088</v>
      </c>
      <c r="AQ147" s="148">
        <f t="shared" ca="1" si="119"/>
        <v>47652.236061013878</v>
      </c>
      <c r="AR147" s="17">
        <f t="shared" ca="1" si="125"/>
        <v>46825.916180717679</v>
      </c>
      <c r="AS147" s="148">
        <f t="shared" ca="1" si="120"/>
        <v>19924.735596095456</v>
      </c>
      <c r="AT147" s="48" t="str">
        <f>INDEX('stock fisico '!N:N, MATCH(B147, 'stock fisico '!B:B, 0))</f>
        <v>ELECTRODOMESTICOS Y AIRES ACOND</v>
      </c>
      <c r="AU147" s="46" t="str">
        <f>INDEX('stock fisico '!D:D, MATCH(B147, 'stock fisico '!B:B, 0))</f>
        <v xml:space="preserve">Cuidado personal </v>
      </c>
      <c r="AV147" s="43" t="str">
        <f>INDEX('stock fisico '!L:L, MATCH(B147, 'stock fisico '!B:B, 0))</f>
        <v>Gama</v>
      </c>
    </row>
    <row r="148" spans="1:48" x14ac:dyDescent="0.25">
      <c r="A148" s="48">
        <f>INDEX('stock fisico '!M:M, MATCH(B148, 'stock fisico '!B:B, 0))</f>
        <v>9381</v>
      </c>
      <c r="B148" s="47" t="s">
        <v>219</v>
      </c>
      <c r="C148" s="46" t="str">
        <f>INDEX('stock fisico '!C:C, MATCH(B148, 'stock fisico '!B:B, 0))</f>
        <v>BALANZA DE VIDRIO SCG-430 GAMA  EAN:  8023277105874</v>
      </c>
      <c r="D148" s="44">
        <f>INDEX('stock fisico '!I:I, MATCH(B148, 'stock fisico '!B:B, 0))</f>
        <v>18052.16</v>
      </c>
      <c r="E148" s="6">
        <f t="shared" ca="1" si="126"/>
        <v>22014.829268292684</v>
      </c>
      <c r="F148" s="148">
        <f t="shared" ca="1" si="86"/>
        <v>977.82926444967734</v>
      </c>
      <c r="G148" s="148">
        <f t="shared" ca="1" si="87"/>
        <v>595.96117923991164</v>
      </c>
      <c r="H148" s="148">
        <f t="shared" ca="1" si="88"/>
        <v>286.06136603515756</v>
      </c>
      <c r="I148" s="148">
        <f t="shared" ca="1" si="89"/>
        <v>35.757670754394695</v>
      </c>
      <c r="J148" s="148">
        <f t="shared" ca="1" si="90"/>
        <v>71.51534150878939</v>
      </c>
      <c r="K148" s="148">
        <f t="shared" ca="1" si="91"/>
        <v>23838.447169596464</v>
      </c>
      <c r="L148" s="32">
        <f t="shared" ca="1" si="121"/>
        <v>23350.235240286307</v>
      </c>
      <c r="M148" s="148">
        <f t="shared" ca="1" si="92"/>
        <v>1183.2092264696353</v>
      </c>
      <c r="N148" s="148">
        <f t="shared" ca="1" si="93"/>
        <v>721.13485608476276</v>
      </c>
      <c r="O148" s="148">
        <f t="shared" ca="1" si="94"/>
        <v>346.14473092068613</v>
      </c>
      <c r="P148" s="148">
        <f t="shared" ca="1" si="95"/>
        <v>43.268091365085766</v>
      </c>
      <c r="Q148" s="148">
        <f t="shared" ca="1" si="96"/>
        <v>86.536182730171532</v>
      </c>
      <c r="R148" s="148">
        <f t="shared" ca="1" si="97"/>
        <v>4624.637832071583</v>
      </c>
      <c r="S148" s="148">
        <f t="shared" ca="1" si="98"/>
        <v>28845.39424339051</v>
      </c>
      <c r="T148" s="28">
        <f t="shared" ca="1" si="122"/>
        <v>28255.357240484758</v>
      </c>
      <c r="U148" s="148">
        <f t="shared" ca="1" si="99"/>
        <v>1367.5985023968035</v>
      </c>
      <c r="V148" s="148">
        <f t="shared" ca="1" si="100"/>
        <v>1008.5534678442503</v>
      </c>
      <c r="W148" s="148">
        <f t="shared" ca="1" si="101"/>
        <v>484.1056645652402</v>
      </c>
      <c r="X148" s="148">
        <f t="shared" ca="1" si="102"/>
        <v>60.513208070655025</v>
      </c>
      <c r="Y148" s="148">
        <f t="shared" ca="1" si="103"/>
        <v>121.02641614131005</v>
      </c>
      <c r="Z148" s="148">
        <f t="shared" ca="1" si="104"/>
        <v>8774.4151702449781</v>
      </c>
      <c r="AA148" s="148">
        <f t="shared" ca="1" si="105"/>
        <v>33340.610507247948</v>
      </c>
      <c r="AB148" s="24">
        <f t="shared" ca="1" si="123"/>
        <v>32761.975021641018</v>
      </c>
      <c r="AC148" s="148">
        <f t="shared" ca="1" si="106"/>
        <v>1619.7763001631688</v>
      </c>
      <c r="AD148" s="148">
        <f t="shared" ca="1" si="107"/>
        <v>1194.5252951055816</v>
      </c>
      <c r="AE148" s="148">
        <f t="shared" ca="1" si="108"/>
        <v>573.37214165067917</v>
      </c>
      <c r="AF148" s="148">
        <f t="shared" ca="1" si="109"/>
        <v>71.671517706334896</v>
      </c>
      <c r="AG148" s="148">
        <f t="shared" ca="1" si="110"/>
        <v>143.34303541266979</v>
      </c>
      <c r="AH148" s="148">
        <f t="shared" ca="1" si="111"/>
        <v>14453.756070777537</v>
      </c>
      <c r="AI148" s="148">
        <f t="shared" ca="1" si="112"/>
        <v>39488.439507622534</v>
      </c>
      <c r="AJ148" s="20">
        <f t="shared" ca="1" si="124"/>
        <v>38805.076816296743</v>
      </c>
      <c r="AK148" s="148">
        <f t="shared" ca="1" si="113"/>
        <v>1893.135397727835</v>
      </c>
      <c r="AL148" s="148">
        <f t="shared" ca="1" si="114"/>
        <v>1396.1175499467811</v>
      </c>
      <c r="AM148" s="148">
        <f t="shared" ca="1" si="115"/>
        <v>670.13642397445494</v>
      </c>
      <c r="AN148" s="148">
        <f t="shared" ca="1" si="116"/>
        <v>83.767052996806868</v>
      </c>
      <c r="AO148" s="148">
        <f t="shared" ca="1" si="117"/>
        <v>167.53410599361374</v>
      </c>
      <c r="AP148" s="148">
        <f t="shared" ca="1" si="118"/>
        <v>20606.695037214489</v>
      </c>
      <c r="AQ148" s="148">
        <f t="shared" ca="1" si="119"/>
        <v>46152.646279232431</v>
      </c>
      <c r="AR148" s="17">
        <f t="shared" ca="1" si="125"/>
        <v>45352.330233203073</v>
      </c>
      <c r="AS148" s="148">
        <f t="shared" ca="1" si="120"/>
        <v>19297.715074616783</v>
      </c>
      <c r="AT148" s="48" t="str">
        <f>INDEX('stock fisico '!N:N, MATCH(B148, 'stock fisico '!B:B, 0))</f>
        <v>ELECTRODOMESTICOS Y AIRES ACOND</v>
      </c>
      <c r="AU148" s="46" t="str">
        <f>INDEX('stock fisico '!D:D, MATCH(B148, 'stock fisico '!B:B, 0))</f>
        <v xml:space="preserve">Pequeños Electrodomesticos </v>
      </c>
      <c r="AV148" s="43" t="str">
        <f>INDEX('stock fisico '!L:L, MATCH(B148, 'stock fisico '!B:B, 0))</f>
        <v>Gama</v>
      </c>
    </row>
    <row r="149" spans="1:48" x14ac:dyDescent="0.25">
      <c r="A149" s="48">
        <f>INDEX('stock fisico '!M:M, MATCH(B149, 'stock fisico '!B:B, 0))</f>
        <v>3732</v>
      </c>
      <c r="B149" s="47" t="s">
        <v>584</v>
      </c>
      <c r="C149" s="46" t="str">
        <f>INDEX('stock fisico '!C:C, MATCH(B149, 'stock fisico '!B:B, 0))</f>
        <v>CABLE DE RED UTP NM-C04 1  1 METRO NETMAK  EAN:  7792641882062</v>
      </c>
      <c r="D149" s="44">
        <f>INDEX('stock fisico '!I:I, MATCH(B149, 'stock fisico '!B:B, 0))</f>
        <v>3250</v>
      </c>
      <c r="E149" s="6">
        <f t="shared" ca="1" si="126"/>
        <v>3963.4146341463415</v>
      </c>
      <c r="F149" s="148">
        <f t="shared" ca="1" si="86"/>
        <v>176.04237440070617</v>
      </c>
      <c r="G149" s="148">
        <f t="shared" ca="1" si="87"/>
        <v>107.29318998555924</v>
      </c>
      <c r="H149" s="148">
        <f t="shared" ca="1" si="88"/>
        <v>51.500731193068432</v>
      </c>
      <c r="I149" s="148">
        <f t="shared" ca="1" si="89"/>
        <v>6.437591399133554</v>
      </c>
      <c r="J149" s="148">
        <f t="shared" ca="1" si="90"/>
        <v>12.875182798267108</v>
      </c>
      <c r="K149" s="148">
        <f t="shared" ca="1" si="91"/>
        <v>4291.7275994223692</v>
      </c>
      <c r="L149" s="32">
        <f t="shared" ca="1" si="121"/>
        <v>4203.8329225383832</v>
      </c>
      <c r="M149" s="148">
        <f t="shared" ca="1" si="92"/>
        <v>213.01772120490372</v>
      </c>
      <c r="N149" s="148">
        <f t="shared" ca="1" si="93"/>
        <v>129.82868987841229</v>
      </c>
      <c r="O149" s="148">
        <f t="shared" ca="1" si="94"/>
        <v>62.317771141637891</v>
      </c>
      <c r="P149" s="148">
        <f t="shared" ca="1" si="95"/>
        <v>7.7897213927047364</v>
      </c>
      <c r="Q149" s="148">
        <f t="shared" ca="1" si="96"/>
        <v>15.579442785409473</v>
      </c>
      <c r="R149" s="148">
        <f t="shared" ca="1" si="97"/>
        <v>832.59138819025793</v>
      </c>
      <c r="S149" s="148">
        <f t="shared" ca="1" si="98"/>
        <v>5193.147595136491</v>
      </c>
      <c r="T149" s="28">
        <f t="shared" ca="1" si="122"/>
        <v>5086.9209574685501</v>
      </c>
      <c r="U149" s="148">
        <f t="shared" ca="1" si="99"/>
        <v>246.21403382141591</v>
      </c>
      <c r="V149" s="148">
        <f t="shared" ca="1" si="100"/>
        <v>181.5737712547315</v>
      </c>
      <c r="W149" s="148">
        <f t="shared" ca="1" si="101"/>
        <v>87.155410202271113</v>
      </c>
      <c r="X149" s="148">
        <f t="shared" ca="1" si="102"/>
        <v>10.894426275283889</v>
      </c>
      <c r="Y149" s="148">
        <f t="shared" ca="1" si="103"/>
        <v>21.788852550567778</v>
      </c>
      <c r="Z149" s="148">
        <f t="shared" ca="1" si="104"/>
        <v>1579.6918099161639</v>
      </c>
      <c r="AA149" s="148">
        <f t="shared" ca="1" si="105"/>
        <v>6002.4387191646774</v>
      </c>
      <c r="AB149" s="24">
        <f t="shared" ca="1" si="123"/>
        <v>5898.2647406367605</v>
      </c>
      <c r="AC149" s="148">
        <f t="shared" ca="1" si="106"/>
        <v>291.61457551507954</v>
      </c>
      <c r="AD149" s="148">
        <f t="shared" ca="1" si="107"/>
        <v>215.05499669253652</v>
      </c>
      <c r="AE149" s="148">
        <f t="shared" ca="1" si="108"/>
        <v>103.22639841241754</v>
      </c>
      <c r="AF149" s="148">
        <f t="shared" ca="1" si="109"/>
        <v>12.903299801552192</v>
      </c>
      <c r="AG149" s="148">
        <f t="shared" ca="1" si="110"/>
        <v>25.806599603104384</v>
      </c>
      <c r="AH149" s="148">
        <f t="shared" ca="1" si="111"/>
        <v>2602.1654599796921</v>
      </c>
      <c r="AI149" s="148">
        <f t="shared" ca="1" si="112"/>
        <v>7109.2560890094719</v>
      </c>
      <c r="AJ149" s="20">
        <f t="shared" ca="1" si="124"/>
        <v>6986.2276676566344</v>
      </c>
      <c r="AK149" s="148">
        <f t="shared" ca="1" si="113"/>
        <v>340.8284683171135</v>
      </c>
      <c r="AL149" s="148">
        <f t="shared" ca="1" si="114"/>
        <v>251.3484279624731</v>
      </c>
      <c r="AM149" s="148">
        <f t="shared" ca="1" si="115"/>
        <v>120.64724542198709</v>
      </c>
      <c r="AN149" s="148">
        <f t="shared" ca="1" si="116"/>
        <v>15.080905677748387</v>
      </c>
      <c r="AO149" s="148">
        <f t="shared" ca="1" si="117"/>
        <v>30.161811355496774</v>
      </c>
      <c r="AP149" s="148">
        <f t="shared" ca="1" si="118"/>
        <v>3709.9027967261031</v>
      </c>
      <c r="AQ149" s="148">
        <f t="shared" ca="1" si="119"/>
        <v>8309.0389409082018</v>
      </c>
      <c r="AR149" s="17">
        <f t="shared" ca="1" si="125"/>
        <v>8164.9549559670413</v>
      </c>
      <c r="AS149" s="148">
        <f t="shared" ca="1" si="120"/>
        <v>3474.2420847424655</v>
      </c>
      <c r="AT149" s="48" t="str">
        <f>INDEX('stock fisico '!N:N, MATCH(B149, 'stock fisico '!B:B, 0))</f>
        <v>MAS CATEGORIAS</v>
      </c>
      <c r="AU149" s="46" t="str">
        <f>INDEX('stock fisico '!D:D, MATCH(B149, 'stock fisico '!B:B, 0))</f>
        <v>Cables</v>
      </c>
      <c r="AV149" s="43" t="str">
        <f>INDEX('stock fisico '!L:L, MATCH(B149, 'stock fisico '!B:B, 0))</f>
        <v>Netmak</v>
      </c>
    </row>
    <row r="150" spans="1:48" x14ac:dyDescent="0.25">
      <c r="A150" s="48">
        <f>INDEX('stock fisico '!M:M, MATCH(B150, 'stock fisico '!B:B, 0))</f>
        <v>4492</v>
      </c>
      <c r="B150" s="47" t="s">
        <v>590</v>
      </c>
      <c r="C150" s="46" t="str">
        <f>INDEX('stock fisico '!C:C, MATCH(B150, 'stock fisico '!B:B, 0))</f>
        <v>CONSOLA GAMER 8 BIT NM-CLASS NETMAK EAN:  0700306601467</v>
      </c>
      <c r="D150" s="44">
        <f>INDEX('stock fisico '!I:I, MATCH(B150, 'stock fisico '!B:B, 0))</f>
        <v>16055.01</v>
      </c>
      <c r="E150" s="6">
        <f t="shared" ca="1" si="126"/>
        <v>19579.280487804877</v>
      </c>
      <c r="F150" s="148">
        <f t="shared" ca="1" si="86"/>
        <v>869.64987120833257</v>
      </c>
      <c r="G150" s="148">
        <f t="shared" ca="1" si="87"/>
        <v>530.02868866155484</v>
      </c>
      <c r="H150" s="148">
        <f t="shared" ca="1" si="88"/>
        <v>254.41377055754629</v>
      </c>
      <c r="I150" s="148">
        <f t="shared" ca="1" si="89"/>
        <v>31.801721319693286</v>
      </c>
      <c r="J150" s="148">
        <f t="shared" ca="1" si="90"/>
        <v>63.603442639386571</v>
      </c>
      <c r="K150" s="148">
        <f t="shared" ca="1" si="91"/>
        <v>21201.147546462191</v>
      </c>
      <c r="L150" s="32">
        <f t="shared" ca="1" si="121"/>
        <v>20766.947572210142</v>
      </c>
      <c r="M150" s="148">
        <f t="shared" ca="1" si="92"/>
        <v>1052.3081981913665</v>
      </c>
      <c r="N150" s="148">
        <f t="shared" ca="1" si="93"/>
        <v>641.35412747224859</v>
      </c>
      <c r="O150" s="148">
        <f t="shared" ca="1" si="94"/>
        <v>307.84998118667932</v>
      </c>
      <c r="P150" s="148">
        <f t="shared" ca="1" si="95"/>
        <v>38.481247648334914</v>
      </c>
      <c r="Q150" s="148">
        <f t="shared" ca="1" si="96"/>
        <v>76.962495296669829</v>
      </c>
      <c r="R150" s="148">
        <f t="shared" ca="1" si="97"/>
        <v>4113.0040194795301</v>
      </c>
      <c r="S150" s="148">
        <f t="shared" ca="1" si="98"/>
        <v>25654.165098889942</v>
      </c>
      <c r="T150" s="28">
        <f t="shared" ca="1" si="122"/>
        <v>25129.405181959122</v>
      </c>
      <c r="U150" s="148">
        <f t="shared" ca="1" si="99"/>
        <v>1216.2980846594369</v>
      </c>
      <c r="V150" s="148">
        <f t="shared" ca="1" si="100"/>
        <v>896.97498868690036</v>
      </c>
      <c r="W150" s="148">
        <f t="shared" ca="1" si="101"/>
        <v>430.54799456971222</v>
      </c>
      <c r="X150" s="148">
        <f t="shared" ca="1" si="102"/>
        <v>53.818499321214027</v>
      </c>
      <c r="Y150" s="148">
        <f t="shared" ca="1" si="103"/>
        <v>107.63699864242805</v>
      </c>
      <c r="Z150" s="148">
        <f t="shared" ca="1" si="104"/>
        <v>7803.682401576033</v>
      </c>
      <c r="AA150" s="148">
        <f t="shared" ca="1" si="105"/>
        <v>29652.065741715716</v>
      </c>
      <c r="AB150" s="24">
        <f t="shared" ca="1" si="123"/>
        <v>29137.44596725249</v>
      </c>
      <c r="AC150" s="148">
        <f t="shared" ca="1" si="106"/>
        <v>1440.5769003201099</v>
      </c>
      <c r="AD150" s="148">
        <f t="shared" ca="1" si="107"/>
        <v>1062.3723453688124</v>
      </c>
      <c r="AE150" s="148">
        <f t="shared" ca="1" si="108"/>
        <v>509.93872577703002</v>
      </c>
      <c r="AF150" s="148">
        <f t="shared" ca="1" si="109"/>
        <v>63.742340722128752</v>
      </c>
      <c r="AG150" s="148">
        <f t="shared" ca="1" si="110"/>
        <v>127.4846814442575</v>
      </c>
      <c r="AH150" s="148">
        <f t="shared" ca="1" si="111"/>
        <v>12854.705378962632</v>
      </c>
      <c r="AI150" s="148">
        <f t="shared" ca="1" si="112"/>
        <v>35119.74695434091</v>
      </c>
      <c r="AJ150" s="20">
        <f t="shared" ca="1" si="124"/>
        <v>34511.986174308906</v>
      </c>
      <c r="AK150" s="148">
        <f t="shared" ca="1" si="113"/>
        <v>1683.6936821895204</v>
      </c>
      <c r="AL150" s="148">
        <f t="shared" ca="1" si="114"/>
        <v>1241.6620075143956</v>
      </c>
      <c r="AM150" s="148">
        <f t="shared" ca="1" si="115"/>
        <v>595.99776360690987</v>
      </c>
      <c r="AN150" s="148">
        <f t="shared" ca="1" si="116"/>
        <v>74.499720450863734</v>
      </c>
      <c r="AO150" s="148">
        <f t="shared" ca="1" si="117"/>
        <v>148.99944090172747</v>
      </c>
      <c r="AP150" s="148">
        <f t="shared" ca="1" si="118"/>
        <v>18326.931230912476</v>
      </c>
      <c r="AQ150" s="148">
        <f t="shared" ca="1" si="119"/>
        <v>41046.677934360181</v>
      </c>
      <c r="AR150" s="17">
        <f t="shared" ca="1" si="125"/>
        <v>40334.902605415511</v>
      </c>
      <c r="AS150" s="148">
        <f t="shared" ca="1" si="120"/>
        <v>17162.766588603423</v>
      </c>
      <c r="AT150" s="48" t="str">
        <f>INDEX('stock fisico '!N:N, MATCH(B150, 'stock fisico '!B:B, 0))</f>
        <v>TECNOLOGIA Y CELULARES</v>
      </c>
      <c r="AU150" s="46" t="str">
        <f>INDEX('stock fisico '!D:D, MATCH(B150, 'stock fisico '!B:B, 0))</f>
        <v>Consolas de videojuegos</v>
      </c>
      <c r="AV150" s="43" t="str">
        <f>INDEX('stock fisico '!L:L, MATCH(B150, 'stock fisico '!B:B, 0))</f>
        <v>Netmak</v>
      </c>
    </row>
    <row r="151" spans="1:48" x14ac:dyDescent="0.25">
      <c r="A151" s="48">
        <f>INDEX('stock fisico '!M:M, MATCH(B151, 'stock fisico '!B:B, 0))</f>
        <v>4103</v>
      </c>
      <c r="B151" s="47" t="s">
        <v>601</v>
      </c>
      <c r="C151" s="46" t="str">
        <f>INDEX('stock fisico '!C:C, MATCH(B151, 'stock fisico '!B:B, 0))</f>
        <v>CARGADOR UNIVERSAL NOTEBOOK 96</v>
      </c>
      <c r="D151" s="44">
        <f>INDEX('stock fisico '!I:I, MATCH(B151, 'stock fisico '!B:B, 0))</f>
        <v>7475</v>
      </c>
      <c r="E151" s="6">
        <f t="shared" ca="1" si="126"/>
        <v>9115.8536585365855</v>
      </c>
      <c r="F151" s="148">
        <f t="shared" ca="1" si="86"/>
        <v>404.89746112162419</v>
      </c>
      <c r="G151" s="148">
        <f t="shared" ca="1" si="87"/>
        <v>246.77433696678622</v>
      </c>
      <c r="H151" s="148">
        <f t="shared" ca="1" si="88"/>
        <v>118.4516817440574</v>
      </c>
      <c r="I151" s="148">
        <f t="shared" ca="1" si="89"/>
        <v>14.806460218007174</v>
      </c>
      <c r="J151" s="148">
        <f t="shared" ca="1" si="90"/>
        <v>29.612920436014349</v>
      </c>
      <c r="K151" s="148">
        <f t="shared" ca="1" si="91"/>
        <v>9870.9734786714489</v>
      </c>
      <c r="L151" s="32">
        <f t="shared" ca="1" si="121"/>
        <v>9668.8157218382821</v>
      </c>
      <c r="M151" s="148">
        <f t="shared" ca="1" si="92"/>
        <v>489.94075877127852</v>
      </c>
      <c r="N151" s="148">
        <f t="shared" ca="1" si="93"/>
        <v>298.6059867203482</v>
      </c>
      <c r="O151" s="148">
        <f t="shared" ca="1" si="94"/>
        <v>143.33087362576714</v>
      </c>
      <c r="P151" s="148">
        <f t="shared" ca="1" si="95"/>
        <v>17.916359203220892</v>
      </c>
      <c r="Q151" s="148">
        <f t="shared" ca="1" si="96"/>
        <v>35.832718406441785</v>
      </c>
      <c r="R151" s="148">
        <f t="shared" ca="1" si="97"/>
        <v>1914.960192837593</v>
      </c>
      <c r="S151" s="148">
        <f t="shared" ca="1" si="98"/>
        <v>11944.239468813928</v>
      </c>
      <c r="T151" s="28">
        <f t="shared" ca="1" si="122"/>
        <v>11699.918202177665</v>
      </c>
      <c r="U151" s="148">
        <f t="shared" ca="1" si="99"/>
        <v>566.29227778925656</v>
      </c>
      <c r="V151" s="148">
        <f t="shared" ca="1" si="100"/>
        <v>417.61967388588238</v>
      </c>
      <c r="W151" s="148">
        <f t="shared" ca="1" si="101"/>
        <v>200.45744346522355</v>
      </c>
      <c r="X151" s="148">
        <f t="shared" ca="1" si="102"/>
        <v>25.057180433152944</v>
      </c>
      <c r="Y151" s="148">
        <f t="shared" ca="1" si="103"/>
        <v>50.114360866305887</v>
      </c>
      <c r="Z151" s="148">
        <f t="shared" ca="1" si="104"/>
        <v>3633.291162807177</v>
      </c>
      <c r="AA151" s="148">
        <f t="shared" ca="1" si="105"/>
        <v>13805.609054078757</v>
      </c>
      <c r="AB151" s="24">
        <f t="shared" ca="1" si="123"/>
        <v>13566.00890346455</v>
      </c>
      <c r="AC151" s="148">
        <f t="shared" ca="1" si="106"/>
        <v>670.71352368468297</v>
      </c>
      <c r="AD151" s="148">
        <f t="shared" ca="1" si="107"/>
        <v>494.626492392834</v>
      </c>
      <c r="AE151" s="148">
        <f t="shared" ca="1" si="108"/>
        <v>237.42071634856032</v>
      </c>
      <c r="AF151" s="148">
        <f t="shared" ca="1" si="109"/>
        <v>29.67758954357004</v>
      </c>
      <c r="AG151" s="148">
        <f t="shared" ca="1" si="110"/>
        <v>59.35517908714008</v>
      </c>
      <c r="AH151" s="148">
        <f t="shared" ca="1" si="111"/>
        <v>5984.9805579532913</v>
      </c>
      <c r="AI151" s="148">
        <f t="shared" ca="1" si="112"/>
        <v>16351.289004721786</v>
      </c>
      <c r="AJ151" s="20">
        <f t="shared" ca="1" si="124"/>
        <v>16068.323635610261</v>
      </c>
      <c r="AK151" s="148">
        <f t="shared" ca="1" si="113"/>
        <v>783.90547712936109</v>
      </c>
      <c r="AL151" s="148">
        <f t="shared" ca="1" si="114"/>
        <v>578.10138431368807</v>
      </c>
      <c r="AM151" s="148">
        <f t="shared" ca="1" si="115"/>
        <v>277.48866447057031</v>
      </c>
      <c r="AN151" s="148">
        <f t="shared" ca="1" si="116"/>
        <v>34.686083058821289</v>
      </c>
      <c r="AO151" s="148">
        <f t="shared" ca="1" si="117"/>
        <v>69.372166117642578</v>
      </c>
      <c r="AP151" s="148">
        <f t="shared" ca="1" si="118"/>
        <v>8532.7764324700365</v>
      </c>
      <c r="AQ151" s="148">
        <f t="shared" ca="1" si="119"/>
        <v>19110.789564088864</v>
      </c>
      <c r="AR151" s="17">
        <f t="shared" ca="1" si="125"/>
        <v>18779.396398724195</v>
      </c>
      <c r="AS151" s="148">
        <f t="shared" ca="1" si="120"/>
        <v>7990.7567949076711</v>
      </c>
      <c r="AT151" s="48" t="str">
        <f>INDEX('stock fisico '!N:N, MATCH(B151, 'stock fisico '!B:B, 0))</f>
        <v>INFORMATICA</v>
      </c>
      <c r="AU151" s="46" t="str">
        <f>INDEX('stock fisico '!D:D, MATCH(B151, 'stock fisico '!B:B, 0))</f>
        <v>Cargadores</v>
      </c>
      <c r="AV151" s="43" t="str">
        <f>INDEX('stock fisico '!L:L, MATCH(B151, 'stock fisico '!B:B, 0))</f>
        <v>Cargar una Marca</v>
      </c>
    </row>
    <row r="152" spans="1:48" x14ac:dyDescent="0.25">
      <c r="A152" s="48">
        <f>INDEX('stock fisico '!M:M, MATCH(B152, 'stock fisico '!B:B, 0))</f>
        <v>3628</v>
      </c>
      <c r="B152" s="47" t="s">
        <v>603</v>
      </c>
      <c r="C152" s="46" t="str">
        <f>INDEX('stock fisico '!C:C, MATCH(B152, 'stock fisico '!B:B, 0))</f>
        <v>CABLE FLAT USB-MICRO USB NM-C88 NETMAK  EAN:  NO TIENE</v>
      </c>
      <c r="D152" s="44">
        <f>INDEX('stock fisico '!I:I, MATCH(B152, 'stock fisico '!B:B, 0))</f>
        <v>4950</v>
      </c>
      <c r="E152" s="6">
        <f t="shared" ca="1" si="126"/>
        <v>6036.5853658536589</v>
      </c>
      <c r="F152" s="148">
        <f t="shared" ca="1" si="86"/>
        <v>268.12607793338321</v>
      </c>
      <c r="G152" s="148">
        <f t="shared" ca="1" si="87"/>
        <v>163.41578167031329</v>
      </c>
      <c r="H152" s="148">
        <f t="shared" ca="1" si="88"/>
        <v>78.439575201750372</v>
      </c>
      <c r="I152" s="148">
        <f t="shared" ca="1" si="89"/>
        <v>9.8049469002187966</v>
      </c>
      <c r="J152" s="148">
        <f t="shared" ca="1" si="90"/>
        <v>19.609893800437593</v>
      </c>
      <c r="K152" s="148">
        <f t="shared" ca="1" si="91"/>
        <v>6536.6312668125311</v>
      </c>
      <c r="L152" s="32">
        <f t="shared" ca="1" si="121"/>
        <v>6402.7609127892301</v>
      </c>
      <c r="M152" s="148">
        <f t="shared" ca="1" si="92"/>
        <v>324.44237537362261</v>
      </c>
      <c r="N152" s="148">
        <f t="shared" ca="1" si="93"/>
        <v>197.73908150712026</v>
      </c>
      <c r="O152" s="148">
        <f t="shared" ca="1" si="94"/>
        <v>94.914759123417724</v>
      </c>
      <c r="P152" s="148">
        <f t="shared" ca="1" si="95"/>
        <v>11.864344890427216</v>
      </c>
      <c r="Q152" s="148">
        <f t="shared" ca="1" si="96"/>
        <v>23.728689780854431</v>
      </c>
      <c r="R152" s="148">
        <f t="shared" ca="1" si="97"/>
        <v>1268.1007297051622</v>
      </c>
      <c r="S152" s="148">
        <f t="shared" ca="1" si="98"/>
        <v>7909.56326028481</v>
      </c>
      <c r="T152" s="28">
        <f t="shared" ca="1" si="122"/>
        <v>7747.7719198367158</v>
      </c>
      <c r="U152" s="148">
        <f t="shared" ca="1" si="99"/>
        <v>375.00291305107959</v>
      </c>
      <c r="V152" s="148">
        <f t="shared" ca="1" si="100"/>
        <v>276.55082083412947</v>
      </c>
      <c r="W152" s="148">
        <f t="shared" ca="1" si="101"/>
        <v>132.74439400038216</v>
      </c>
      <c r="X152" s="148">
        <f t="shared" ca="1" si="102"/>
        <v>16.59304925004777</v>
      </c>
      <c r="Y152" s="148">
        <f t="shared" ca="1" si="103"/>
        <v>33.18609850009554</v>
      </c>
      <c r="Z152" s="148">
        <f t="shared" ca="1" si="104"/>
        <v>2405.9921412569265</v>
      </c>
      <c r="AA152" s="148">
        <f t="shared" ca="1" si="105"/>
        <v>9142.1758953431236</v>
      </c>
      <c r="AB152" s="24">
        <f t="shared" ca="1" si="123"/>
        <v>8983.5109126621428</v>
      </c>
      <c r="AC152" s="148">
        <f t="shared" ca="1" si="106"/>
        <v>444.15143039989039</v>
      </c>
      <c r="AD152" s="148">
        <f t="shared" ca="1" si="107"/>
        <v>327.54530265478644</v>
      </c>
      <c r="AE152" s="148">
        <f t="shared" ca="1" si="108"/>
        <v>157.22174527429749</v>
      </c>
      <c r="AF152" s="148">
        <f t="shared" ca="1" si="109"/>
        <v>19.652718159287186</v>
      </c>
      <c r="AG152" s="148">
        <f t="shared" ca="1" si="110"/>
        <v>39.305436318574372</v>
      </c>
      <c r="AH152" s="148">
        <f t="shared" ca="1" si="111"/>
        <v>3963.298162122916</v>
      </c>
      <c r="AI152" s="148">
        <f t="shared" ca="1" si="112"/>
        <v>10827.943889414428</v>
      </c>
      <c r="AJ152" s="20">
        <f t="shared" ca="1" si="124"/>
        <v>10640.562139969337</v>
      </c>
      <c r="AK152" s="148">
        <f t="shared" ca="1" si="113"/>
        <v>519.10797482144994</v>
      </c>
      <c r="AL152" s="148">
        <f t="shared" ca="1" si="114"/>
        <v>382.82299028130524</v>
      </c>
      <c r="AM152" s="148">
        <f t="shared" ca="1" si="115"/>
        <v>183.75503533502652</v>
      </c>
      <c r="AN152" s="148">
        <f t="shared" ca="1" si="116"/>
        <v>22.969379416878315</v>
      </c>
      <c r="AO152" s="148">
        <f t="shared" ca="1" si="117"/>
        <v>45.93875883375663</v>
      </c>
      <c r="AP152" s="148">
        <f t="shared" ca="1" si="118"/>
        <v>5650.4673365520648</v>
      </c>
      <c r="AQ152" s="148">
        <f t="shared" ca="1" si="119"/>
        <v>12655.305463844801</v>
      </c>
      <c r="AR152" s="17">
        <f t="shared" ca="1" si="125"/>
        <v>12435.854471395956</v>
      </c>
      <c r="AS152" s="148">
        <f t="shared" ca="1" si="120"/>
        <v>5291.5379444539094</v>
      </c>
      <c r="AT152" s="48" t="str">
        <f>INDEX('stock fisico '!N:N, MATCH(B152, 'stock fisico '!B:B, 0))</f>
        <v>MAS CATEGORIAS</v>
      </c>
      <c r="AU152" s="46" t="str">
        <f>INDEX('stock fisico '!D:D, MATCH(B152, 'stock fisico '!B:B, 0))</f>
        <v>Cables</v>
      </c>
      <c r="AV152" s="43" t="str">
        <f>INDEX('stock fisico '!L:L, MATCH(B152, 'stock fisico '!B:B, 0))</f>
        <v>Netmak</v>
      </c>
    </row>
    <row r="153" spans="1:48" x14ac:dyDescent="0.25">
      <c r="A153" s="48">
        <f>INDEX('stock fisico '!M:M, MATCH(B153, 'stock fisico '!B:B, 0))</f>
        <v>3806</v>
      </c>
      <c r="B153" s="47" t="s">
        <v>616</v>
      </c>
      <c r="C153" s="46" t="str">
        <f>INDEX('stock fisico '!C:C, MATCH(B153, 'stock fisico '!B:B, 0))</f>
        <v>CABLE DE AUDIO 2 RCA A 2 RCA   2 METROS NM-C32  NETMAK  EAN:  7792641880327</v>
      </c>
      <c r="D153" s="44">
        <f>INDEX('stock fisico '!I:I, MATCH(B153, 'stock fisico '!B:B, 0))</f>
        <v>1950</v>
      </c>
      <c r="E153" s="6">
        <f t="shared" ca="1" si="126"/>
        <v>2378.0487804878048</v>
      </c>
      <c r="F153" s="148">
        <f t="shared" ca="1" si="86"/>
        <v>105.62542464042369</v>
      </c>
      <c r="G153" s="148">
        <f t="shared" ca="1" si="87"/>
        <v>64.375913991335537</v>
      </c>
      <c r="H153" s="148">
        <f t="shared" ca="1" si="88"/>
        <v>30.900438715841055</v>
      </c>
      <c r="I153" s="148">
        <f t="shared" ca="1" si="89"/>
        <v>3.8625548394801319</v>
      </c>
      <c r="J153" s="148">
        <f t="shared" ca="1" si="90"/>
        <v>7.7251096789602638</v>
      </c>
      <c r="K153" s="148">
        <f t="shared" ca="1" si="91"/>
        <v>2575.0365596534211</v>
      </c>
      <c r="L153" s="32">
        <f t="shared" ca="1" si="121"/>
        <v>2522.2997535230297</v>
      </c>
      <c r="M153" s="148">
        <f t="shared" ca="1" si="92"/>
        <v>127.81063272294222</v>
      </c>
      <c r="N153" s="148">
        <f t="shared" ca="1" si="93"/>
        <v>77.89721392704736</v>
      </c>
      <c r="O153" s="148">
        <f t="shared" ca="1" si="94"/>
        <v>37.390662684982729</v>
      </c>
      <c r="P153" s="148">
        <f t="shared" ca="1" si="95"/>
        <v>4.6738328356228411</v>
      </c>
      <c r="Q153" s="148">
        <f t="shared" ca="1" si="96"/>
        <v>9.3476656712456823</v>
      </c>
      <c r="R153" s="148">
        <f t="shared" ca="1" si="97"/>
        <v>499.5548329141547</v>
      </c>
      <c r="S153" s="148">
        <f t="shared" ca="1" si="98"/>
        <v>3115.8885570818943</v>
      </c>
      <c r="T153" s="28">
        <f t="shared" ca="1" si="122"/>
        <v>3052.1525744811302</v>
      </c>
      <c r="U153" s="148">
        <f t="shared" ca="1" si="99"/>
        <v>147.72842029284953</v>
      </c>
      <c r="V153" s="148">
        <f t="shared" ca="1" si="100"/>
        <v>108.94426275283888</v>
      </c>
      <c r="W153" s="148">
        <f t="shared" ca="1" si="101"/>
        <v>52.293246121362664</v>
      </c>
      <c r="X153" s="148">
        <f t="shared" ca="1" si="102"/>
        <v>6.536655765170333</v>
      </c>
      <c r="Y153" s="148">
        <f t="shared" ca="1" si="103"/>
        <v>13.073311530340666</v>
      </c>
      <c r="Z153" s="148">
        <f t="shared" ca="1" si="104"/>
        <v>947.8150859496983</v>
      </c>
      <c r="AA153" s="148">
        <f t="shared" ca="1" si="105"/>
        <v>3601.4632314988062</v>
      </c>
      <c r="AB153" s="24">
        <f t="shared" ca="1" si="123"/>
        <v>3538.9588443820558</v>
      </c>
      <c r="AC153" s="148">
        <f t="shared" ca="1" si="106"/>
        <v>174.9687453090477</v>
      </c>
      <c r="AD153" s="148">
        <f t="shared" ca="1" si="107"/>
        <v>129.03299801552191</v>
      </c>
      <c r="AE153" s="148">
        <f t="shared" ca="1" si="108"/>
        <v>61.935839047450514</v>
      </c>
      <c r="AF153" s="148">
        <f t="shared" ca="1" si="109"/>
        <v>7.7419798809313143</v>
      </c>
      <c r="AG153" s="148">
        <f t="shared" ca="1" si="110"/>
        <v>15.483959761862629</v>
      </c>
      <c r="AH153" s="148">
        <f t="shared" ca="1" si="111"/>
        <v>1561.299275987815</v>
      </c>
      <c r="AI153" s="148">
        <f t="shared" ca="1" si="112"/>
        <v>4265.5536534056828</v>
      </c>
      <c r="AJ153" s="20">
        <f t="shared" ca="1" si="124"/>
        <v>4191.7366005939803</v>
      </c>
      <c r="AK153" s="148">
        <f t="shared" ca="1" si="113"/>
        <v>204.49708099026813</v>
      </c>
      <c r="AL153" s="148">
        <f t="shared" ca="1" si="114"/>
        <v>150.80905677748387</v>
      </c>
      <c r="AM153" s="148">
        <f t="shared" ca="1" si="115"/>
        <v>72.388347253192251</v>
      </c>
      <c r="AN153" s="148">
        <f t="shared" ca="1" si="116"/>
        <v>9.0485434066490313</v>
      </c>
      <c r="AO153" s="148">
        <f t="shared" ca="1" si="117"/>
        <v>18.097086813298063</v>
      </c>
      <c r="AP153" s="148">
        <f t="shared" ca="1" si="118"/>
        <v>2225.9416780356619</v>
      </c>
      <c r="AQ153" s="148">
        <f t="shared" ca="1" si="119"/>
        <v>4985.4233645449212</v>
      </c>
      <c r="AR153" s="17">
        <f t="shared" ca="1" si="125"/>
        <v>4898.9729735802248</v>
      </c>
      <c r="AS153" s="148">
        <f t="shared" ca="1" si="120"/>
        <v>2084.5452508454791</v>
      </c>
      <c r="AT153" s="48" t="str">
        <f>INDEX('stock fisico '!N:N, MATCH(B153, 'stock fisico '!B:B, 0))</f>
        <v>MAS CATEGORIAS</v>
      </c>
      <c r="AU153" s="46" t="str">
        <f>INDEX('stock fisico '!D:D, MATCH(B153, 'stock fisico '!B:B, 0))</f>
        <v>Cables</v>
      </c>
      <c r="AV153" s="43" t="str">
        <f>INDEX('stock fisico '!L:L, MATCH(B153, 'stock fisico '!B:B, 0))</f>
        <v>Netmak</v>
      </c>
    </row>
    <row r="154" spans="1:48" x14ac:dyDescent="0.25">
      <c r="A154" s="48">
        <f>INDEX('stock fisico '!M:M, MATCH(B154, 'stock fisico '!B:B, 0))</f>
        <v>2763</v>
      </c>
      <c r="B154" s="47" t="s">
        <v>626</v>
      </c>
      <c r="C154" s="46" t="str">
        <f>INDEX('stock fisico '!C:C, MATCH(B154, 'stock fisico '!B:B, 0))</f>
        <v>ADAPTADOR OTG USB 3,0 NM-TC3  NETMAK  EAN:  7792641881836</v>
      </c>
      <c r="D154" s="44">
        <f>INDEX('stock fisico '!I:I, MATCH(B154, 'stock fisico '!B:B, 0))</f>
        <v>6435</v>
      </c>
      <c r="E154" s="6">
        <f t="shared" ca="1" si="126"/>
        <v>7847.5609756097565</v>
      </c>
      <c r="F154" s="148">
        <f t="shared" ca="1" si="86"/>
        <v>348.56390131339816</v>
      </c>
      <c r="G154" s="148">
        <f t="shared" ca="1" si="87"/>
        <v>212.44051617140727</v>
      </c>
      <c r="H154" s="148">
        <f t="shared" ca="1" si="88"/>
        <v>101.97144776227549</v>
      </c>
      <c r="I154" s="148">
        <f t="shared" ca="1" si="89"/>
        <v>12.746430970284436</v>
      </c>
      <c r="J154" s="148">
        <f t="shared" ca="1" si="90"/>
        <v>25.492861940568872</v>
      </c>
      <c r="K154" s="148">
        <f t="shared" ca="1" si="91"/>
        <v>8497.6206468562905</v>
      </c>
      <c r="L154" s="32">
        <f t="shared" ca="1" si="121"/>
        <v>8323.589186625999</v>
      </c>
      <c r="M154" s="148">
        <f t="shared" ca="1" si="92"/>
        <v>421.77508798570938</v>
      </c>
      <c r="N154" s="148">
        <f t="shared" ca="1" si="93"/>
        <v>257.06080595925636</v>
      </c>
      <c r="O154" s="148">
        <f t="shared" ca="1" si="94"/>
        <v>123.38918686044303</v>
      </c>
      <c r="P154" s="148">
        <f t="shared" ca="1" si="95"/>
        <v>15.423648357555379</v>
      </c>
      <c r="Q154" s="148">
        <f t="shared" ca="1" si="96"/>
        <v>30.847296715110758</v>
      </c>
      <c r="R154" s="148">
        <f t="shared" ca="1" si="97"/>
        <v>1648.5309486167107</v>
      </c>
      <c r="S154" s="148">
        <f t="shared" ca="1" si="98"/>
        <v>10282.432238370253</v>
      </c>
      <c r="T154" s="28">
        <f t="shared" ca="1" si="122"/>
        <v>10072.103495787731</v>
      </c>
      <c r="U154" s="148">
        <f t="shared" ca="1" si="99"/>
        <v>487.50378696640354</v>
      </c>
      <c r="V154" s="148">
        <f t="shared" ca="1" si="100"/>
        <v>359.51606708436839</v>
      </c>
      <c r="W154" s="148">
        <f t="shared" ca="1" si="101"/>
        <v>172.56771220049683</v>
      </c>
      <c r="X154" s="148">
        <f t="shared" ca="1" si="102"/>
        <v>21.570964025062104</v>
      </c>
      <c r="Y154" s="148">
        <f t="shared" ca="1" si="103"/>
        <v>43.141928050124207</v>
      </c>
      <c r="Z154" s="148">
        <f t="shared" ca="1" si="104"/>
        <v>3127.7897836340048</v>
      </c>
      <c r="AA154" s="148">
        <f t="shared" ca="1" si="105"/>
        <v>11884.828663946062</v>
      </c>
      <c r="AB154" s="24">
        <f t="shared" ca="1" si="123"/>
        <v>11678.564186460786</v>
      </c>
      <c r="AC154" s="148">
        <f t="shared" ca="1" si="106"/>
        <v>577.39685951985746</v>
      </c>
      <c r="AD154" s="148">
        <f t="shared" ca="1" si="107"/>
        <v>425.80889345122233</v>
      </c>
      <c r="AE154" s="148">
        <f t="shared" ca="1" si="108"/>
        <v>204.38826885658673</v>
      </c>
      <c r="AF154" s="148">
        <f t="shared" ca="1" si="109"/>
        <v>25.548533607073342</v>
      </c>
      <c r="AG154" s="148">
        <f t="shared" ca="1" si="110"/>
        <v>51.097067214146684</v>
      </c>
      <c r="AH154" s="148">
        <f t="shared" ca="1" si="111"/>
        <v>5152.2876107597904</v>
      </c>
      <c r="AI154" s="148">
        <f t="shared" ca="1" si="112"/>
        <v>14076.327056238755</v>
      </c>
      <c r="AJ154" s="20">
        <f t="shared" ca="1" si="124"/>
        <v>13832.730781960137</v>
      </c>
      <c r="AK154" s="148">
        <f t="shared" ca="1" si="113"/>
        <v>674.84036726788486</v>
      </c>
      <c r="AL154" s="148">
        <f t="shared" ca="1" si="114"/>
        <v>497.66988736569681</v>
      </c>
      <c r="AM154" s="148">
        <f t="shared" ca="1" si="115"/>
        <v>238.88154593553446</v>
      </c>
      <c r="AN154" s="148">
        <f t="shared" ca="1" si="116"/>
        <v>29.860193241941808</v>
      </c>
      <c r="AO154" s="148">
        <f t="shared" ca="1" si="117"/>
        <v>59.720386483883615</v>
      </c>
      <c r="AP154" s="148">
        <f t="shared" ca="1" si="118"/>
        <v>7345.6075375176852</v>
      </c>
      <c r="AQ154" s="148">
        <f t="shared" ca="1" si="119"/>
        <v>16451.897102998242</v>
      </c>
      <c r="AR154" s="17">
        <f t="shared" ca="1" si="125"/>
        <v>16166.610812814744</v>
      </c>
      <c r="AS154" s="148">
        <f t="shared" ca="1" si="120"/>
        <v>6878.9993277900821</v>
      </c>
      <c r="AT154" s="48" t="str">
        <f>INDEX('stock fisico '!N:N, MATCH(B154, 'stock fisico '!B:B, 0))</f>
        <v>MAS CATEGORIAS</v>
      </c>
      <c r="AU154" s="46" t="str">
        <f>INDEX('stock fisico '!D:D, MATCH(B154, 'stock fisico '!B:B, 0))</f>
        <v>Adaptadores</v>
      </c>
      <c r="AV154" s="43" t="str">
        <f>INDEX('stock fisico '!L:L, MATCH(B154, 'stock fisico '!B:B, 0))</f>
        <v>Netmak</v>
      </c>
    </row>
    <row r="155" spans="1:48" x14ac:dyDescent="0.25">
      <c r="A155" s="48">
        <f>INDEX('stock fisico '!M:M, MATCH(B155, 'stock fisico '!B:B, 0))</f>
        <v>9122</v>
      </c>
      <c r="B155" s="47" t="s">
        <v>643</v>
      </c>
      <c r="C155" s="46" t="str">
        <f>INDEX('stock fisico '!C:C, MATCH(B155, 'stock fisico '!B:B, 0))</f>
        <v>AURICULAR ST-9028 AZUL Y NEGRO NOGANET  EAN:  7798137719027</v>
      </c>
      <c r="D155" s="44">
        <f>INDEX('stock fisico '!I:I, MATCH(B155, 'stock fisico '!B:B, 0))</f>
        <v>5850</v>
      </c>
      <c r="E155" s="6">
        <f t="shared" ca="1" si="126"/>
        <v>7134.1463414634145</v>
      </c>
      <c r="F155" s="148">
        <f t="shared" ca="1" si="86"/>
        <v>316.87627392127104</v>
      </c>
      <c r="G155" s="148">
        <f t="shared" ca="1" si="87"/>
        <v>193.1277419740066</v>
      </c>
      <c r="H155" s="148">
        <f t="shared" ca="1" si="88"/>
        <v>92.701316147523158</v>
      </c>
      <c r="I155" s="148">
        <f t="shared" ca="1" si="89"/>
        <v>11.587664518440395</v>
      </c>
      <c r="J155" s="148">
        <f t="shared" ca="1" si="90"/>
        <v>23.17532903688079</v>
      </c>
      <c r="K155" s="148">
        <f t="shared" ca="1" si="91"/>
        <v>7725.1096789602634</v>
      </c>
      <c r="L155" s="32">
        <f t="shared" ca="1" si="121"/>
        <v>7566.8992605690892</v>
      </c>
      <c r="M155" s="148">
        <f t="shared" ca="1" si="92"/>
        <v>383.43189816882671</v>
      </c>
      <c r="N155" s="148">
        <f t="shared" ca="1" si="93"/>
        <v>233.69164178114212</v>
      </c>
      <c r="O155" s="148">
        <f t="shared" ca="1" si="94"/>
        <v>112.17198805494822</v>
      </c>
      <c r="P155" s="148">
        <f t="shared" ca="1" si="95"/>
        <v>14.021498506868527</v>
      </c>
      <c r="Q155" s="148">
        <f t="shared" ca="1" si="96"/>
        <v>28.042997013737054</v>
      </c>
      <c r="R155" s="148">
        <f t="shared" ca="1" si="97"/>
        <v>1498.6644987424643</v>
      </c>
      <c r="S155" s="148">
        <f t="shared" ca="1" si="98"/>
        <v>9347.6656712456843</v>
      </c>
      <c r="T155" s="28">
        <f t="shared" ca="1" si="122"/>
        <v>9156.4577234433909</v>
      </c>
      <c r="U155" s="148">
        <f t="shared" ca="1" si="99"/>
        <v>443.18526087854855</v>
      </c>
      <c r="V155" s="148">
        <f t="shared" ca="1" si="100"/>
        <v>326.83278825851664</v>
      </c>
      <c r="W155" s="148">
        <f t="shared" ca="1" si="101"/>
        <v>156.87973836408798</v>
      </c>
      <c r="X155" s="148">
        <f t="shared" ca="1" si="102"/>
        <v>19.609967295510998</v>
      </c>
      <c r="Y155" s="148">
        <f t="shared" ca="1" si="103"/>
        <v>39.219934591021996</v>
      </c>
      <c r="Z155" s="148">
        <f t="shared" ca="1" si="104"/>
        <v>2843.4452578490946</v>
      </c>
      <c r="AA155" s="148">
        <f t="shared" ca="1" si="105"/>
        <v>10804.389694496418</v>
      </c>
      <c r="AB155" s="24">
        <f t="shared" ca="1" si="123"/>
        <v>10616.876533146167</v>
      </c>
      <c r="AC155" s="148">
        <f t="shared" ca="1" si="106"/>
        <v>524.90623592714314</v>
      </c>
      <c r="AD155" s="148">
        <f t="shared" ca="1" si="107"/>
        <v>387.09899404656574</v>
      </c>
      <c r="AE155" s="148">
        <f t="shared" ca="1" si="108"/>
        <v>185.80751714235157</v>
      </c>
      <c r="AF155" s="148">
        <f t="shared" ca="1" si="109"/>
        <v>23.225939642793946</v>
      </c>
      <c r="AG155" s="148">
        <f t="shared" ca="1" si="110"/>
        <v>46.451879285587893</v>
      </c>
      <c r="AH155" s="148">
        <f t="shared" ca="1" si="111"/>
        <v>4683.8978279634457</v>
      </c>
      <c r="AI155" s="148">
        <f t="shared" ca="1" si="112"/>
        <v>12796.66096021705</v>
      </c>
      <c r="AJ155" s="20">
        <f t="shared" ca="1" si="124"/>
        <v>12575.209801781943</v>
      </c>
      <c r="AK155" s="148">
        <f t="shared" ca="1" si="113"/>
        <v>613.49124297080436</v>
      </c>
      <c r="AL155" s="148">
        <f t="shared" ca="1" si="114"/>
        <v>452.42717033245157</v>
      </c>
      <c r="AM155" s="148">
        <f t="shared" ca="1" si="115"/>
        <v>217.16504175957675</v>
      </c>
      <c r="AN155" s="148">
        <f t="shared" ca="1" si="116"/>
        <v>27.145630219947094</v>
      </c>
      <c r="AO155" s="148">
        <f t="shared" ca="1" si="117"/>
        <v>54.291260439894188</v>
      </c>
      <c r="AP155" s="148">
        <f t="shared" ca="1" si="118"/>
        <v>6677.8250341069852</v>
      </c>
      <c r="AQ155" s="148">
        <f t="shared" ca="1" si="119"/>
        <v>14956.270093634763</v>
      </c>
      <c r="AR155" s="17">
        <f t="shared" ca="1" si="125"/>
        <v>14696.918920740674</v>
      </c>
      <c r="AS155" s="148">
        <f t="shared" ca="1" si="120"/>
        <v>6253.6357525364374</v>
      </c>
      <c r="AT155" s="48" t="str">
        <f>INDEX('stock fisico '!N:N, MATCH(B155, 'stock fisico '!B:B, 0))</f>
        <v>TV-AUDIO-VIDEO</v>
      </c>
      <c r="AU155" s="46" t="str">
        <f>INDEX('stock fisico '!D:D, MATCH(B155, 'stock fisico '!B:B, 0))</f>
        <v>Auriculares</v>
      </c>
      <c r="AV155" s="43" t="str">
        <f>INDEX('stock fisico '!L:L, MATCH(B155, 'stock fisico '!B:B, 0))</f>
        <v>Noganet</v>
      </c>
    </row>
    <row r="156" spans="1:48" x14ac:dyDescent="0.25">
      <c r="A156" s="48">
        <f>INDEX('stock fisico '!M:M, MATCH(B156, 'stock fisico '!B:B, 0))</f>
        <v>9121</v>
      </c>
      <c r="B156" s="47" t="s">
        <v>645</v>
      </c>
      <c r="C156" s="46" t="str">
        <f>INDEX('stock fisico '!C:C, MATCH(B156, 'stock fisico '!B:B, 0))</f>
        <v>AURICULAR ST-9028 NARANJA Y NEGRO NOGANET  EAN:  7798137719010</v>
      </c>
      <c r="D156" s="44">
        <f>INDEX('stock fisico '!I:I, MATCH(B156, 'stock fisico '!B:B, 0))</f>
        <v>5850</v>
      </c>
      <c r="E156" s="6">
        <f t="shared" ca="1" si="126"/>
        <v>7134.1463414634145</v>
      </c>
      <c r="F156" s="148">
        <f t="shared" ca="1" si="86"/>
        <v>316.87627392127104</v>
      </c>
      <c r="G156" s="148">
        <f t="shared" ca="1" si="87"/>
        <v>193.1277419740066</v>
      </c>
      <c r="H156" s="148">
        <f t="shared" ca="1" si="88"/>
        <v>92.701316147523158</v>
      </c>
      <c r="I156" s="148">
        <f t="shared" ca="1" si="89"/>
        <v>11.587664518440395</v>
      </c>
      <c r="J156" s="148">
        <f t="shared" ca="1" si="90"/>
        <v>23.17532903688079</v>
      </c>
      <c r="K156" s="148">
        <f t="shared" ca="1" si="91"/>
        <v>7725.1096789602634</v>
      </c>
      <c r="L156" s="32">
        <f t="shared" ca="1" si="121"/>
        <v>7566.8992605690892</v>
      </c>
      <c r="M156" s="148">
        <f t="shared" ca="1" si="92"/>
        <v>383.43189816882671</v>
      </c>
      <c r="N156" s="148">
        <f t="shared" ca="1" si="93"/>
        <v>233.69164178114212</v>
      </c>
      <c r="O156" s="148">
        <f t="shared" ca="1" si="94"/>
        <v>112.17198805494822</v>
      </c>
      <c r="P156" s="148">
        <f t="shared" ca="1" si="95"/>
        <v>14.021498506868527</v>
      </c>
      <c r="Q156" s="148">
        <f t="shared" ca="1" si="96"/>
        <v>28.042997013737054</v>
      </c>
      <c r="R156" s="148">
        <f t="shared" ca="1" si="97"/>
        <v>1498.6644987424643</v>
      </c>
      <c r="S156" s="148">
        <f t="shared" ca="1" si="98"/>
        <v>9347.6656712456843</v>
      </c>
      <c r="T156" s="28">
        <f t="shared" ca="1" si="122"/>
        <v>9156.4577234433909</v>
      </c>
      <c r="U156" s="148">
        <f t="shared" ca="1" si="99"/>
        <v>443.18526087854855</v>
      </c>
      <c r="V156" s="148">
        <f t="shared" ca="1" si="100"/>
        <v>326.83278825851664</v>
      </c>
      <c r="W156" s="148">
        <f t="shared" ca="1" si="101"/>
        <v>156.87973836408798</v>
      </c>
      <c r="X156" s="148">
        <f t="shared" ca="1" si="102"/>
        <v>19.609967295510998</v>
      </c>
      <c r="Y156" s="148">
        <f t="shared" ca="1" si="103"/>
        <v>39.219934591021996</v>
      </c>
      <c r="Z156" s="148">
        <f t="shared" ca="1" si="104"/>
        <v>2843.4452578490946</v>
      </c>
      <c r="AA156" s="148">
        <f t="shared" ca="1" si="105"/>
        <v>10804.389694496418</v>
      </c>
      <c r="AB156" s="24">
        <f t="shared" ca="1" si="123"/>
        <v>10616.876533146167</v>
      </c>
      <c r="AC156" s="148">
        <f t="shared" ca="1" si="106"/>
        <v>524.90623592714314</v>
      </c>
      <c r="AD156" s="148">
        <f t="shared" ca="1" si="107"/>
        <v>387.09899404656574</v>
      </c>
      <c r="AE156" s="148">
        <f t="shared" ca="1" si="108"/>
        <v>185.80751714235157</v>
      </c>
      <c r="AF156" s="148">
        <f t="shared" ca="1" si="109"/>
        <v>23.225939642793946</v>
      </c>
      <c r="AG156" s="148">
        <f t="shared" ca="1" si="110"/>
        <v>46.451879285587893</v>
      </c>
      <c r="AH156" s="148">
        <f t="shared" ca="1" si="111"/>
        <v>4683.8978279634457</v>
      </c>
      <c r="AI156" s="148">
        <f t="shared" ca="1" si="112"/>
        <v>12796.66096021705</v>
      </c>
      <c r="AJ156" s="20">
        <f t="shared" ca="1" si="124"/>
        <v>12575.209801781943</v>
      </c>
      <c r="AK156" s="148">
        <f t="shared" ca="1" si="113"/>
        <v>613.49124297080436</v>
      </c>
      <c r="AL156" s="148">
        <f t="shared" ca="1" si="114"/>
        <v>452.42717033245157</v>
      </c>
      <c r="AM156" s="148">
        <f t="shared" ca="1" si="115"/>
        <v>217.16504175957675</v>
      </c>
      <c r="AN156" s="148">
        <f t="shared" ca="1" si="116"/>
        <v>27.145630219947094</v>
      </c>
      <c r="AO156" s="148">
        <f t="shared" ca="1" si="117"/>
        <v>54.291260439894188</v>
      </c>
      <c r="AP156" s="148">
        <f t="shared" ca="1" si="118"/>
        <v>6677.8250341069852</v>
      </c>
      <c r="AQ156" s="148">
        <f t="shared" ca="1" si="119"/>
        <v>14956.270093634763</v>
      </c>
      <c r="AR156" s="17">
        <f t="shared" ca="1" si="125"/>
        <v>14696.918920740674</v>
      </c>
      <c r="AS156" s="148">
        <f t="shared" ca="1" si="120"/>
        <v>6253.6357525364374</v>
      </c>
      <c r="AT156" s="48" t="str">
        <f>INDEX('stock fisico '!N:N, MATCH(B156, 'stock fisico '!B:B, 0))</f>
        <v>TV-AUDIO-VIDEO</v>
      </c>
      <c r="AU156" s="46" t="str">
        <f>INDEX('stock fisico '!D:D, MATCH(B156, 'stock fisico '!B:B, 0))</f>
        <v>Auriculares</v>
      </c>
      <c r="AV156" s="43" t="str">
        <f>INDEX('stock fisico '!L:L, MATCH(B156, 'stock fisico '!B:B, 0))</f>
        <v>Noganet</v>
      </c>
    </row>
    <row r="157" spans="1:48" x14ac:dyDescent="0.25">
      <c r="A157" s="48">
        <f>INDEX('stock fisico '!M:M, MATCH(B157, 'stock fisico '!B:B, 0))</f>
        <v>6323</v>
      </c>
      <c r="B157" s="47" t="s">
        <v>647</v>
      </c>
      <c r="C157" s="46" t="str">
        <f>INDEX('stock fisico '!C:C, MATCH(B157, 'stock fisico '!B:B, 0))</f>
        <v>PAD MOUSE LISO NM-M1226 NEGRO  NETMAK</v>
      </c>
      <c r="D157" s="44">
        <f>INDEX('stock fisico '!I:I, MATCH(B157, 'stock fisico '!B:B, 0))</f>
        <v>3900</v>
      </c>
      <c r="E157" s="6">
        <f t="shared" ca="1" si="126"/>
        <v>4756.0975609756097</v>
      </c>
      <c r="F157" s="148">
        <f t="shared" ca="1" si="86"/>
        <v>211.25084928084738</v>
      </c>
      <c r="G157" s="148">
        <f t="shared" ca="1" si="87"/>
        <v>128.75182798267107</v>
      </c>
      <c r="H157" s="148">
        <f t="shared" ca="1" si="88"/>
        <v>61.80087743168211</v>
      </c>
      <c r="I157" s="148">
        <f t="shared" ca="1" si="89"/>
        <v>7.7251096789602638</v>
      </c>
      <c r="J157" s="148">
        <f t="shared" ca="1" si="90"/>
        <v>15.450219357920528</v>
      </c>
      <c r="K157" s="148">
        <f t="shared" ca="1" si="91"/>
        <v>5150.0731193068423</v>
      </c>
      <c r="L157" s="32">
        <f t="shared" ca="1" si="121"/>
        <v>5044.5995070460594</v>
      </c>
      <c r="M157" s="148">
        <f t="shared" ca="1" si="92"/>
        <v>255.62126544588443</v>
      </c>
      <c r="N157" s="148">
        <f t="shared" ca="1" si="93"/>
        <v>155.79442785409472</v>
      </c>
      <c r="O157" s="148">
        <f t="shared" ca="1" si="94"/>
        <v>74.781325369965458</v>
      </c>
      <c r="P157" s="148">
        <f t="shared" ca="1" si="95"/>
        <v>9.3476656712456823</v>
      </c>
      <c r="Q157" s="148">
        <f t="shared" ca="1" si="96"/>
        <v>18.695331342491365</v>
      </c>
      <c r="R157" s="148">
        <f t="shared" ca="1" si="97"/>
        <v>999.1096658283094</v>
      </c>
      <c r="S157" s="148">
        <f t="shared" ca="1" si="98"/>
        <v>6231.7771141637886</v>
      </c>
      <c r="T157" s="28">
        <f t="shared" ca="1" si="122"/>
        <v>6104.3051489622603</v>
      </c>
      <c r="U157" s="148">
        <f t="shared" ca="1" si="99"/>
        <v>295.45684058569907</v>
      </c>
      <c r="V157" s="148">
        <f t="shared" ca="1" si="100"/>
        <v>217.88852550567776</v>
      </c>
      <c r="W157" s="148">
        <f t="shared" ca="1" si="101"/>
        <v>104.58649224272533</v>
      </c>
      <c r="X157" s="148">
        <f t="shared" ca="1" si="102"/>
        <v>13.073311530340666</v>
      </c>
      <c r="Y157" s="148">
        <f t="shared" ca="1" si="103"/>
        <v>26.146623060681332</v>
      </c>
      <c r="Z157" s="148">
        <f t="shared" ca="1" si="104"/>
        <v>1895.6301718993966</v>
      </c>
      <c r="AA157" s="148">
        <f t="shared" ca="1" si="105"/>
        <v>7202.9264629976124</v>
      </c>
      <c r="AB157" s="24">
        <f t="shared" ca="1" si="123"/>
        <v>7077.9176887641115</v>
      </c>
      <c r="AC157" s="148">
        <f t="shared" ca="1" si="106"/>
        <v>349.93749061809541</v>
      </c>
      <c r="AD157" s="148">
        <f t="shared" ca="1" si="107"/>
        <v>258.06599603104382</v>
      </c>
      <c r="AE157" s="148">
        <f t="shared" ca="1" si="108"/>
        <v>123.87167809490103</v>
      </c>
      <c r="AF157" s="148">
        <f t="shared" ca="1" si="109"/>
        <v>15.483959761862629</v>
      </c>
      <c r="AG157" s="148">
        <f t="shared" ca="1" si="110"/>
        <v>30.967919523725257</v>
      </c>
      <c r="AH157" s="148">
        <f t="shared" ca="1" si="111"/>
        <v>3122.59855197563</v>
      </c>
      <c r="AI157" s="148">
        <f t="shared" ca="1" si="112"/>
        <v>8531.1073068113656</v>
      </c>
      <c r="AJ157" s="20">
        <f t="shared" ca="1" si="124"/>
        <v>8383.4732011879605</v>
      </c>
      <c r="AK157" s="148">
        <f t="shared" ca="1" si="113"/>
        <v>408.99416198053626</v>
      </c>
      <c r="AL157" s="148">
        <f t="shared" ca="1" si="114"/>
        <v>301.61811355496775</v>
      </c>
      <c r="AM157" s="148">
        <f t="shared" ca="1" si="115"/>
        <v>144.7766945063845</v>
      </c>
      <c r="AN157" s="148">
        <f t="shared" ca="1" si="116"/>
        <v>18.097086813298063</v>
      </c>
      <c r="AO157" s="148">
        <f t="shared" ca="1" si="117"/>
        <v>36.194173626596125</v>
      </c>
      <c r="AP157" s="148">
        <f t="shared" ca="1" si="118"/>
        <v>4451.8833560713238</v>
      </c>
      <c r="AQ157" s="148">
        <f t="shared" ca="1" si="119"/>
        <v>9970.8467290898425</v>
      </c>
      <c r="AR157" s="17">
        <f t="shared" ca="1" si="125"/>
        <v>9797.9459471604496</v>
      </c>
      <c r="AS157" s="148">
        <f t="shared" ca="1" si="120"/>
        <v>4169.0905016909583</v>
      </c>
      <c r="AT157" s="48" t="str">
        <f>INDEX('stock fisico '!N:N, MATCH(B157, 'stock fisico '!B:B, 0))</f>
        <v>INFORMATICA</v>
      </c>
      <c r="AU157" s="46" t="str">
        <f>INDEX('stock fisico '!D:D, MATCH(B157, 'stock fisico '!B:B, 0))</f>
        <v>PAD MOUSE</v>
      </c>
      <c r="AV157" s="43" t="str">
        <f>INDEX('stock fisico '!L:L, MATCH(B157, 'stock fisico '!B:B, 0))</f>
        <v>Netmak</v>
      </c>
    </row>
    <row r="158" spans="1:48" x14ac:dyDescent="0.25">
      <c r="A158" s="48">
        <f>INDEX('stock fisico '!M:M, MATCH(B158, 'stock fisico '!B:B, 0))</f>
        <v>3607</v>
      </c>
      <c r="B158" s="47" t="s">
        <v>651</v>
      </c>
      <c r="C158" s="46" t="str">
        <f>INDEX('stock fisico '!C:C, MATCH(B158, 'stock fisico '!B:B, 0))</f>
        <v>CABLE ALARGUE USB M/H 10 METROS  NM-C09 10  NETMAK  EAN: NO TIENE</v>
      </c>
      <c r="D158" s="44">
        <f>INDEX('stock fisico '!I:I, MATCH(B158, 'stock fisico '!B:B, 0))</f>
        <v>11231.99</v>
      </c>
      <c r="E158" s="6">
        <f t="shared" ca="1" si="126"/>
        <v>13697.548780487805</v>
      </c>
      <c r="F158" s="148">
        <f t="shared" ca="1" si="86"/>
        <v>608.40190425999617</v>
      </c>
      <c r="G158" s="148">
        <f t="shared" ca="1" si="87"/>
        <v>370.80493445720043</v>
      </c>
      <c r="H158" s="148">
        <f t="shared" ca="1" si="88"/>
        <v>177.98636853945621</v>
      </c>
      <c r="I158" s="148">
        <f t="shared" ca="1" si="89"/>
        <v>22.248296067432026</v>
      </c>
      <c r="J158" s="148">
        <f t="shared" ca="1" si="90"/>
        <v>44.496592134864052</v>
      </c>
      <c r="K158" s="148">
        <f t="shared" ca="1" si="91"/>
        <v>14832.197378288016</v>
      </c>
      <c r="L158" s="32">
        <f t="shared" ca="1" si="121"/>
        <v>14528.433645422121</v>
      </c>
      <c r="M158" s="148">
        <f t="shared" ca="1" si="92"/>
        <v>736.18858904500496</v>
      </c>
      <c r="N158" s="148">
        <f t="shared" ca="1" si="93"/>
        <v>448.68755274690085</v>
      </c>
      <c r="O158" s="148">
        <f t="shared" ca="1" si="94"/>
        <v>215.3700253185124</v>
      </c>
      <c r="P158" s="148">
        <f t="shared" ca="1" si="95"/>
        <v>26.921253164814051</v>
      </c>
      <c r="Q158" s="148">
        <f t="shared" ca="1" si="96"/>
        <v>53.842506329628101</v>
      </c>
      <c r="R158" s="148">
        <f t="shared" ca="1" si="97"/>
        <v>2877.4332757658749</v>
      </c>
      <c r="S158" s="148">
        <f t="shared" ca="1" si="98"/>
        <v>17947.502109876034</v>
      </c>
      <c r="T158" s="28">
        <f t="shared" ca="1" si="122"/>
        <v>17580.383176946823</v>
      </c>
      <c r="U158" s="148">
        <f t="shared" ca="1" si="99"/>
        <v>850.91494330517082</v>
      </c>
      <c r="V158" s="148">
        <f t="shared" ca="1" si="100"/>
        <v>627.51839476782504</v>
      </c>
      <c r="W158" s="148">
        <f t="shared" ca="1" si="101"/>
        <v>301.20882948855603</v>
      </c>
      <c r="X158" s="148">
        <f t="shared" ca="1" si="102"/>
        <v>37.651103686069504</v>
      </c>
      <c r="Y158" s="148">
        <f t="shared" ca="1" si="103"/>
        <v>75.302207372139009</v>
      </c>
      <c r="Z158" s="148">
        <f t="shared" ca="1" si="104"/>
        <v>5459.4100344800781</v>
      </c>
      <c r="AA158" s="148">
        <f t="shared" ca="1" si="105"/>
        <v>20744.409744390912</v>
      </c>
      <c r="AB158" s="24">
        <f t="shared" ca="1" si="123"/>
        <v>20384.384795133748</v>
      </c>
      <c r="AC158" s="148">
        <f t="shared" ca="1" si="106"/>
        <v>1007.8190757044979</v>
      </c>
      <c r="AD158" s="148">
        <f t="shared" ca="1" si="107"/>
        <v>743.2294068617241</v>
      </c>
      <c r="AE158" s="148">
        <f t="shared" ca="1" si="108"/>
        <v>356.75011529362757</v>
      </c>
      <c r="AF158" s="148">
        <f t="shared" ca="1" si="109"/>
        <v>44.593764411703447</v>
      </c>
      <c r="AG158" s="148">
        <f t="shared" ca="1" si="110"/>
        <v>89.187528823406893</v>
      </c>
      <c r="AH158" s="148">
        <f t="shared" ca="1" si="111"/>
        <v>8993.0758230268621</v>
      </c>
      <c r="AI158" s="148">
        <f t="shared" ca="1" si="112"/>
        <v>24569.567168982616</v>
      </c>
      <c r="AJ158" s="20">
        <f t="shared" ca="1" si="124"/>
        <v>24144.381323336202</v>
      </c>
      <c r="AK158" s="148">
        <f t="shared" ca="1" si="113"/>
        <v>1177.902137800965</v>
      </c>
      <c r="AL158" s="148">
        <f t="shared" ca="1" si="114"/>
        <v>868.65939365852876</v>
      </c>
      <c r="AM158" s="148">
        <f t="shared" ca="1" si="115"/>
        <v>416.95650895609378</v>
      </c>
      <c r="AN158" s="148">
        <f t="shared" ca="1" si="116"/>
        <v>52.119563619511723</v>
      </c>
      <c r="AO158" s="148">
        <f t="shared" ca="1" si="117"/>
        <v>104.23912723902345</v>
      </c>
      <c r="AP158" s="148">
        <f t="shared" ca="1" si="118"/>
        <v>12821.412650399883</v>
      </c>
      <c r="AQ158" s="148">
        <f t="shared" ca="1" si="119"/>
        <v>28716.013013505082</v>
      </c>
      <c r="AR158" s="17">
        <f t="shared" ca="1" si="125"/>
        <v>28218.059204883772</v>
      </c>
      <c r="AS158" s="148">
        <f t="shared" ca="1" si="120"/>
        <v>12006.969954894315</v>
      </c>
      <c r="AT158" s="48" t="str">
        <f>INDEX('stock fisico '!N:N, MATCH(B158, 'stock fisico '!B:B, 0))</f>
        <v>MAS CATEGORIAS</v>
      </c>
      <c r="AU158" s="46" t="str">
        <f>INDEX('stock fisico '!D:D, MATCH(B158, 'stock fisico '!B:B, 0))</f>
        <v>Cables</v>
      </c>
      <c r="AV158" s="43" t="str">
        <f>INDEX('stock fisico '!L:L, MATCH(B158, 'stock fisico '!B:B, 0))</f>
        <v>Netmak</v>
      </c>
    </row>
    <row r="159" spans="1:48" x14ac:dyDescent="0.25">
      <c r="A159" s="48">
        <f>INDEX('stock fisico '!M:M, MATCH(B159, 'stock fisico '!B:B, 0))</f>
        <v>209</v>
      </c>
      <c r="B159" s="47" t="s">
        <v>612</v>
      </c>
      <c r="C159" s="46" t="str">
        <f>INDEX('stock fisico '!C:C, MATCH(B159, 'stock fisico '!B:B, 0))</f>
        <v>CAR KIT BT SILVER NOGANET  EAN: 7798137713117</v>
      </c>
      <c r="D159" s="44">
        <f>INDEX('stock fisico '!I:I, MATCH(B159, 'stock fisico '!B:B, 0))</f>
        <v>3595.02</v>
      </c>
      <c r="E159" s="6">
        <f t="shared" ca="1" si="126"/>
        <v>4384.1707317073169</v>
      </c>
      <c r="F159" s="148">
        <f t="shared" ca="1" si="86"/>
        <v>194.7310328670851</v>
      </c>
      <c r="G159" s="148">
        <f t="shared" ca="1" si="87"/>
        <v>118.68343503442618</v>
      </c>
      <c r="H159" s="148">
        <f t="shared" ca="1" si="88"/>
        <v>56.968048816524565</v>
      </c>
      <c r="I159" s="148">
        <f t="shared" ca="1" si="89"/>
        <v>7.1210061020655706</v>
      </c>
      <c r="J159" s="148">
        <f t="shared" ca="1" si="90"/>
        <v>14.242012204131141</v>
      </c>
      <c r="K159" s="148">
        <f t="shared" ca="1" si="91"/>
        <v>4747.3374013770472</v>
      </c>
      <c r="L159" s="32">
        <f t="shared" ca="1" si="121"/>
        <v>4650.1118255950578</v>
      </c>
      <c r="M159" s="148">
        <f t="shared" ca="1" si="92"/>
        <v>235.63168248801631</v>
      </c>
      <c r="N159" s="148">
        <f t="shared" ca="1" si="93"/>
        <v>143.61130359590453</v>
      </c>
      <c r="O159" s="148">
        <f t="shared" ca="1" si="94"/>
        <v>68.933425726034173</v>
      </c>
      <c r="P159" s="148">
        <f t="shared" ca="1" si="95"/>
        <v>8.6166782157542716</v>
      </c>
      <c r="Q159" s="148">
        <f t="shared" ca="1" si="96"/>
        <v>17.233356431508543</v>
      </c>
      <c r="R159" s="148">
        <f t="shared" ca="1" si="97"/>
        <v>920.97928996053565</v>
      </c>
      <c r="S159" s="148">
        <f t="shared" ca="1" si="98"/>
        <v>5744.4521438361808</v>
      </c>
      <c r="T159" s="28">
        <f t="shared" ca="1" si="122"/>
        <v>5626.9484863134112</v>
      </c>
      <c r="U159" s="148">
        <f t="shared" ca="1" si="99"/>
        <v>272.35211565189741</v>
      </c>
      <c r="V159" s="148">
        <f t="shared" ca="1" si="100"/>
        <v>200.84964281113378</v>
      </c>
      <c r="W159" s="148">
        <f t="shared" ca="1" si="101"/>
        <v>96.407828549344217</v>
      </c>
      <c r="X159" s="148">
        <f t="shared" ca="1" si="102"/>
        <v>12.050978568668027</v>
      </c>
      <c r="Y159" s="148">
        <f t="shared" ca="1" si="103"/>
        <v>24.101957137336054</v>
      </c>
      <c r="Z159" s="148">
        <f t="shared" ca="1" si="104"/>
        <v>1747.3918924568638</v>
      </c>
      <c r="AA159" s="148">
        <f t="shared" ca="1" si="105"/>
        <v>6639.6576135911992</v>
      </c>
      <c r="AB159" s="24">
        <f t="shared" ca="1" si="123"/>
        <v>6524.4245255027581</v>
      </c>
      <c r="AC159" s="148">
        <f t="shared" ca="1" si="106"/>
        <v>322.57237885176033</v>
      </c>
      <c r="AD159" s="148">
        <f t="shared" ca="1" si="107"/>
        <v>237.88523514141619</v>
      </c>
      <c r="AE159" s="148">
        <f t="shared" ca="1" si="108"/>
        <v>114.18491286787977</v>
      </c>
      <c r="AF159" s="148">
        <f t="shared" ca="1" si="109"/>
        <v>14.273114108484972</v>
      </c>
      <c r="AG159" s="148">
        <f t="shared" ca="1" si="110"/>
        <v>28.546228216969944</v>
      </c>
      <c r="AH159" s="148">
        <f t="shared" ca="1" si="111"/>
        <v>2878.411345211136</v>
      </c>
      <c r="AI159" s="148">
        <f t="shared" ca="1" si="112"/>
        <v>7863.9747154187171</v>
      </c>
      <c r="AJ159" s="20">
        <f t="shared" ca="1" si="124"/>
        <v>7727.8855968550633</v>
      </c>
      <c r="AK159" s="148">
        <f t="shared" ca="1" si="113"/>
        <v>377.01081851365825</v>
      </c>
      <c r="AL159" s="148">
        <f t="shared" ca="1" si="114"/>
        <v>278.03157707496922</v>
      </c>
      <c r="AM159" s="148">
        <f t="shared" ca="1" si="115"/>
        <v>133.45515699598522</v>
      </c>
      <c r="AN159" s="148">
        <f t="shared" ca="1" si="116"/>
        <v>16.681894624498153</v>
      </c>
      <c r="AO159" s="148">
        <f t="shared" ca="1" si="117"/>
        <v>33.363789248996305</v>
      </c>
      <c r="AP159" s="148">
        <f t="shared" ca="1" si="118"/>
        <v>4103.7460776265452</v>
      </c>
      <c r="AQ159" s="148">
        <f t="shared" ca="1" si="119"/>
        <v>9191.1265148750153</v>
      </c>
      <c r="AR159" s="17">
        <f t="shared" ca="1" si="125"/>
        <v>9031.7465740925018</v>
      </c>
      <c r="AS159" s="148">
        <f t="shared" ca="1" si="120"/>
        <v>3843.0676244587257</v>
      </c>
      <c r="AT159" s="48" t="str">
        <f>INDEX('stock fisico '!N:N, MATCH(B159, 'stock fisico '!B:B, 0))</f>
        <v>TECNOLOGIA Y CELULARES</v>
      </c>
      <c r="AU159" s="46" t="str">
        <f>INDEX('stock fisico '!D:D, MATCH(B159, 'stock fisico '!B:B, 0))</f>
        <v>Cargadores</v>
      </c>
      <c r="AV159" s="43" t="str">
        <f>INDEX('stock fisico '!L:L, MATCH(B159, 'stock fisico '!B:B, 0))</f>
        <v>Noganet</v>
      </c>
    </row>
    <row r="160" spans="1:48" x14ac:dyDescent="0.25">
      <c r="A160" s="48">
        <f>INDEX('stock fisico '!M:M, MATCH(B160, 'stock fisico '!B:B, 0))</f>
        <v>3794</v>
      </c>
      <c r="B160" s="47" t="s">
        <v>531</v>
      </c>
      <c r="C160" s="46" t="str">
        <f>INDEX('stock fisico '!C:C, MATCH(B160, 'stock fisico '!B:B, 0))</f>
        <v>CABLE VGA M/M 1,5 METROS NM-C18  NETMAK  EAN:  7792641880181</v>
      </c>
      <c r="D160" s="44">
        <f>INDEX('stock fisico '!I:I, MATCH(B160, 'stock fisico '!B:B, 0))</f>
        <v>2640.95</v>
      </c>
      <c r="E160" s="6">
        <f t="shared" ca="1" si="126"/>
        <v>3220.6707317073169</v>
      </c>
      <c r="F160" s="148">
        <f t="shared" ca="1" si="86"/>
        <v>143.05203343801381</v>
      </c>
      <c r="G160" s="148">
        <f t="shared" ca="1" si="87"/>
        <v>87.186446182265414</v>
      </c>
      <c r="H160" s="148">
        <f t="shared" ca="1" si="88"/>
        <v>41.8494941674874</v>
      </c>
      <c r="I160" s="148">
        <f t="shared" ca="1" si="89"/>
        <v>5.231186770935925</v>
      </c>
      <c r="J160" s="148">
        <f t="shared" ca="1" si="90"/>
        <v>10.46237354187185</v>
      </c>
      <c r="K160" s="148">
        <f t="shared" ca="1" si="91"/>
        <v>3487.4578472906164</v>
      </c>
      <c r="L160" s="32">
        <f t="shared" ca="1" si="121"/>
        <v>3416.0346328546898</v>
      </c>
      <c r="M160" s="148">
        <f t="shared" ca="1" si="92"/>
        <v>173.09820025110474</v>
      </c>
      <c r="N160" s="148">
        <f t="shared" ca="1" si="93"/>
        <v>105.49879339519781</v>
      </c>
      <c r="O160" s="148">
        <f t="shared" ca="1" si="94"/>
        <v>50.639420829694942</v>
      </c>
      <c r="P160" s="148">
        <f t="shared" ca="1" si="95"/>
        <v>6.3299276037118677</v>
      </c>
      <c r="Q160" s="148">
        <f t="shared" ca="1" si="96"/>
        <v>12.659855207423735</v>
      </c>
      <c r="R160" s="148">
        <f t="shared" ca="1" si="97"/>
        <v>676.56376204340347</v>
      </c>
      <c r="S160" s="148">
        <f t="shared" ca="1" si="98"/>
        <v>4219.951735807912</v>
      </c>
      <c r="T160" s="28">
        <f t="shared" ca="1" si="122"/>
        <v>4133.631970038944</v>
      </c>
      <c r="U160" s="148">
        <f t="shared" ca="1" si="99"/>
        <v>200.07352388328255</v>
      </c>
      <c r="V160" s="148">
        <f t="shared" ca="1" si="100"/>
        <v>147.5468465215948</v>
      </c>
      <c r="W160" s="148">
        <f t="shared" ca="1" si="101"/>
        <v>70.822486330365507</v>
      </c>
      <c r="X160" s="148">
        <f t="shared" ca="1" si="102"/>
        <v>8.8528107912956884</v>
      </c>
      <c r="Y160" s="148">
        <f t="shared" ca="1" si="103"/>
        <v>17.705621582591377</v>
      </c>
      <c r="Z160" s="148">
        <f t="shared" ca="1" si="104"/>
        <v>1283.6575647378747</v>
      </c>
      <c r="AA160" s="148">
        <f t="shared" ca="1" si="105"/>
        <v>4877.5817031932165</v>
      </c>
      <c r="AB160" s="24">
        <f t="shared" ca="1" si="123"/>
        <v>4792.9299282414313</v>
      </c>
      <c r="AC160" s="148">
        <f t="shared" ca="1" si="106"/>
        <v>236.96600406355361</v>
      </c>
      <c r="AD160" s="148">
        <f t="shared" ca="1" si="107"/>
        <v>174.75369031235516</v>
      </c>
      <c r="AE160" s="148">
        <f t="shared" ca="1" si="108"/>
        <v>83.881771349930489</v>
      </c>
      <c r="AF160" s="148">
        <f t="shared" ca="1" si="109"/>
        <v>10.485221418741311</v>
      </c>
      <c r="AG160" s="148">
        <f t="shared" ca="1" si="110"/>
        <v>20.970442837482622</v>
      </c>
      <c r="AH160" s="148">
        <f t="shared" ca="1" si="111"/>
        <v>2114.5196527794974</v>
      </c>
      <c r="AI160" s="148">
        <f t="shared" ca="1" si="112"/>
        <v>5776.9814979290968</v>
      </c>
      <c r="AJ160" s="20">
        <f t="shared" ca="1" si="124"/>
        <v>5677.0086027377811</v>
      </c>
      <c r="AK160" s="148">
        <f t="shared" ca="1" si="113"/>
        <v>276.95721335448644</v>
      </c>
      <c r="AL160" s="148">
        <f t="shared" ca="1" si="114"/>
        <v>204.24573256230562</v>
      </c>
      <c r="AM160" s="148">
        <f t="shared" ca="1" si="115"/>
        <v>98.037951629906701</v>
      </c>
      <c r="AN160" s="148">
        <f t="shared" ca="1" si="116"/>
        <v>12.254743953738338</v>
      </c>
      <c r="AO160" s="148">
        <f t="shared" ca="1" si="117"/>
        <v>24.509487907476675</v>
      </c>
      <c r="AP160" s="148">
        <f t="shared" ca="1" si="118"/>
        <v>3014.6670126196309</v>
      </c>
      <c r="AQ160" s="148">
        <f t="shared" ca="1" si="119"/>
        <v>6751.9250433820043</v>
      </c>
      <c r="AR160" s="17">
        <f t="shared" ca="1" si="125"/>
        <v>6634.8423972188175</v>
      </c>
      <c r="AS160" s="148">
        <f t="shared" ca="1" si="120"/>
        <v>2823.1691180617272</v>
      </c>
      <c r="AT160" s="48" t="str">
        <f>INDEX('stock fisico '!N:N, MATCH(B160, 'stock fisico '!B:B, 0))</f>
        <v>MAS CATEGORIAS</v>
      </c>
      <c r="AU160" s="46" t="str">
        <f>INDEX('stock fisico '!D:D, MATCH(B160, 'stock fisico '!B:B, 0))</f>
        <v>Cables</v>
      </c>
      <c r="AV160" s="43" t="str">
        <f>INDEX('stock fisico '!L:L, MATCH(B160, 'stock fisico '!B:B, 0))</f>
        <v>Netmak</v>
      </c>
    </row>
    <row r="161" spans="1:48" x14ac:dyDescent="0.25">
      <c r="A161" s="48">
        <f>INDEX('stock fisico '!M:M, MATCH(B161, 'stock fisico '!B:B, 0))</f>
        <v>8281</v>
      </c>
      <c r="B161" s="47" t="s">
        <v>766</v>
      </c>
      <c r="C161" s="46" t="str">
        <f>INDEX('stock fisico '!C:C, MATCH(B161, 'stock fisico '!B:B, 0))</f>
        <v>AURICULAR BT NG-BTWINS24 NEGRO NOGANET EAN:  7798137718891</v>
      </c>
      <c r="D161" s="44">
        <f>INDEX('stock fisico '!I:I, MATCH(B161, 'stock fisico '!B:B, 0))</f>
        <v>5003</v>
      </c>
      <c r="E161" s="6">
        <f t="shared" ca="1" si="126"/>
        <v>6101.2195121951218</v>
      </c>
      <c r="F161" s="148">
        <f t="shared" ca="1" si="86"/>
        <v>270.99692280822546</v>
      </c>
      <c r="G161" s="148">
        <f t="shared" ca="1" si="87"/>
        <v>165.16548599930854</v>
      </c>
      <c r="H161" s="148">
        <f t="shared" ca="1" si="88"/>
        <v>79.279433279668098</v>
      </c>
      <c r="I161" s="148">
        <f t="shared" ca="1" si="89"/>
        <v>9.9099291599585122</v>
      </c>
      <c r="J161" s="148">
        <f t="shared" ca="1" si="90"/>
        <v>19.819858319917024</v>
      </c>
      <c r="K161" s="148">
        <f t="shared" ca="1" si="91"/>
        <v>6606.6194399723418</v>
      </c>
      <c r="L161" s="32">
        <f t="shared" ca="1" si="121"/>
        <v>6471.315726602932</v>
      </c>
      <c r="M161" s="148">
        <f t="shared" ca="1" si="92"/>
        <v>327.91620282711796</v>
      </c>
      <c r="N161" s="148">
        <f t="shared" ca="1" si="93"/>
        <v>199.8562878343682</v>
      </c>
      <c r="O161" s="148">
        <f t="shared" ca="1" si="94"/>
        <v>95.931018160496734</v>
      </c>
      <c r="P161" s="148">
        <f t="shared" ca="1" si="95"/>
        <v>11.991377270062092</v>
      </c>
      <c r="Q161" s="148">
        <f t="shared" ca="1" si="96"/>
        <v>23.982754540124184</v>
      </c>
      <c r="R161" s="148">
        <f t="shared" ca="1" si="97"/>
        <v>1281.6783738818031</v>
      </c>
      <c r="S161" s="148">
        <f t="shared" ca="1" si="98"/>
        <v>7994.2515133747274</v>
      </c>
      <c r="T161" s="28">
        <f t="shared" ca="1" si="122"/>
        <v>7830.7278616046642</v>
      </c>
      <c r="U161" s="148">
        <f t="shared" ca="1" si="99"/>
        <v>379.01809575647496</v>
      </c>
      <c r="V161" s="148">
        <f t="shared" ca="1" si="100"/>
        <v>279.51187002689892</v>
      </c>
      <c r="W161" s="148">
        <f t="shared" ca="1" si="101"/>
        <v>134.16569761291149</v>
      </c>
      <c r="X161" s="148">
        <f t="shared" ca="1" si="102"/>
        <v>16.770712201613936</v>
      </c>
      <c r="Y161" s="148">
        <f t="shared" ca="1" si="103"/>
        <v>33.541424403227872</v>
      </c>
      <c r="Z161" s="148">
        <f t="shared" ca="1" si="104"/>
        <v>2431.7532692340205</v>
      </c>
      <c r="AA161" s="148">
        <f t="shared" ca="1" si="105"/>
        <v>9240.0618190710393</v>
      </c>
      <c r="AB161" s="24">
        <f t="shared" ca="1" si="123"/>
        <v>9079.6979992017568</v>
      </c>
      <c r="AC161" s="148">
        <f t="shared" ca="1" si="106"/>
        <v>448.90699116982859</v>
      </c>
      <c r="AD161" s="148">
        <f t="shared" ca="1" si="107"/>
        <v>331.05235337008008</v>
      </c>
      <c r="AE161" s="148">
        <f t="shared" ca="1" si="108"/>
        <v>158.90512961763844</v>
      </c>
      <c r="AF161" s="148">
        <f t="shared" ca="1" si="109"/>
        <v>19.863141202204805</v>
      </c>
      <c r="AG161" s="148">
        <f t="shared" ca="1" si="110"/>
        <v>39.726282404409609</v>
      </c>
      <c r="AH161" s="148">
        <f t="shared" ca="1" si="111"/>
        <v>4005.7334757779686</v>
      </c>
      <c r="AI161" s="148">
        <f t="shared" ca="1" si="112"/>
        <v>10943.879450250581</v>
      </c>
      <c r="AJ161" s="20">
        <f t="shared" ca="1" si="124"/>
        <v>10754.491391164967</v>
      </c>
      <c r="AK161" s="148">
        <f t="shared" ca="1" si="113"/>
        <v>524.6661006124674</v>
      </c>
      <c r="AL161" s="148">
        <f t="shared" ca="1" si="114"/>
        <v>386.92190310653933</v>
      </c>
      <c r="AM161" s="148">
        <f t="shared" ca="1" si="115"/>
        <v>185.7225134911389</v>
      </c>
      <c r="AN161" s="148">
        <f t="shared" ca="1" si="116"/>
        <v>23.215314186392362</v>
      </c>
      <c r="AO161" s="148">
        <f t="shared" ca="1" si="117"/>
        <v>46.430628372784724</v>
      </c>
      <c r="AP161" s="148">
        <f t="shared" ca="1" si="118"/>
        <v>5710.9672898525205</v>
      </c>
      <c r="AQ161" s="148">
        <f t="shared" ca="1" si="119"/>
        <v>12790.806714265764</v>
      </c>
      <c r="AR161" s="17">
        <f t="shared" ca="1" si="125"/>
        <v>12569.006044524034</v>
      </c>
      <c r="AS161" s="148">
        <f t="shared" ca="1" si="120"/>
        <v>5348.1948153743242</v>
      </c>
      <c r="AT161" s="48" t="str">
        <f>INDEX('stock fisico '!N:N, MATCH(B161, 'stock fisico '!B:B, 0))</f>
        <v>TV-AUDIO-VIDEO</v>
      </c>
      <c r="AU161" s="46" t="str">
        <f>INDEX('stock fisico '!D:D, MATCH(B161, 'stock fisico '!B:B, 0))</f>
        <v>Auriculares</v>
      </c>
      <c r="AV161" s="43" t="str">
        <f>INDEX('stock fisico '!L:L, MATCH(B161, 'stock fisico '!B:B, 0))</f>
        <v>Noganet</v>
      </c>
    </row>
    <row r="162" spans="1:48" x14ac:dyDescent="0.25">
      <c r="A162" s="48">
        <f>INDEX('stock fisico '!M:M, MATCH(B162, 'stock fisico '!B:B, 0))</f>
        <v>3777</v>
      </c>
      <c r="B162" s="47" t="s">
        <v>936</v>
      </c>
      <c r="C162" s="46" t="str">
        <f>INDEX('stock fisico '!C:C, MATCH(B162, 'stock fisico '!B:B, 0))</f>
        <v>CABLE USB/MICRO USB DATOS 1 METRO T-LINE</v>
      </c>
      <c r="D162" s="44">
        <f>INDEX('stock fisico '!I:I, MATCH(B162, 'stock fisico '!B:B, 0))</f>
        <v>1000</v>
      </c>
      <c r="E162" s="6">
        <f t="shared" ca="1" si="126"/>
        <v>1219.5121951219512</v>
      </c>
      <c r="F162" s="148">
        <f t="shared" ca="1" si="86"/>
        <v>54.166884430986507</v>
      </c>
      <c r="G162" s="148">
        <f t="shared" ca="1" si="87"/>
        <v>33.013289226325917</v>
      </c>
      <c r="H162" s="148">
        <f t="shared" ca="1" si="88"/>
        <v>15.846378828636439</v>
      </c>
      <c r="I162" s="148">
        <f t="shared" ca="1" si="89"/>
        <v>1.9807973535795549</v>
      </c>
      <c r="J162" s="148">
        <f t="shared" ca="1" si="90"/>
        <v>3.9615947071591098</v>
      </c>
      <c r="K162" s="148">
        <f t="shared" ca="1" si="91"/>
        <v>1320.5315690530365</v>
      </c>
      <c r="L162" s="32">
        <f t="shared" ca="1" si="121"/>
        <v>1293.4870530887333</v>
      </c>
      <c r="M162" s="148">
        <f t="shared" ca="1" si="92"/>
        <v>65.543914216893441</v>
      </c>
      <c r="N162" s="148">
        <f t="shared" ca="1" si="93"/>
        <v>39.947289193357619</v>
      </c>
      <c r="O162" s="148">
        <f t="shared" ca="1" si="94"/>
        <v>19.174698812811659</v>
      </c>
      <c r="P162" s="148">
        <f t="shared" ca="1" si="95"/>
        <v>2.3968373516014574</v>
      </c>
      <c r="Q162" s="148">
        <f t="shared" ca="1" si="96"/>
        <v>4.7936747032029148</v>
      </c>
      <c r="R162" s="148">
        <f t="shared" ca="1" si="97"/>
        <v>256.18196559700243</v>
      </c>
      <c r="S162" s="148">
        <f t="shared" ca="1" si="98"/>
        <v>1597.8915677343048</v>
      </c>
      <c r="T162" s="28">
        <f t="shared" ca="1" si="122"/>
        <v>1565.2064484518617</v>
      </c>
      <c r="U162" s="148">
        <f t="shared" ca="1" si="99"/>
        <v>75.758164252743342</v>
      </c>
      <c r="V162" s="148">
        <f t="shared" ca="1" si="100"/>
        <v>55.868852693763529</v>
      </c>
      <c r="W162" s="148">
        <f t="shared" ca="1" si="101"/>
        <v>26.817049293006495</v>
      </c>
      <c r="X162" s="148">
        <f t="shared" ca="1" si="102"/>
        <v>3.3521311616258118</v>
      </c>
      <c r="Y162" s="148">
        <f t="shared" ca="1" si="103"/>
        <v>6.7042623232516236</v>
      </c>
      <c r="Z162" s="148">
        <f t="shared" ca="1" si="104"/>
        <v>486.0590184357427</v>
      </c>
      <c r="AA162" s="148">
        <f t="shared" ca="1" si="105"/>
        <v>1846.904221281439</v>
      </c>
      <c r="AB162" s="24">
        <f t="shared" ca="1" si="123"/>
        <v>1814.8506894266952</v>
      </c>
      <c r="AC162" s="148">
        <f t="shared" ca="1" si="106"/>
        <v>89.727561696947546</v>
      </c>
      <c r="AD162" s="148">
        <f t="shared" ca="1" si="107"/>
        <v>66.170768213088166</v>
      </c>
      <c r="AE162" s="148">
        <f t="shared" ca="1" si="108"/>
        <v>31.76196874228232</v>
      </c>
      <c r="AF162" s="148">
        <f t="shared" ca="1" si="109"/>
        <v>3.9702460927852901</v>
      </c>
      <c r="AG162" s="148">
        <f t="shared" ca="1" si="110"/>
        <v>7.9404921855705801</v>
      </c>
      <c r="AH162" s="148">
        <f t="shared" ca="1" si="111"/>
        <v>800.66629537836673</v>
      </c>
      <c r="AI162" s="148">
        <f t="shared" ca="1" si="112"/>
        <v>2187.4634120029145</v>
      </c>
      <c r="AJ162" s="20">
        <f t="shared" ca="1" si="124"/>
        <v>2149.6085131251184</v>
      </c>
      <c r="AK162" s="148">
        <f t="shared" ca="1" si="113"/>
        <v>104.87029794372725</v>
      </c>
      <c r="AL162" s="148">
        <f t="shared" ca="1" si="114"/>
        <v>77.337977834607116</v>
      </c>
      <c r="AM162" s="148">
        <f t="shared" ca="1" si="115"/>
        <v>37.122229360611414</v>
      </c>
      <c r="AN162" s="148">
        <f t="shared" ca="1" si="116"/>
        <v>4.6402786700764267</v>
      </c>
      <c r="AO162" s="148">
        <f t="shared" ca="1" si="117"/>
        <v>9.2805573401528534</v>
      </c>
      <c r="AP162" s="148">
        <f t="shared" ca="1" si="118"/>
        <v>1141.5085528388011</v>
      </c>
      <c r="AQ162" s="148">
        <f t="shared" ca="1" si="119"/>
        <v>2556.627366433293</v>
      </c>
      <c r="AR162" s="17">
        <f t="shared" ca="1" si="125"/>
        <v>2512.2938326052436</v>
      </c>
      <c r="AS162" s="148">
        <f t="shared" ca="1" si="120"/>
        <v>1068.9975645361433</v>
      </c>
      <c r="AT162" s="48" t="str">
        <f>INDEX('stock fisico '!N:N, MATCH(B162, 'stock fisico '!B:B, 0))</f>
        <v>MAS CATEGORIAS</v>
      </c>
      <c r="AU162" s="46" t="str">
        <f>INDEX('stock fisico '!D:D, MATCH(B162, 'stock fisico '!B:B, 0))</f>
        <v>Cables</v>
      </c>
      <c r="AV162" s="43" t="str">
        <f>INDEX('stock fisico '!L:L, MATCH(B162, 'stock fisico '!B:B, 0))</f>
        <v>Tline</v>
      </c>
    </row>
    <row r="163" spans="1:48" x14ac:dyDescent="0.25">
      <c r="A163" s="48">
        <f>INDEX('stock fisico '!M:M, MATCH(B163, 'stock fisico '!B:B, 0))</f>
        <v>3705</v>
      </c>
      <c r="B163" s="47" t="s">
        <v>692</v>
      </c>
      <c r="C163" s="46" t="str">
        <f>INDEX('stock fisico '!C:C, MATCH(B163, 'stock fisico '!B:B, 0))</f>
        <v>CABLE MINI PLUG A MINI PLUG 3.5mm 2 METROS M / M  TL3535M2  T-LINE</v>
      </c>
      <c r="D163" s="44">
        <f>INDEX('stock fisico '!I:I, MATCH(B163, 'stock fisico '!B:B, 0))</f>
        <v>1625.01</v>
      </c>
      <c r="E163" s="6">
        <f t="shared" ca="1" si="126"/>
        <v>1981.719512195122</v>
      </c>
      <c r="F163" s="148">
        <f t="shared" ca="1" si="86"/>
        <v>88.021728869197389</v>
      </c>
      <c r="G163" s="148">
        <f t="shared" ca="1" si="87"/>
        <v>53.646925125671878</v>
      </c>
      <c r="H163" s="148">
        <f t="shared" ca="1" si="88"/>
        <v>25.750524060322501</v>
      </c>
      <c r="I163" s="148">
        <f t="shared" ca="1" si="89"/>
        <v>3.2188155075403126</v>
      </c>
      <c r="J163" s="148">
        <f t="shared" ca="1" si="90"/>
        <v>6.4376310150806253</v>
      </c>
      <c r="K163" s="148">
        <f t="shared" ca="1" si="91"/>
        <v>2145.8770050268749</v>
      </c>
      <c r="L163" s="32">
        <f t="shared" ca="1" si="121"/>
        <v>2101.9293961397225</v>
      </c>
      <c r="M163" s="148">
        <f t="shared" ca="1" si="92"/>
        <v>106.50951604159403</v>
      </c>
      <c r="N163" s="148">
        <f t="shared" ca="1" si="93"/>
        <v>64.914744412098074</v>
      </c>
      <c r="O163" s="148">
        <f t="shared" ca="1" si="94"/>
        <v>31.159077317807075</v>
      </c>
      <c r="P163" s="148">
        <f t="shared" ca="1" si="95"/>
        <v>3.8948846647258843</v>
      </c>
      <c r="Q163" s="148">
        <f t="shared" ca="1" si="96"/>
        <v>7.7897693294517687</v>
      </c>
      <c r="R163" s="148">
        <f t="shared" ca="1" si="97"/>
        <v>416.29825591478493</v>
      </c>
      <c r="S163" s="148">
        <f t="shared" ca="1" si="98"/>
        <v>2596.5897764839228</v>
      </c>
      <c r="T163" s="28">
        <f t="shared" ca="1" si="122"/>
        <v>2543.4761307987596</v>
      </c>
      <c r="U163" s="148">
        <f t="shared" ca="1" si="99"/>
        <v>123.10777449235049</v>
      </c>
      <c r="V163" s="148">
        <f t="shared" ca="1" si="100"/>
        <v>90.787444315892685</v>
      </c>
      <c r="W163" s="148">
        <f t="shared" ca="1" si="101"/>
        <v>43.577973271628487</v>
      </c>
      <c r="X163" s="148">
        <f t="shared" ca="1" si="102"/>
        <v>5.4472466589535609</v>
      </c>
      <c r="Y163" s="148">
        <f t="shared" ca="1" si="103"/>
        <v>10.894493317907122</v>
      </c>
      <c r="Z163" s="148">
        <f t="shared" ca="1" si="104"/>
        <v>789.85076554826639</v>
      </c>
      <c r="AA163" s="148">
        <f t="shared" ca="1" si="105"/>
        <v>3001.2378286245516</v>
      </c>
      <c r="AB163" s="24">
        <f t="shared" ca="1" si="123"/>
        <v>2949.1505188252745</v>
      </c>
      <c r="AC163" s="148">
        <f t="shared" ca="1" si="106"/>
        <v>145.80818503315675</v>
      </c>
      <c r="AD163" s="148">
        <f t="shared" ca="1" si="107"/>
        <v>107.5281600539504</v>
      </c>
      <c r="AE163" s="148">
        <f t="shared" ca="1" si="108"/>
        <v>51.613516825896191</v>
      </c>
      <c r="AF163" s="148">
        <f t="shared" ca="1" si="109"/>
        <v>6.4516896032370239</v>
      </c>
      <c r="AG163" s="148">
        <f t="shared" ca="1" si="110"/>
        <v>12.903379206474048</v>
      </c>
      <c r="AH163" s="148">
        <f t="shared" ca="1" si="111"/>
        <v>1301.0907366527997</v>
      </c>
      <c r="AI163" s="148">
        <f t="shared" ca="1" si="112"/>
        <v>3554.6499191388561</v>
      </c>
      <c r="AJ163" s="20">
        <f t="shared" ca="1" si="124"/>
        <v>3493.1353299134489</v>
      </c>
      <c r="AK163" s="148">
        <f t="shared" ca="1" si="113"/>
        <v>170.41528286153621</v>
      </c>
      <c r="AL163" s="148">
        <f t="shared" ca="1" si="114"/>
        <v>125.6749873610149</v>
      </c>
      <c r="AM163" s="148">
        <f t="shared" ca="1" si="115"/>
        <v>60.323993933287156</v>
      </c>
      <c r="AN163" s="148">
        <f t="shared" ca="1" si="116"/>
        <v>7.5404992416608945</v>
      </c>
      <c r="AO163" s="148">
        <f t="shared" ca="1" si="117"/>
        <v>15.080998483321789</v>
      </c>
      <c r="AP163" s="148">
        <f t="shared" ca="1" si="118"/>
        <v>1854.9628134485799</v>
      </c>
      <c r="AQ163" s="148">
        <f t="shared" ca="1" si="119"/>
        <v>4154.5450367277654</v>
      </c>
      <c r="AR163" s="17">
        <f t="shared" ca="1" si="125"/>
        <v>4082.5026009218473</v>
      </c>
      <c r="AS163" s="148">
        <f t="shared" ca="1" si="120"/>
        <v>1737.1317323468782</v>
      </c>
      <c r="AT163" s="48" t="str">
        <f>INDEX('stock fisico '!N:N, MATCH(B163, 'stock fisico '!B:B, 0))</f>
        <v>MAS CATEGORIAS</v>
      </c>
      <c r="AU163" s="46" t="str">
        <f>INDEX('stock fisico '!D:D, MATCH(B163, 'stock fisico '!B:B, 0))</f>
        <v>Cables</v>
      </c>
      <c r="AV163" s="43" t="str">
        <f>INDEX('stock fisico '!L:L, MATCH(B163, 'stock fisico '!B:B, 0))</f>
        <v>Tline</v>
      </c>
    </row>
    <row r="164" spans="1:48" x14ac:dyDescent="0.25">
      <c r="A164" s="48">
        <f>INDEX('stock fisico '!M:M, MATCH(B164, 'stock fisico '!B:B, 0))</f>
        <v>3776</v>
      </c>
      <c r="B164" s="47" t="s">
        <v>696</v>
      </c>
      <c r="C164" s="46" t="str">
        <f>INDEX('stock fisico '!C:C, MATCH(B164, 'stock fisico '!B:B, 0))</f>
        <v>CABLE USB A MICRO USB 0.50 METROS TL-USBMUSB050  T-LINE</v>
      </c>
      <c r="D164" s="44">
        <f>INDEX('stock fisico '!I:I, MATCH(B164, 'stock fisico '!B:B, 0))</f>
        <v>4030</v>
      </c>
      <c r="E164" s="6">
        <f t="shared" ca="1" si="126"/>
        <v>4914.6341463414637</v>
      </c>
      <c r="F164" s="148">
        <f t="shared" ca="1" si="86"/>
        <v>218.29254425687566</v>
      </c>
      <c r="G164" s="148">
        <f t="shared" ca="1" si="87"/>
        <v>133.04355558209346</v>
      </c>
      <c r="H164" s="148">
        <f t="shared" ca="1" si="88"/>
        <v>63.860906679404856</v>
      </c>
      <c r="I164" s="148">
        <f t="shared" ca="1" si="89"/>
        <v>7.982613334925607</v>
      </c>
      <c r="J164" s="148">
        <f t="shared" ca="1" si="90"/>
        <v>15.965226669851214</v>
      </c>
      <c r="K164" s="148">
        <f t="shared" ca="1" si="91"/>
        <v>5321.742223283738</v>
      </c>
      <c r="L164" s="32">
        <f t="shared" ca="1" si="121"/>
        <v>5212.752823947596</v>
      </c>
      <c r="M164" s="148">
        <f t="shared" ca="1" si="92"/>
        <v>264.14197429408063</v>
      </c>
      <c r="N164" s="148">
        <f t="shared" ca="1" si="93"/>
        <v>160.98757544923126</v>
      </c>
      <c r="O164" s="148">
        <f t="shared" ca="1" si="94"/>
        <v>77.274036215631</v>
      </c>
      <c r="P164" s="148">
        <f t="shared" ca="1" si="95"/>
        <v>9.659254526953875</v>
      </c>
      <c r="Q164" s="148">
        <f t="shared" ca="1" si="96"/>
        <v>19.31850905390775</v>
      </c>
      <c r="R164" s="148">
        <f t="shared" ca="1" si="97"/>
        <v>1032.4133213559198</v>
      </c>
      <c r="S164" s="148">
        <f t="shared" ca="1" si="98"/>
        <v>6439.5030179692494</v>
      </c>
      <c r="T164" s="28">
        <f t="shared" ca="1" si="122"/>
        <v>6307.7819872610035</v>
      </c>
      <c r="U164" s="148">
        <f t="shared" ca="1" si="99"/>
        <v>305.30540193855575</v>
      </c>
      <c r="V164" s="148">
        <f t="shared" ca="1" si="100"/>
        <v>225.15147635586706</v>
      </c>
      <c r="W164" s="148">
        <f t="shared" ca="1" si="101"/>
        <v>108.0727086508162</v>
      </c>
      <c r="X164" s="148">
        <f t="shared" ca="1" si="102"/>
        <v>13.509088581352025</v>
      </c>
      <c r="Y164" s="148">
        <f t="shared" ca="1" si="103"/>
        <v>27.018177162704049</v>
      </c>
      <c r="Z164" s="148">
        <f t="shared" ca="1" si="104"/>
        <v>1958.8178442960434</v>
      </c>
      <c r="AA164" s="148">
        <f t="shared" ca="1" si="105"/>
        <v>7443.0240117642006</v>
      </c>
      <c r="AB164" s="24">
        <f t="shared" ca="1" si="123"/>
        <v>7313.8482783895834</v>
      </c>
      <c r="AC164" s="148">
        <f t="shared" ca="1" si="106"/>
        <v>361.60207363869864</v>
      </c>
      <c r="AD164" s="148">
        <f t="shared" ca="1" si="107"/>
        <v>266.6681958987453</v>
      </c>
      <c r="AE164" s="148">
        <f t="shared" ca="1" si="108"/>
        <v>128.00073403139777</v>
      </c>
      <c r="AF164" s="148">
        <f t="shared" ca="1" si="109"/>
        <v>16.000091753924721</v>
      </c>
      <c r="AG164" s="148">
        <f t="shared" ca="1" si="110"/>
        <v>32.000183507849442</v>
      </c>
      <c r="AH164" s="148">
        <f t="shared" ca="1" si="111"/>
        <v>3226.6851703748184</v>
      </c>
      <c r="AI164" s="148">
        <f t="shared" ca="1" si="112"/>
        <v>8815.4775503717465</v>
      </c>
      <c r="AJ164" s="20">
        <f t="shared" ca="1" si="124"/>
        <v>8662.9223078942268</v>
      </c>
      <c r="AK164" s="148">
        <f t="shared" ca="1" si="113"/>
        <v>422.62730071322079</v>
      </c>
      <c r="AL164" s="148">
        <f t="shared" ca="1" si="114"/>
        <v>311.67205067346663</v>
      </c>
      <c r="AM164" s="148">
        <f t="shared" ca="1" si="115"/>
        <v>149.60258432326398</v>
      </c>
      <c r="AN164" s="148">
        <f t="shared" ca="1" si="116"/>
        <v>18.700323040407998</v>
      </c>
      <c r="AO164" s="148">
        <f t="shared" ca="1" si="117"/>
        <v>37.400646080815996</v>
      </c>
      <c r="AP164" s="148">
        <f t="shared" ca="1" si="118"/>
        <v>4600.2794679403678</v>
      </c>
      <c r="AQ164" s="148">
        <f t="shared" ca="1" si="119"/>
        <v>10303.208286726171</v>
      </c>
      <c r="AR164" s="17">
        <f t="shared" ca="1" si="125"/>
        <v>10124.544145399133</v>
      </c>
      <c r="AS164" s="148">
        <f t="shared" ca="1" si="120"/>
        <v>4308.0601850806579</v>
      </c>
      <c r="AT164" s="48" t="str">
        <f>INDEX('stock fisico '!N:N, MATCH(B164, 'stock fisico '!B:B, 0))</f>
        <v>MAS CATEGORIAS</v>
      </c>
      <c r="AU164" s="46" t="str">
        <f>INDEX('stock fisico '!D:D, MATCH(B164, 'stock fisico '!B:B, 0))</f>
        <v>Cables</v>
      </c>
      <c r="AV164" s="43" t="str">
        <f>INDEX('stock fisico '!L:L, MATCH(B164, 'stock fisico '!B:B, 0))</f>
        <v>Tline</v>
      </c>
    </row>
    <row r="165" spans="1:48" x14ac:dyDescent="0.25">
      <c r="A165" s="48">
        <f>INDEX('stock fisico '!M:M, MATCH(B165, 'stock fisico '!B:B, 0))</f>
        <v>8178</v>
      </c>
      <c r="B165" s="47" t="s">
        <v>892</v>
      </c>
      <c r="C165" s="46" t="str">
        <f>INDEX('stock fisico '!C:C, MATCH(B165, 'stock fisico '!B:B, 0))</f>
        <v>VIDRIO TEMP PRIV MOT X PLAY</v>
      </c>
      <c r="D165" s="44">
        <f>INDEX('stock fisico '!I:I, MATCH(B165, 'stock fisico '!B:B, 0))</f>
        <v>1430</v>
      </c>
      <c r="E165" s="6">
        <f t="shared" ca="1" si="126"/>
        <v>1743.9024390243903</v>
      </c>
      <c r="F165" s="148">
        <f t="shared" ca="1" si="86"/>
        <v>77.458644736310703</v>
      </c>
      <c r="G165" s="148">
        <f t="shared" ca="1" si="87"/>
        <v>47.209003593646059</v>
      </c>
      <c r="H165" s="148">
        <f t="shared" ca="1" si="88"/>
        <v>22.660321724950109</v>
      </c>
      <c r="I165" s="148">
        <f t="shared" ca="1" si="89"/>
        <v>2.8325402156187636</v>
      </c>
      <c r="J165" s="148">
        <f t="shared" ca="1" si="90"/>
        <v>5.6650804312375271</v>
      </c>
      <c r="K165" s="148">
        <f t="shared" ca="1" si="91"/>
        <v>1888.3601437458424</v>
      </c>
      <c r="L165" s="32">
        <f t="shared" ca="1" si="121"/>
        <v>1849.6864859168886</v>
      </c>
      <c r="M165" s="148">
        <f t="shared" ca="1" si="92"/>
        <v>93.727797330157642</v>
      </c>
      <c r="N165" s="148">
        <f t="shared" ca="1" si="93"/>
        <v>57.124623546501404</v>
      </c>
      <c r="O165" s="148">
        <f t="shared" ca="1" si="94"/>
        <v>27.419819302320672</v>
      </c>
      <c r="P165" s="148">
        <f t="shared" ca="1" si="95"/>
        <v>3.427477412790084</v>
      </c>
      <c r="Q165" s="148">
        <f t="shared" ca="1" si="96"/>
        <v>6.854954825580168</v>
      </c>
      <c r="R165" s="148">
        <f t="shared" ca="1" si="97"/>
        <v>366.34021080371349</v>
      </c>
      <c r="S165" s="148">
        <f t="shared" ca="1" si="98"/>
        <v>2284.9849418600561</v>
      </c>
      <c r="T165" s="28">
        <f t="shared" ca="1" si="122"/>
        <v>2238.2452212861622</v>
      </c>
      <c r="U165" s="148">
        <f t="shared" ca="1" si="99"/>
        <v>108.334174881423</v>
      </c>
      <c r="V165" s="148">
        <f t="shared" ca="1" si="100"/>
        <v>79.892459352081858</v>
      </c>
      <c r="W165" s="148">
        <f t="shared" ca="1" si="101"/>
        <v>38.34838048899929</v>
      </c>
      <c r="X165" s="148">
        <f t="shared" ca="1" si="102"/>
        <v>4.7935475611249112</v>
      </c>
      <c r="Y165" s="148">
        <f t="shared" ca="1" si="103"/>
        <v>9.5870951222498224</v>
      </c>
      <c r="Z165" s="148">
        <f t="shared" ca="1" si="104"/>
        <v>695.06439636311211</v>
      </c>
      <c r="AA165" s="148">
        <f t="shared" ca="1" si="105"/>
        <v>2641.0730364324581</v>
      </c>
      <c r="AB165" s="24">
        <f t="shared" ca="1" si="123"/>
        <v>2595.2364858801748</v>
      </c>
      <c r="AC165" s="148">
        <f t="shared" ca="1" si="106"/>
        <v>128.31041322663501</v>
      </c>
      <c r="AD165" s="148">
        <f t="shared" ca="1" si="107"/>
        <v>94.624198544716066</v>
      </c>
      <c r="AE165" s="148">
        <f t="shared" ca="1" si="108"/>
        <v>45.419615301463715</v>
      </c>
      <c r="AF165" s="148">
        <f t="shared" ca="1" si="109"/>
        <v>5.6774519126829643</v>
      </c>
      <c r="AG165" s="148">
        <f t="shared" ca="1" si="110"/>
        <v>11.354903825365929</v>
      </c>
      <c r="AH165" s="148">
        <f t="shared" ca="1" si="111"/>
        <v>1144.9528023910646</v>
      </c>
      <c r="AI165" s="148">
        <f t="shared" ca="1" si="112"/>
        <v>3128.0726791641678</v>
      </c>
      <c r="AJ165" s="20">
        <f t="shared" ca="1" si="124"/>
        <v>3073.9401737689195</v>
      </c>
      <c r="AK165" s="148">
        <f t="shared" ca="1" si="113"/>
        <v>149.96452605952996</v>
      </c>
      <c r="AL165" s="148">
        <f t="shared" ca="1" si="114"/>
        <v>110.59330830348817</v>
      </c>
      <c r="AM165" s="148">
        <f t="shared" ca="1" si="115"/>
        <v>53.084787985674325</v>
      </c>
      <c r="AN165" s="148">
        <f t="shared" ca="1" si="116"/>
        <v>6.6355984982092906</v>
      </c>
      <c r="AO165" s="148">
        <f t="shared" ca="1" si="117"/>
        <v>13.271196996418581</v>
      </c>
      <c r="AP165" s="148">
        <f t="shared" ca="1" si="118"/>
        <v>1632.3572305594855</v>
      </c>
      <c r="AQ165" s="148">
        <f t="shared" ca="1" si="119"/>
        <v>3655.9771339996091</v>
      </c>
      <c r="AR165" s="17">
        <f t="shared" ca="1" si="125"/>
        <v>3592.5801806254985</v>
      </c>
      <c r="AS165" s="148">
        <f t="shared" ca="1" si="120"/>
        <v>1528.6665172866849</v>
      </c>
      <c r="AT165" s="48" t="str">
        <f>INDEX('stock fisico '!N:N, MATCH(B165, 'stock fisico '!B:B, 0))</f>
        <v>TECNOLOGIA Y CELULARES</v>
      </c>
      <c r="AU165" s="46" t="str">
        <f>INDEX('stock fisico '!D:D, MATCH(B165, 'stock fisico '!B:B, 0))</f>
        <v>Accesorios</v>
      </c>
      <c r="AV165" s="43" t="str">
        <f>INDEX('stock fisico '!L:L, MATCH(B165, 'stock fisico '!B:B, 0))</f>
        <v>Cargar una Marca</v>
      </c>
    </row>
    <row r="166" spans="1:48" x14ac:dyDescent="0.25">
      <c r="A166" s="48">
        <f>INDEX('stock fisico '!M:M, MATCH(B166, 'stock fisico '!B:B, 0))</f>
        <v>2757</v>
      </c>
      <c r="B166" s="47" t="s">
        <v>716</v>
      </c>
      <c r="C166" s="46" t="str">
        <f>INDEX('stock fisico '!C:C, MATCH(B166, 'stock fisico '!B:B, 0))</f>
        <v>ADAPTADOR MICRO USB 5P A 11P   NM-C87 NETMAK   EAN:  NO TIENE</v>
      </c>
      <c r="D166" s="44">
        <f>INDEX('stock fisico '!I:I, MATCH(B166, 'stock fisico '!B:B, 0))</f>
        <v>3250</v>
      </c>
      <c r="E166" s="6">
        <f t="shared" ca="1" si="126"/>
        <v>3963.4146341463415</v>
      </c>
      <c r="F166" s="148">
        <f t="shared" ca="1" si="86"/>
        <v>176.04237440070617</v>
      </c>
      <c r="G166" s="148">
        <f t="shared" ca="1" si="87"/>
        <v>107.29318998555924</v>
      </c>
      <c r="H166" s="148">
        <f t="shared" ca="1" si="88"/>
        <v>51.500731193068432</v>
      </c>
      <c r="I166" s="148">
        <f t="shared" ca="1" si="89"/>
        <v>6.437591399133554</v>
      </c>
      <c r="J166" s="148">
        <f t="shared" ca="1" si="90"/>
        <v>12.875182798267108</v>
      </c>
      <c r="K166" s="148">
        <f t="shared" ca="1" si="91"/>
        <v>4291.7275994223692</v>
      </c>
      <c r="L166" s="32">
        <f t="shared" ca="1" si="121"/>
        <v>4203.8329225383832</v>
      </c>
      <c r="M166" s="148">
        <f t="shared" ca="1" si="92"/>
        <v>213.01772120490372</v>
      </c>
      <c r="N166" s="148">
        <f t="shared" ca="1" si="93"/>
        <v>129.82868987841229</v>
      </c>
      <c r="O166" s="148">
        <f t="shared" ca="1" si="94"/>
        <v>62.317771141637891</v>
      </c>
      <c r="P166" s="148">
        <f t="shared" ca="1" si="95"/>
        <v>7.7897213927047364</v>
      </c>
      <c r="Q166" s="148">
        <f t="shared" ca="1" si="96"/>
        <v>15.579442785409473</v>
      </c>
      <c r="R166" s="148">
        <f t="shared" ca="1" si="97"/>
        <v>832.59138819025793</v>
      </c>
      <c r="S166" s="148">
        <f t="shared" ca="1" si="98"/>
        <v>5193.147595136491</v>
      </c>
      <c r="T166" s="28">
        <f t="shared" ca="1" si="122"/>
        <v>5086.9209574685501</v>
      </c>
      <c r="U166" s="148">
        <f t="shared" ca="1" si="99"/>
        <v>246.21403382141591</v>
      </c>
      <c r="V166" s="148">
        <f t="shared" ca="1" si="100"/>
        <v>181.5737712547315</v>
      </c>
      <c r="W166" s="148">
        <f t="shared" ca="1" si="101"/>
        <v>87.155410202271113</v>
      </c>
      <c r="X166" s="148">
        <f t="shared" ca="1" si="102"/>
        <v>10.894426275283889</v>
      </c>
      <c r="Y166" s="148">
        <f t="shared" ca="1" si="103"/>
        <v>21.788852550567778</v>
      </c>
      <c r="Z166" s="148">
        <f t="shared" ca="1" si="104"/>
        <v>1579.6918099161639</v>
      </c>
      <c r="AA166" s="148">
        <f t="shared" ca="1" si="105"/>
        <v>6002.4387191646774</v>
      </c>
      <c r="AB166" s="24">
        <f t="shared" ca="1" si="123"/>
        <v>5898.2647406367605</v>
      </c>
      <c r="AC166" s="148">
        <f t="shared" ca="1" si="106"/>
        <v>291.61457551507954</v>
      </c>
      <c r="AD166" s="148">
        <f t="shared" ca="1" si="107"/>
        <v>215.05499669253652</v>
      </c>
      <c r="AE166" s="148">
        <f t="shared" ca="1" si="108"/>
        <v>103.22639841241754</v>
      </c>
      <c r="AF166" s="148">
        <f t="shared" ca="1" si="109"/>
        <v>12.903299801552192</v>
      </c>
      <c r="AG166" s="148">
        <f t="shared" ca="1" si="110"/>
        <v>25.806599603104384</v>
      </c>
      <c r="AH166" s="148">
        <f t="shared" ca="1" si="111"/>
        <v>2602.1654599796921</v>
      </c>
      <c r="AI166" s="148">
        <f t="shared" ca="1" si="112"/>
        <v>7109.2560890094719</v>
      </c>
      <c r="AJ166" s="20">
        <f t="shared" ca="1" si="124"/>
        <v>6986.2276676566344</v>
      </c>
      <c r="AK166" s="148">
        <f t="shared" ca="1" si="113"/>
        <v>340.8284683171135</v>
      </c>
      <c r="AL166" s="148">
        <f t="shared" ca="1" si="114"/>
        <v>251.3484279624731</v>
      </c>
      <c r="AM166" s="148">
        <f t="shared" ca="1" si="115"/>
        <v>120.64724542198709</v>
      </c>
      <c r="AN166" s="148">
        <f t="shared" ca="1" si="116"/>
        <v>15.080905677748387</v>
      </c>
      <c r="AO166" s="148">
        <f t="shared" ca="1" si="117"/>
        <v>30.161811355496774</v>
      </c>
      <c r="AP166" s="148">
        <f t="shared" ca="1" si="118"/>
        <v>3709.9027967261031</v>
      </c>
      <c r="AQ166" s="148">
        <f t="shared" ca="1" si="119"/>
        <v>8309.0389409082018</v>
      </c>
      <c r="AR166" s="17">
        <f t="shared" ca="1" si="125"/>
        <v>8164.9549559670413</v>
      </c>
      <c r="AS166" s="148">
        <f t="shared" ca="1" si="120"/>
        <v>3474.2420847424655</v>
      </c>
      <c r="AT166" s="48" t="str">
        <f>INDEX('stock fisico '!N:N, MATCH(B166, 'stock fisico '!B:B, 0))</f>
        <v>MAS CATEGORIAS</v>
      </c>
      <c r="AU166" s="46" t="str">
        <f>INDEX('stock fisico '!D:D, MATCH(B166, 'stock fisico '!B:B, 0))</f>
        <v>Adaptadores</v>
      </c>
      <c r="AV166" s="43" t="str">
        <f>INDEX('stock fisico '!L:L, MATCH(B166, 'stock fisico '!B:B, 0))</f>
        <v>Netmak</v>
      </c>
    </row>
    <row r="167" spans="1:48" x14ac:dyDescent="0.25">
      <c r="A167" s="48">
        <f>INDEX('stock fisico '!M:M, MATCH(B167, 'stock fisico '!B:B, 0))</f>
        <v>3673</v>
      </c>
      <c r="B167" s="47" t="s">
        <v>718</v>
      </c>
      <c r="C167" s="46" t="str">
        <f>INDEX('stock fisico '!C:C, MATCH(B167, 'stock fisico '!B:B, 0))</f>
        <v>CABLE USB IMPRESORA 3 METROS TL-PRINT3  T-LINE</v>
      </c>
      <c r="D167" s="44">
        <f>INDEX('stock fisico '!I:I, MATCH(B167, 'stock fisico '!B:B, 0))</f>
        <v>3250</v>
      </c>
      <c r="E167" s="6">
        <f t="shared" ca="1" si="126"/>
        <v>3963.4146341463415</v>
      </c>
      <c r="F167" s="148">
        <f t="shared" ca="1" si="86"/>
        <v>176.04237440070617</v>
      </c>
      <c r="G167" s="148">
        <f t="shared" ca="1" si="87"/>
        <v>107.29318998555924</v>
      </c>
      <c r="H167" s="148">
        <f t="shared" ca="1" si="88"/>
        <v>51.500731193068432</v>
      </c>
      <c r="I167" s="148">
        <f t="shared" ca="1" si="89"/>
        <v>6.437591399133554</v>
      </c>
      <c r="J167" s="148">
        <f t="shared" ca="1" si="90"/>
        <v>12.875182798267108</v>
      </c>
      <c r="K167" s="148">
        <f t="shared" ca="1" si="91"/>
        <v>4291.7275994223692</v>
      </c>
      <c r="L167" s="32">
        <f t="shared" ca="1" si="121"/>
        <v>4203.8329225383832</v>
      </c>
      <c r="M167" s="148">
        <f t="shared" ca="1" si="92"/>
        <v>213.01772120490372</v>
      </c>
      <c r="N167" s="148">
        <f t="shared" ca="1" si="93"/>
        <v>129.82868987841229</v>
      </c>
      <c r="O167" s="148">
        <f t="shared" ca="1" si="94"/>
        <v>62.317771141637891</v>
      </c>
      <c r="P167" s="148">
        <f t="shared" ca="1" si="95"/>
        <v>7.7897213927047364</v>
      </c>
      <c r="Q167" s="148">
        <f t="shared" ca="1" si="96"/>
        <v>15.579442785409473</v>
      </c>
      <c r="R167" s="148">
        <f t="shared" ca="1" si="97"/>
        <v>832.59138819025793</v>
      </c>
      <c r="S167" s="148">
        <f t="shared" ca="1" si="98"/>
        <v>5193.147595136491</v>
      </c>
      <c r="T167" s="28">
        <f t="shared" ca="1" si="122"/>
        <v>5086.9209574685501</v>
      </c>
      <c r="U167" s="148">
        <f t="shared" ca="1" si="99"/>
        <v>246.21403382141591</v>
      </c>
      <c r="V167" s="148">
        <f t="shared" ca="1" si="100"/>
        <v>181.5737712547315</v>
      </c>
      <c r="W167" s="148">
        <f t="shared" ca="1" si="101"/>
        <v>87.155410202271113</v>
      </c>
      <c r="X167" s="148">
        <f t="shared" ca="1" si="102"/>
        <v>10.894426275283889</v>
      </c>
      <c r="Y167" s="148">
        <f t="shared" ca="1" si="103"/>
        <v>21.788852550567778</v>
      </c>
      <c r="Z167" s="148">
        <f t="shared" ca="1" si="104"/>
        <v>1579.6918099161639</v>
      </c>
      <c r="AA167" s="148">
        <f t="shared" ca="1" si="105"/>
        <v>6002.4387191646774</v>
      </c>
      <c r="AB167" s="24">
        <f t="shared" ca="1" si="123"/>
        <v>5898.2647406367605</v>
      </c>
      <c r="AC167" s="148">
        <f t="shared" ca="1" si="106"/>
        <v>291.61457551507954</v>
      </c>
      <c r="AD167" s="148">
        <f t="shared" ca="1" si="107"/>
        <v>215.05499669253652</v>
      </c>
      <c r="AE167" s="148">
        <f t="shared" ca="1" si="108"/>
        <v>103.22639841241754</v>
      </c>
      <c r="AF167" s="148">
        <f t="shared" ca="1" si="109"/>
        <v>12.903299801552192</v>
      </c>
      <c r="AG167" s="148">
        <f t="shared" ca="1" si="110"/>
        <v>25.806599603104384</v>
      </c>
      <c r="AH167" s="148">
        <f t="shared" ca="1" si="111"/>
        <v>2602.1654599796921</v>
      </c>
      <c r="AI167" s="148">
        <f t="shared" ca="1" si="112"/>
        <v>7109.2560890094719</v>
      </c>
      <c r="AJ167" s="20">
        <f t="shared" ca="1" si="124"/>
        <v>6986.2276676566344</v>
      </c>
      <c r="AK167" s="148">
        <f t="shared" ca="1" si="113"/>
        <v>340.8284683171135</v>
      </c>
      <c r="AL167" s="148">
        <f t="shared" ca="1" si="114"/>
        <v>251.3484279624731</v>
      </c>
      <c r="AM167" s="148">
        <f t="shared" ca="1" si="115"/>
        <v>120.64724542198709</v>
      </c>
      <c r="AN167" s="148">
        <f t="shared" ca="1" si="116"/>
        <v>15.080905677748387</v>
      </c>
      <c r="AO167" s="148">
        <f t="shared" ca="1" si="117"/>
        <v>30.161811355496774</v>
      </c>
      <c r="AP167" s="148">
        <f t="shared" ca="1" si="118"/>
        <v>3709.9027967261031</v>
      </c>
      <c r="AQ167" s="148">
        <f t="shared" ca="1" si="119"/>
        <v>8309.0389409082018</v>
      </c>
      <c r="AR167" s="17">
        <f t="shared" ca="1" si="125"/>
        <v>8164.9549559670413</v>
      </c>
      <c r="AS167" s="148">
        <f t="shared" ca="1" si="120"/>
        <v>3474.2420847424655</v>
      </c>
      <c r="AT167" s="48" t="str">
        <f>INDEX('stock fisico '!N:N, MATCH(B167, 'stock fisico '!B:B, 0))</f>
        <v>MAS CATEGORIAS</v>
      </c>
      <c r="AU167" s="46" t="str">
        <f>INDEX('stock fisico '!D:D, MATCH(B167, 'stock fisico '!B:B, 0))</f>
        <v>Cables</v>
      </c>
      <c r="AV167" s="43" t="str">
        <f>INDEX('stock fisico '!L:L, MATCH(B167, 'stock fisico '!B:B, 0))</f>
        <v>Tline</v>
      </c>
    </row>
    <row r="168" spans="1:48" x14ac:dyDescent="0.25">
      <c r="A168" s="48">
        <f>INDEX('stock fisico '!M:M, MATCH(B168, 'stock fisico '!B:B, 0))</f>
        <v>8509</v>
      </c>
      <c r="B168" s="47" t="s">
        <v>724</v>
      </c>
      <c r="C168" s="46" t="str">
        <f>INDEX('stock fisico '!C:C, MATCH(B168, 'stock fisico '!B:B, 0))</f>
        <v>MOCHILA DE AGUA ARMA MOD: 8162 -BASE-X ARMY -EAN:  7450077082875</v>
      </c>
      <c r="D168" s="44">
        <f>INDEX('stock fisico '!I:I, MATCH(B168, 'stock fisico '!B:B, 0))</f>
        <v>6500</v>
      </c>
      <c r="E168" s="6">
        <f t="shared" ca="1" si="126"/>
        <v>7926.8292682926831</v>
      </c>
      <c r="F168" s="148">
        <f t="shared" ca="1" si="86"/>
        <v>352.08474880141233</v>
      </c>
      <c r="G168" s="148">
        <f t="shared" ca="1" si="87"/>
        <v>214.58637997111848</v>
      </c>
      <c r="H168" s="148">
        <f t="shared" ca="1" si="88"/>
        <v>103.00146238613686</v>
      </c>
      <c r="I168" s="148">
        <f t="shared" ca="1" si="89"/>
        <v>12.875182798267108</v>
      </c>
      <c r="J168" s="148">
        <f t="shared" ca="1" si="90"/>
        <v>25.750365596534216</v>
      </c>
      <c r="K168" s="148">
        <f t="shared" ca="1" si="91"/>
        <v>8583.4551988447383</v>
      </c>
      <c r="L168" s="32">
        <f t="shared" ca="1" si="121"/>
        <v>8407.6658450767663</v>
      </c>
      <c r="M168" s="148">
        <f t="shared" ca="1" si="92"/>
        <v>426.03544240980744</v>
      </c>
      <c r="N168" s="148">
        <f t="shared" ca="1" si="93"/>
        <v>259.65737975682458</v>
      </c>
      <c r="O168" s="148">
        <f t="shared" ca="1" si="94"/>
        <v>124.63554228327578</v>
      </c>
      <c r="P168" s="148">
        <f t="shared" ca="1" si="95"/>
        <v>15.579442785409473</v>
      </c>
      <c r="Q168" s="148">
        <f t="shared" ca="1" si="96"/>
        <v>31.158885570818946</v>
      </c>
      <c r="R168" s="148">
        <f t="shared" ca="1" si="97"/>
        <v>1665.1827763805159</v>
      </c>
      <c r="S168" s="148">
        <f t="shared" ca="1" si="98"/>
        <v>10386.295190272982</v>
      </c>
      <c r="T168" s="28">
        <f t="shared" ca="1" si="122"/>
        <v>10173.8419149371</v>
      </c>
      <c r="U168" s="148">
        <f t="shared" ca="1" si="99"/>
        <v>492.42806764283182</v>
      </c>
      <c r="V168" s="148">
        <f t="shared" ca="1" si="100"/>
        <v>363.14754250946299</v>
      </c>
      <c r="W168" s="148">
        <f t="shared" ca="1" si="101"/>
        <v>174.31082040454223</v>
      </c>
      <c r="X168" s="148">
        <f t="shared" ca="1" si="102"/>
        <v>21.788852550567778</v>
      </c>
      <c r="Y168" s="148">
        <f t="shared" ca="1" si="103"/>
        <v>43.577705101135557</v>
      </c>
      <c r="Z168" s="148">
        <f t="shared" ca="1" si="104"/>
        <v>3159.3836198323279</v>
      </c>
      <c r="AA168" s="148">
        <f t="shared" ca="1" si="105"/>
        <v>12004.877438329355</v>
      </c>
      <c r="AB168" s="24">
        <f t="shared" ca="1" si="123"/>
        <v>11796.529481273521</v>
      </c>
      <c r="AC168" s="148">
        <f t="shared" ca="1" si="106"/>
        <v>583.22915103015907</v>
      </c>
      <c r="AD168" s="148">
        <f t="shared" ca="1" si="107"/>
        <v>430.10999338507304</v>
      </c>
      <c r="AE168" s="148">
        <f t="shared" ca="1" si="108"/>
        <v>206.45279682483508</v>
      </c>
      <c r="AF168" s="148">
        <f t="shared" ca="1" si="109"/>
        <v>25.806599603104384</v>
      </c>
      <c r="AG168" s="148">
        <f t="shared" ca="1" si="110"/>
        <v>51.613199206208769</v>
      </c>
      <c r="AH168" s="148">
        <f t="shared" ca="1" si="111"/>
        <v>5204.3309199593841</v>
      </c>
      <c r="AI168" s="148">
        <f t="shared" ca="1" si="112"/>
        <v>14218.512178018944</v>
      </c>
      <c r="AJ168" s="20">
        <f t="shared" ca="1" si="124"/>
        <v>13972.455335313269</v>
      </c>
      <c r="AK168" s="148">
        <f t="shared" ca="1" si="113"/>
        <v>681.65693663422701</v>
      </c>
      <c r="AL168" s="148">
        <f t="shared" ca="1" si="114"/>
        <v>502.69685592494619</v>
      </c>
      <c r="AM168" s="148">
        <f t="shared" ca="1" si="115"/>
        <v>241.29449084397419</v>
      </c>
      <c r="AN168" s="148">
        <f t="shared" ca="1" si="116"/>
        <v>30.161811355496774</v>
      </c>
      <c r="AO168" s="148">
        <f t="shared" ca="1" si="117"/>
        <v>60.323622710993547</v>
      </c>
      <c r="AP168" s="148">
        <f t="shared" ca="1" si="118"/>
        <v>7419.8055934522063</v>
      </c>
      <c r="AQ168" s="148">
        <f t="shared" ca="1" si="119"/>
        <v>16618.077881816404</v>
      </c>
      <c r="AR168" s="17">
        <f t="shared" ca="1" si="125"/>
        <v>16329.909911934083</v>
      </c>
      <c r="AS168" s="148">
        <f t="shared" ca="1" si="120"/>
        <v>6948.484169484931</v>
      </c>
      <c r="AT168" s="48" t="str">
        <f>INDEX('stock fisico '!N:N, MATCH(B168, 'stock fisico '!B:B, 0))</f>
        <v>MAS CATEGORIAS</v>
      </c>
      <c r="AU168" s="46" t="str">
        <f>INDEX('stock fisico '!D:D, MATCH(B168, 'stock fisico '!B:B, 0))</f>
        <v xml:space="preserve">JUGUETES </v>
      </c>
      <c r="AV168" s="43" t="str">
        <f>INDEX('stock fisico '!L:L, MATCH(B168, 'stock fisico '!B:B, 0))</f>
        <v>BASE-X SPLASH</v>
      </c>
    </row>
    <row r="169" spans="1:48" x14ac:dyDescent="0.25">
      <c r="A169" s="48">
        <f>INDEX('stock fisico '!M:M, MATCH(B169, 'stock fisico '!B:B, 0))</f>
        <v>8502</v>
      </c>
      <c r="B169" s="47" t="s">
        <v>622</v>
      </c>
      <c r="C169" s="46" t="str">
        <f>INDEX('stock fisico '!C:C, MATCH(B169, 'stock fisico '!B:B, 0))</f>
        <v>MOCHILA DE AGUA TIBURON MOD: 8118 AZUL -BASE-X SPLASH -EAN:  7453077239416</v>
      </c>
      <c r="D169" s="44">
        <f>INDEX('stock fisico '!I:I, MATCH(B169, 'stock fisico '!B:B, 0))</f>
        <v>6500</v>
      </c>
      <c r="E169" s="6">
        <f t="shared" ca="1" si="126"/>
        <v>7926.8292682926831</v>
      </c>
      <c r="F169" s="148">
        <f t="shared" ca="1" si="86"/>
        <v>352.08474880141233</v>
      </c>
      <c r="G169" s="148">
        <f t="shared" ca="1" si="87"/>
        <v>214.58637997111848</v>
      </c>
      <c r="H169" s="148">
        <f t="shared" ca="1" si="88"/>
        <v>103.00146238613686</v>
      </c>
      <c r="I169" s="148">
        <f t="shared" ca="1" si="89"/>
        <v>12.875182798267108</v>
      </c>
      <c r="J169" s="148">
        <f t="shared" ca="1" si="90"/>
        <v>25.750365596534216</v>
      </c>
      <c r="K169" s="148">
        <f t="shared" ca="1" si="91"/>
        <v>8583.4551988447383</v>
      </c>
      <c r="L169" s="32">
        <f t="shared" ca="1" si="121"/>
        <v>8407.6658450767663</v>
      </c>
      <c r="M169" s="148">
        <f t="shared" ca="1" si="92"/>
        <v>426.03544240980744</v>
      </c>
      <c r="N169" s="148">
        <f t="shared" ca="1" si="93"/>
        <v>259.65737975682458</v>
      </c>
      <c r="O169" s="148">
        <f t="shared" ca="1" si="94"/>
        <v>124.63554228327578</v>
      </c>
      <c r="P169" s="148">
        <f t="shared" ca="1" si="95"/>
        <v>15.579442785409473</v>
      </c>
      <c r="Q169" s="148">
        <f t="shared" ca="1" si="96"/>
        <v>31.158885570818946</v>
      </c>
      <c r="R169" s="148">
        <f t="shared" ca="1" si="97"/>
        <v>1665.1827763805159</v>
      </c>
      <c r="S169" s="148">
        <f t="shared" ca="1" si="98"/>
        <v>10386.295190272982</v>
      </c>
      <c r="T169" s="28">
        <f t="shared" ca="1" si="122"/>
        <v>10173.8419149371</v>
      </c>
      <c r="U169" s="148">
        <f t="shared" ca="1" si="99"/>
        <v>492.42806764283182</v>
      </c>
      <c r="V169" s="148">
        <f t="shared" ca="1" si="100"/>
        <v>363.14754250946299</v>
      </c>
      <c r="W169" s="148">
        <f t="shared" ca="1" si="101"/>
        <v>174.31082040454223</v>
      </c>
      <c r="X169" s="148">
        <f t="shared" ca="1" si="102"/>
        <v>21.788852550567778</v>
      </c>
      <c r="Y169" s="148">
        <f t="shared" ca="1" si="103"/>
        <v>43.577705101135557</v>
      </c>
      <c r="Z169" s="148">
        <f t="shared" ca="1" si="104"/>
        <v>3159.3836198323279</v>
      </c>
      <c r="AA169" s="148">
        <f t="shared" ca="1" si="105"/>
        <v>12004.877438329355</v>
      </c>
      <c r="AB169" s="24">
        <f t="shared" ca="1" si="123"/>
        <v>11796.529481273521</v>
      </c>
      <c r="AC169" s="148">
        <f t="shared" ca="1" si="106"/>
        <v>583.22915103015907</v>
      </c>
      <c r="AD169" s="148">
        <f t="shared" ca="1" si="107"/>
        <v>430.10999338507304</v>
      </c>
      <c r="AE169" s="148">
        <f t="shared" ca="1" si="108"/>
        <v>206.45279682483508</v>
      </c>
      <c r="AF169" s="148">
        <f t="shared" ca="1" si="109"/>
        <v>25.806599603104384</v>
      </c>
      <c r="AG169" s="148">
        <f t="shared" ca="1" si="110"/>
        <v>51.613199206208769</v>
      </c>
      <c r="AH169" s="148">
        <f t="shared" ca="1" si="111"/>
        <v>5204.3309199593841</v>
      </c>
      <c r="AI169" s="148">
        <f t="shared" ca="1" si="112"/>
        <v>14218.512178018944</v>
      </c>
      <c r="AJ169" s="20">
        <f t="shared" ca="1" si="124"/>
        <v>13972.455335313269</v>
      </c>
      <c r="AK169" s="148">
        <f t="shared" ca="1" si="113"/>
        <v>681.65693663422701</v>
      </c>
      <c r="AL169" s="148">
        <f t="shared" ca="1" si="114"/>
        <v>502.69685592494619</v>
      </c>
      <c r="AM169" s="148">
        <f t="shared" ca="1" si="115"/>
        <v>241.29449084397419</v>
      </c>
      <c r="AN169" s="148">
        <f t="shared" ca="1" si="116"/>
        <v>30.161811355496774</v>
      </c>
      <c r="AO169" s="148">
        <f t="shared" ca="1" si="117"/>
        <v>60.323622710993547</v>
      </c>
      <c r="AP169" s="148">
        <f t="shared" ca="1" si="118"/>
        <v>7419.8055934522063</v>
      </c>
      <c r="AQ169" s="148">
        <f t="shared" ca="1" si="119"/>
        <v>16618.077881816404</v>
      </c>
      <c r="AR169" s="17">
        <f t="shared" ca="1" si="125"/>
        <v>16329.909911934083</v>
      </c>
      <c r="AS169" s="148">
        <f t="shared" ca="1" si="120"/>
        <v>6948.484169484931</v>
      </c>
      <c r="AT169" s="48" t="str">
        <f>INDEX('stock fisico '!N:N, MATCH(B169, 'stock fisico '!B:B, 0))</f>
        <v>MAS CATEGORIAS</v>
      </c>
      <c r="AU169" s="46" t="str">
        <f>INDEX('stock fisico '!D:D, MATCH(B169, 'stock fisico '!B:B, 0))</f>
        <v xml:space="preserve">JUGUETES </v>
      </c>
      <c r="AV169" s="43" t="str">
        <f>INDEX('stock fisico '!L:L, MATCH(B169, 'stock fisico '!B:B, 0))</f>
        <v>BASE-X SPLASH</v>
      </c>
    </row>
    <row r="170" spans="1:48" x14ac:dyDescent="0.25">
      <c r="A170" s="48">
        <f>INDEX('stock fisico '!M:M, MATCH(B170, 'stock fisico '!B:B, 0))</f>
        <v>8398</v>
      </c>
      <c r="B170" s="47" t="s">
        <v>736</v>
      </c>
      <c r="C170" s="46" t="str">
        <f>INDEX('stock fisico '!C:C, MATCH(B170, 'stock fisico '!B:B, 0))</f>
        <v>CABLE HDMI M/M V1.4 5M NM-C47 5  NETMAK  EAN:  7792641882475</v>
      </c>
      <c r="D170" s="44">
        <f>INDEX('stock fisico '!I:I, MATCH(B170, 'stock fisico '!B:B, 0))</f>
        <v>5980</v>
      </c>
      <c r="E170" s="6">
        <f t="shared" ca="1" si="126"/>
        <v>7292.6829268292686</v>
      </c>
      <c r="F170" s="148">
        <f t="shared" ca="1" si="86"/>
        <v>323.91796889729932</v>
      </c>
      <c r="G170" s="148">
        <f t="shared" ca="1" si="87"/>
        <v>197.41946957342898</v>
      </c>
      <c r="H170" s="148">
        <f t="shared" ca="1" si="88"/>
        <v>94.761345395245911</v>
      </c>
      <c r="I170" s="148">
        <f t="shared" ca="1" si="89"/>
        <v>11.845168174405739</v>
      </c>
      <c r="J170" s="148">
        <f t="shared" ca="1" si="90"/>
        <v>23.690336348811478</v>
      </c>
      <c r="K170" s="148">
        <f t="shared" ca="1" si="91"/>
        <v>7896.7787829371591</v>
      </c>
      <c r="L170" s="32">
        <f t="shared" ca="1" si="121"/>
        <v>7735.0525774706257</v>
      </c>
      <c r="M170" s="148">
        <f t="shared" ca="1" si="92"/>
        <v>391.9526070170229</v>
      </c>
      <c r="N170" s="148">
        <f t="shared" ca="1" si="93"/>
        <v>238.8847893762786</v>
      </c>
      <c r="O170" s="148">
        <f t="shared" ca="1" si="94"/>
        <v>114.66469890061373</v>
      </c>
      <c r="P170" s="148">
        <f t="shared" ca="1" si="95"/>
        <v>14.333087362576716</v>
      </c>
      <c r="Q170" s="148">
        <f t="shared" ca="1" si="96"/>
        <v>28.666174725153432</v>
      </c>
      <c r="R170" s="148">
        <f t="shared" ca="1" si="97"/>
        <v>1531.9681542700746</v>
      </c>
      <c r="S170" s="148">
        <f t="shared" ca="1" si="98"/>
        <v>9555.3915750511442</v>
      </c>
      <c r="T170" s="28">
        <f t="shared" ca="1" si="122"/>
        <v>9359.9345617421332</v>
      </c>
      <c r="U170" s="148">
        <f t="shared" ca="1" si="99"/>
        <v>453.03382223140528</v>
      </c>
      <c r="V170" s="148">
        <f t="shared" ca="1" si="100"/>
        <v>334.09573910870597</v>
      </c>
      <c r="W170" s="148">
        <f t="shared" ca="1" si="101"/>
        <v>160.36595477217887</v>
      </c>
      <c r="X170" s="148">
        <f t="shared" ca="1" si="102"/>
        <v>20.045744346522358</v>
      </c>
      <c r="Y170" s="148">
        <f t="shared" ca="1" si="103"/>
        <v>40.091488693044717</v>
      </c>
      <c r="Z170" s="148">
        <f t="shared" ca="1" si="104"/>
        <v>2906.632930245742</v>
      </c>
      <c r="AA170" s="148">
        <f t="shared" ca="1" si="105"/>
        <v>11044.487243263007</v>
      </c>
      <c r="AB170" s="24">
        <f t="shared" ca="1" si="123"/>
        <v>10852.807122771639</v>
      </c>
      <c r="AC170" s="148">
        <f t="shared" ca="1" si="106"/>
        <v>536.57081894774637</v>
      </c>
      <c r="AD170" s="148">
        <f t="shared" ca="1" si="107"/>
        <v>395.70119391426721</v>
      </c>
      <c r="AE170" s="148">
        <f t="shared" ca="1" si="108"/>
        <v>189.93657307884828</v>
      </c>
      <c r="AF170" s="148">
        <f t="shared" ca="1" si="109"/>
        <v>23.742071634856035</v>
      </c>
      <c r="AG170" s="148">
        <f t="shared" ca="1" si="110"/>
        <v>47.484143269712071</v>
      </c>
      <c r="AH170" s="148">
        <f t="shared" ca="1" si="111"/>
        <v>4787.9844463626332</v>
      </c>
      <c r="AI170" s="148">
        <f t="shared" ca="1" si="112"/>
        <v>13081.031203777429</v>
      </c>
      <c r="AJ170" s="20">
        <f t="shared" ca="1" si="124"/>
        <v>12854.658908488207</v>
      </c>
      <c r="AK170" s="148">
        <f t="shared" ca="1" si="113"/>
        <v>627.12438170348901</v>
      </c>
      <c r="AL170" s="148">
        <f t="shared" ca="1" si="114"/>
        <v>462.48110745095056</v>
      </c>
      <c r="AM170" s="148">
        <f t="shared" ca="1" si="115"/>
        <v>221.99093157645626</v>
      </c>
      <c r="AN170" s="148">
        <f t="shared" ca="1" si="116"/>
        <v>27.748866447057033</v>
      </c>
      <c r="AO170" s="148">
        <f t="shared" ca="1" si="117"/>
        <v>55.497732894114066</v>
      </c>
      <c r="AP170" s="148">
        <f t="shared" ca="1" si="118"/>
        <v>6826.2211459760301</v>
      </c>
      <c r="AQ170" s="148">
        <f t="shared" ca="1" si="119"/>
        <v>15288.631651271093</v>
      </c>
      <c r="AR170" s="17">
        <f t="shared" ca="1" si="125"/>
        <v>15023.517118979358</v>
      </c>
      <c r="AS170" s="148">
        <f t="shared" ca="1" si="120"/>
        <v>6392.605435926137</v>
      </c>
      <c r="AT170" s="48" t="str">
        <f>INDEX('stock fisico '!N:N, MATCH(B170, 'stock fisico '!B:B, 0))</f>
        <v>MAS CATEGORIAS</v>
      </c>
      <c r="AU170" s="46" t="str">
        <f>INDEX('stock fisico '!D:D, MATCH(B170, 'stock fisico '!B:B, 0))</f>
        <v>Cables</v>
      </c>
      <c r="AV170" s="43" t="str">
        <f>INDEX('stock fisico '!L:L, MATCH(B170, 'stock fisico '!B:B, 0))</f>
        <v>Netmak</v>
      </c>
    </row>
    <row r="171" spans="1:48" x14ac:dyDescent="0.25">
      <c r="A171" s="48">
        <f>INDEX('stock fisico '!M:M, MATCH(B171, 'stock fisico '!B:B, 0))</f>
        <v>3760</v>
      </c>
      <c r="B171" s="47" t="s">
        <v>738</v>
      </c>
      <c r="C171" s="46" t="str">
        <f>INDEX('stock fisico '!C:C, MATCH(B171, 'stock fisico '!B:B, 0))</f>
        <v>CABLE EXTENSION USB 2.0 5 METROS NOGANET  EAN:  7798137709523</v>
      </c>
      <c r="D171" s="44">
        <f>INDEX('stock fisico '!I:I, MATCH(B171, 'stock fisico '!B:B, 0))</f>
        <v>1950</v>
      </c>
      <c r="E171" s="6">
        <f t="shared" ca="1" si="126"/>
        <v>2378.0487804878048</v>
      </c>
      <c r="F171" s="148">
        <f t="shared" ca="1" si="86"/>
        <v>105.62542464042369</v>
      </c>
      <c r="G171" s="148">
        <f t="shared" ca="1" si="87"/>
        <v>64.375913991335537</v>
      </c>
      <c r="H171" s="148">
        <f t="shared" ca="1" si="88"/>
        <v>30.900438715841055</v>
      </c>
      <c r="I171" s="148">
        <f t="shared" ca="1" si="89"/>
        <v>3.8625548394801319</v>
      </c>
      <c r="J171" s="148">
        <f t="shared" ca="1" si="90"/>
        <v>7.7251096789602638</v>
      </c>
      <c r="K171" s="148">
        <f t="shared" ca="1" si="91"/>
        <v>2575.0365596534211</v>
      </c>
      <c r="L171" s="32">
        <f t="shared" ca="1" si="121"/>
        <v>2522.2997535230297</v>
      </c>
      <c r="M171" s="148">
        <f t="shared" ca="1" si="92"/>
        <v>127.81063272294222</v>
      </c>
      <c r="N171" s="148">
        <f t="shared" ca="1" si="93"/>
        <v>77.89721392704736</v>
      </c>
      <c r="O171" s="148">
        <f t="shared" ca="1" si="94"/>
        <v>37.390662684982729</v>
      </c>
      <c r="P171" s="148">
        <f t="shared" ca="1" si="95"/>
        <v>4.6738328356228411</v>
      </c>
      <c r="Q171" s="148">
        <f t="shared" ca="1" si="96"/>
        <v>9.3476656712456823</v>
      </c>
      <c r="R171" s="148">
        <f t="shared" ca="1" si="97"/>
        <v>499.5548329141547</v>
      </c>
      <c r="S171" s="148">
        <f t="shared" ca="1" si="98"/>
        <v>3115.8885570818943</v>
      </c>
      <c r="T171" s="28">
        <f t="shared" ca="1" si="122"/>
        <v>3052.1525744811302</v>
      </c>
      <c r="U171" s="148">
        <f t="shared" ca="1" si="99"/>
        <v>147.72842029284953</v>
      </c>
      <c r="V171" s="148">
        <f t="shared" ca="1" si="100"/>
        <v>108.94426275283888</v>
      </c>
      <c r="W171" s="148">
        <f t="shared" ca="1" si="101"/>
        <v>52.293246121362664</v>
      </c>
      <c r="X171" s="148">
        <f t="shared" ca="1" si="102"/>
        <v>6.536655765170333</v>
      </c>
      <c r="Y171" s="148">
        <f t="shared" ca="1" si="103"/>
        <v>13.073311530340666</v>
      </c>
      <c r="Z171" s="148">
        <f t="shared" ca="1" si="104"/>
        <v>947.8150859496983</v>
      </c>
      <c r="AA171" s="148">
        <f t="shared" ca="1" si="105"/>
        <v>3601.4632314988062</v>
      </c>
      <c r="AB171" s="24">
        <f t="shared" ca="1" si="123"/>
        <v>3538.9588443820558</v>
      </c>
      <c r="AC171" s="148">
        <f t="shared" ca="1" si="106"/>
        <v>174.9687453090477</v>
      </c>
      <c r="AD171" s="148">
        <f t="shared" ca="1" si="107"/>
        <v>129.03299801552191</v>
      </c>
      <c r="AE171" s="148">
        <f t="shared" ca="1" si="108"/>
        <v>61.935839047450514</v>
      </c>
      <c r="AF171" s="148">
        <f t="shared" ca="1" si="109"/>
        <v>7.7419798809313143</v>
      </c>
      <c r="AG171" s="148">
        <f t="shared" ca="1" si="110"/>
        <v>15.483959761862629</v>
      </c>
      <c r="AH171" s="148">
        <f t="shared" ca="1" si="111"/>
        <v>1561.299275987815</v>
      </c>
      <c r="AI171" s="148">
        <f t="shared" ca="1" si="112"/>
        <v>4265.5536534056828</v>
      </c>
      <c r="AJ171" s="20">
        <f t="shared" ca="1" si="124"/>
        <v>4191.7366005939803</v>
      </c>
      <c r="AK171" s="148">
        <f t="shared" ca="1" si="113"/>
        <v>204.49708099026813</v>
      </c>
      <c r="AL171" s="148">
        <f t="shared" ca="1" si="114"/>
        <v>150.80905677748387</v>
      </c>
      <c r="AM171" s="148">
        <f t="shared" ca="1" si="115"/>
        <v>72.388347253192251</v>
      </c>
      <c r="AN171" s="148">
        <f t="shared" ca="1" si="116"/>
        <v>9.0485434066490313</v>
      </c>
      <c r="AO171" s="148">
        <f t="shared" ca="1" si="117"/>
        <v>18.097086813298063</v>
      </c>
      <c r="AP171" s="148">
        <f t="shared" ca="1" si="118"/>
        <v>2225.9416780356619</v>
      </c>
      <c r="AQ171" s="148">
        <f t="shared" ca="1" si="119"/>
        <v>4985.4233645449212</v>
      </c>
      <c r="AR171" s="17">
        <f t="shared" ca="1" si="125"/>
        <v>4898.9729735802248</v>
      </c>
      <c r="AS171" s="148">
        <f t="shared" ca="1" si="120"/>
        <v>2084.5452508454791</v>
      </c>
      <c r="AT171" s="48" t="str">
        <f>INDEX('stock fisico '!N:N, MATCH(B171, 'stock fisico '!B:B, 0))</f>
        <v>MAS CATEGORIAS</v>
      </c>
      <c r="AU171" s="46" t="str">
        <f>INDEX('stock fisico '!D:D, MATCH(B171, 'stock fisico '!B:B, 0))</f>
        <v>Cables</v>
      </c>
      <c r="AV171" s="43" t="str">
        <f>INDEX('stock fisico '!L:L, MATCH(B171, 'stock fisico '!B:B, 0))</f>
        <v>Noganet</v>
      </c>
    </row>
    <row r="172" spans="1:48" x14ac:dyDescent="0.25">
      <c r="A172" s="48">
        <f>INDEX('stock fisico '!M:M, MATCH(B172, 'stock fisico '!B:B, 0))</f>
        <v>3618</v>
      </c>
      <c r="B172" s="47" t="s">
        <v>708</v>
      </c>
      <c r="C172" s="46" t="str">
        <f>INDEX('stock fisico '!C:C, MATCH(B172, 'stock fisico '!B:B, 0))</f>
        <v>CABLE DE RED 2 METROS NM-C04 2   NETMAK  EAN:  7792641882079</v>
      </c>
      <c r="D172" s="44">
        <f>INDEX('stock fisico '!I:I, MATCH(B172, 'stock fisico '!B:B, 0))</f>
        <v>1420.25</v>
      </c>
      <c r="E172" s="6">
        <f t="shared" ca="1" si="126"/>
        <v>1732.0121951219512</v>
      </c>
      <c r="F172" s="148">
        <f t="shared" ca="1" si="86"/>
        <v>76.930517613108577</v>
      </c>
      <c r="G172" s="148">
        <f t="shared" ca="1" si="87"/>
        <v>46.887124023689381</v>
      </c>
      <c r="H172" s="148">
        <f t="shared" ca="1" si="88"/>
        <v>22.5058195313709</v>
      </c>
      <c r="I172" s="148">
        <f t="shared" ca="1" si="89"/>
        <v>2.8132274414213625</v>
      </c>
      <c r="J172" s="148">
        <f t="shared" ca="1" si="90"/>
        <v>5.626454882842725</v>
      </c>
      <c r="K172" s="148">
        <f t="shared" ca="1" si="91"/>
        <v>1875.484960947575</v>
      </c>
      <c r="L172" s="32">
        <f t="shared" ca="1" si="121"/>
        <v>1837.0749871492735</v>
      </c>
      <c r="M172" s="148">
        <f t="shared" ca="1" si="92"/>
        <v>93.088744166542909</v>
      </c>
      <c r="N172" s="148">
        <f t="shared" ca="1" si="93"/>
        <v>56.735137476866157</v>
      </c>
      <c r="O172" s="148">
        <f t="shared" ca="1" si="94"/>
        <v>27.232865988895757</v>
      </c>
      <c r="P172" s="148">
        <f t="shared" ca="1" si="95"/>
        <v>3.4041082486119696</v>
      </c>
      <c r="Q172" s="148">
        <f t="shared" ca="1" si="96"/>
        <v>6.8082164972239392</v>
      </c>
      <c r="R172" s="148">
        <f t="shared" ca="1" si="97"/>
        <v>363.84243663914265</v>
      </c>
      <c r="S172" s="148">
        <f t="shared" ca="1" si="98"/>
        <v>2269.4054990746463</v>
      </c>
      <c r="T172" s="28">
        <f t="shared" ca="1" si="122"/>
        <v>2222.9844584137563</v>
      </c>
      <c r="U172" s="148">
        <f t="shared" ca="1" si="99"/>
        <v>107.59553277995875</v>
      </c>
      <c r="V172" s="148">
        <f t="shared" ca="1" si="100"/>
        <v>79.347738038317658</v>
      </c>
      <c r="W172" s="148">
        <f t="shared" ca="1" si="101"/>
        <v>38.086914258392476</v>
      </c>
      <c r="X172" s="148">
        <f t="shared" ca="1" si="102"/>
        <v>4.7608642822990594</v>
      </c>
      <c r="Y172" s="148">
        <f t="shared" ca="1" si="103"/>
        <v>9.5217285645981189</v>
      </c>
      <c r="Z172" s="148">
        <f t="shared" ca="1" si="104"/>
        <v>690.32532093336363</v>
      </c>
      <c r="AA172" s="148">
        <f t="shared" ca="1" si="105"/>
        <v>2623.065720274964</v>
      </c>
      <c r="AB172" s="24">
        <f t="shared" ca="1" si="123"/>
        <v>2577.5416916582644</v>
      </c>
      <c r="AC172" s="148">
        <f t="shared" ca="1" si="106"/>
        <v>127.43556950008976</v>
      </c>
      <c r="AD172" s="148">
        <f t="shared" ca="1" si="107"/>
        <v>93.979033554638448</v>
      </c>
      <c r="AE172" s="148">
        <f t="shared" ca="1" si="108"/>
        <v>45.109936106226456</v>
      </c>
      <c r="AF172" s="148">
        <f t="shared" ca="1" si="109"/>
        <v>5.638742013278307</v>
      </c>
      <c r="AG172" s="148">
        <f t="shared" ca="1" si="110"/>
        <v>11.277484026556614</v>
      </c>
      <c r="AH172" s="148">
        <f t="shared" ca="1" si="111"/>
        <v>1137.1463060111253</v>
      </c>
      <c r="AI172" s="148">
        <f t="shared" ca="1" si="112"/>
        <v>3106.7449108971391</v>
      </c>
      <c r="AJ172" s="20">
        <f t="shared" ca="1" si="124"/>
        <v>3052.9814907659493</v>
      </c>
      <c r="AK172" s="148">
        <f t="shared" ca="1" si="113"/>
        <v>148.94204065457859</v>
      </c>
      <c r="AL172" s="148">
        <f t="shared" ca="1" si="114"/>
        <v>109.83926301960074</v>
      </c>
      <c r="AM172" s="148">
        <f t="shared" ca="1" si="115"/>
        <v>52.722846249408356</v>
      </c>
      <c r="AN172" s="148">
        <f t="shared" ca="1" si="116"/>
        <v>6.5903557811760445</v>
      </c>
      <c r="AO172" s="148">
        <f t="shared" ca="1" si="117"/>
        <v>13.180711562352089</v>
      </c>
      <c r="AP172" s="148">
        <f t="shared" ca="1" si="118"/>
        <v>1621.2275221693069</v>
      </c>
      <c r="AQ172" s="148">
        <f t="shared" ca="1" si="119"/>
        <v>3631.050017176884</v>
      </c>
      <c r="AR172" s="17">
        <f t="shared" ca="1" si="125"/>
        <v>3568.0853157575971</v>
      </c>
      <c r="AS172" s="148">
        <f t="shared" ca="1" si="120"/>
        <v>1518.2437910324575</v>
      </c>
      <c r="AT172" s="48" t="str">
        <f>INDEX('stock fisico '!N:N, MATCH(B172, 'stock fisico '!B:B, 0))</f>
        <v>MAS CATEGORIAS</v>
      </c>
      <c r="AU172" s="46" t="str">
        <f>INDEX('stock fisico '!D:D, MATCH(B172, 'stock fisico '!B:B, 0))</f>
        <v>Cables</v>
      </c>
      <c r="AV172" s="43" t="str">
        <f>INDEX('stock fisico '!L:L, MATCH(B172, 'stock fisico '!B:B, 0))</f>
        <v>Netmak</v>
      </c>
    </row>
    <row r="173" spans="1:48" x14ac:dyDescent="0.25">
      <c r="A173" s="48">
        <f>INDEX('stock fisico '!M:M, MATCH(B173, 'stock fisico '!B:B, 0))</f>
        <v>4832</v>
      </c>
      <c r="B173" s="47" t="s">
        <v>745</v>
      </c>
      <c r="C173" s="46" t="str">
        <f>INDEX('stock fisico '!C:C, MATCH(B173, 'stock fisico '!B:B, 0))</f>
        <v>EXTENSOR HDMI CAT5 5E/6 NM-C56  NETMAK  EAN:  NO TIENE</v>
      </c>
      <c r="D173" s="44">
        <f>INDEX('stock fisico '!I:I, MATCH(B173, 'stock fisico '!B:B, 0))</f>
        <v>2828.29</v>
      </c>
      <c r="E173" s="6">
        <f t="shared" ca="1" si="126"/>
        <v>3449.1341463414633</v>
      </c>
      <c r="F173" s="148">
        <f t="shared" ca="1" si="86"/>
        <v>153.19965756731483</v>
      </c>
      <c r="G173" s="148">
        <f t="shared" ca="1" si="87"/>
        <v>93.371155785925325</v>
      </c>
      <c r="H173" s="148">
        <f t="shared" ca="1" si="88"/>
        <v>44.818154777244153</v>
      </c>
      <c r="I173" s="148">
        <f t="shared" ca="1" si="89"/>
        <v>5.6022693471555192</v>
      </c>
      <c r="J173" s="148">
        <f t="shared" ca="1" si="90"/>
        <v>11.204538694311038</v>
      </c>
      <c r="K173" s="148">
        <f t="shared" ca="1" si="91"/>
        <v>3734.8462314370126</v>
      </c>
      <c r="L173" s="32">
        <f t="shared" ca="1" si="121"/>
        <v>3658.3564973803332</v>
      </c>
      <c r="M173" s="148">
        <f t="shared" ca="1" si="92"/>
        <v>185.37719714049757</v>
      </c>
      <c r="N173" s="148">
        <f t="shared" ca="1" si="93"/>
        <v>112.98251855268143</v>
      </c>
      <c r="O173" s="148">
        <f t="shared" ca="1" si="94"/>
        <v>54.231608905287089</v>
      </c>
      <c r="P173" s="148">
        <f t="shared" ca="1" si="95"/>
        <v>6.7789511131608862</v>
      </c>
      <c r="Q173" s="148">
        <f t="shared" ca="1" si="96"/>
        <v>13.557902226321772</v>
      </c>
      <c r="R173" s="148">
        <f t="shared" ca="1" si="97"/>
        <v>724.55689147834596</v>
      </c>
      <c r="S173" s="148">
        <f t="shared" ca="1" si="98"/>
        <v>4519.3007421072571</v>
      </c>
      <c r="T173" s="28">
        <f t="shared" ca="1" si="122"/>
        <v>4426.8577460919159</v>
      </c>
      <c r="U173" s="148">
        <f t="shared" ca="1" si="99"/>
        <v>214.26605837439149</v>
      </c>
      <c r="V173" s="148">
        <f t="shared" ca="1" si="100"/>
        <v>158.01331738524445</v>
      </c>
      <c r="W173" s="148">
        <f t="shared" ca="1" si="101"/>
        <v>75.846392344917334</v>
      </c>
      <c r="X173" s="148">
        <f t="shared" ca="1" si="102"/>
        <v>9.4807990431146667</v>
      </c>
      <c r="Y173" s="148">
        <f t="shared" ca="1" si="103"/>
        <v>18.961598086229333</v>
      </c>
      <c r="Z173" s="148">
        <f t="shared" ca="1" si="104"/>
        <v>1374.7158612516266</v>
      </c>
      <c r="AA173" s="148">
        <f t="shared" ca="1" si="105"/>
        <v>5223.5807400080812</v>
      </c>
      <c r="AB173" s="24">
        <f t="shared" ca="1" si="123"/>
        <v>5132.9240563986277</v>
      </c>
      <c r="AC173" s="148">
        <f t="shared" ca="1" si="106"/>
        <v>253.77556547185975</v>
      </c>
      <c r="AD173" s="148">
        <f t="shared" ca="1" si="107"/>
        <v>187.15012202939511</v>
      </c>
      <c r="AE173" s="148">
        <f t="shared" ca="1" si="108"/>
        <v>89.832058574109652</v>
      </c>
      <c r="AF173" s="148">
        <f t="shared" ca="1" si="109"/>
        <v>11.229007321763707</v>
      </c>
      <c r="AG173" s="148">
        <f t="shared" ca="1" si="110"/>
        <v>22.458014643527413</v>
      </c>
      <c r="AH173" s="148">
        <f t="shared" ca="1" si="111"/>
        <v>2264.5164765556806</v>
      </c>
      <c r="AI173" s="148">
        <f t="shared" ca="1" si="112"/>
        <v>6186.7808935337225</v>
      </c>
      <c r="AJ173" s="20">
        <f t="shared" ca="1" si="124"/>
        <v>6079.71626158664</v>
      </c>
      <c r="AK173" s="148">
        <f t="shared" ca="1" si="113"/>
        <v>296.60361497126434</v>
      </c>
      <c r="AL173" s="148">
        <f t="shared" ca="1" si="114"/>
        <v>218.73422932984093</v>
      </c>
      <c r="AM173" s="148">
        <f t="shared" ca="1" si="115"/>
        <v>104.99243007832365</v>
      </c>
      <c r="AN173" s="148">
        <f t="shared" ca="1" si="116"/>
        <v>13.124053759790456</v>
      </c>
      <c r="AO173" s="148">
        <f t="shared" ca="1" si="117"/>
        <v>26.248107519580913</v>
      </c>
      <c r="AP173" s="148">
        <f t="shared" ca="1" si="118"/>
        <v>3228.5172249084521</v>
      </c>
      <c r="AQ173" s="148">
        <f t="shared" ca="1" si="119"/>
        <v>7230.8836142096179</v>
      </c>
      <c r="AR173" s="17">
        <f t="shared" ca="1" si="125"/>
        <v>7105.4955238190842</v>
      </c>
      <c r="AS173" s="148">
        <f t="shared" ca="1" si="120"/>
        <v>3023.4351218019283</v>
      </c>
      <c r="AT173" s="48" t="str">
        <f>INDEX('stock fisico '!N:N, MATCH(B173, 'stock fisico '!B:B, 0))</f>
        <v>MAS CATEGORIAS</v>
      </c>
      <c r="AU173" s="46" t="str">
        <f>INDEX('stock fisico '!D:D, MATCH(B173, 'stock fisico '!B:B, 0))</f>
        <v>Adaptadores</v>
      </c>
      <c r="AV173" s="43" t="str">
        <f>INDEX('stock fisico '!L:L, MATCH(B173, 'stock fisico '!B:B, 0))</f>
        <v>Netmak</v>
      </c>
    </row>
    <row r="174" spans="1:48" x14ac:dyDescent="0.25">
      <c r="A174" s="48">
        <f>INDEX('stock fisico '!M:M, MATCH(B174, 'stock fisico '!B:B, 0))</f>
        <v>3696</v>
      </c>
      <c r="B174" s="47" t="s">
        <v>284</v>
      </c>
      <c r="C174" s="46" t="str">
        <f>INDEX('stock fisico '!C:C, MATCH(B174, 'stock fisico '!B:B, 0))</f>
        <v>CABLE POWER FUENTE NM-C45 220V 1.5 METROS  NETMAK   EAN:  NO TIENE</v>
      </c>
      <c r="D174" s="44">
        <f>INDEX('stock fisico '!I:I, MATCH(B174, 'stock fisico '!B:B, 0))</f>
        <v>5525.01</v>
      </c>
      <c r="E174" s="6">
        <f t="shared" ca="1" si="126"/>
        <v>6737.8170731707323</v>
      </c>
      <c r="F174" s="148">
        <f t="shared" ca="1" si="86"/>
        <v>299.27257815004481</v>
      </c>
      <c r="G174" s="148">
        <f t="shared" ca="1" si="87"/>
        <v>182.39875310834296</v>
      </c>
      <c r="H174" s="148">
        <f t="shared" ca="1" si="88"/>
        <v>87.551401492004615</v>
      </c>
      <c r="I174" s="148">
        <f t="shared" ca="1" si="89"/>
        <v>10.943925186500577</v>
      </c>
      <c r="J174" s="148">
        <f t="shared" ca="1" si="90"/>
        <v>21.887850373001154</v>
      </c>
      <c r="K174" s="148">
        <f t="shared" ca="1" si="91"/>
        <v>7295.9501243337181</v>
      </c>
      <c r="L174" s="32">
        <f t="shared" ca="1" si="121"/>
        <v>7146.5289031857828</v>
      </c>
      <c r="M174" s="148">
        <f t="shared" ca="1" si="92"/>
        <v>362.13078148747849</v>
      </c>
      <c r="N174" s="148">
        <f t="shared" ca="1" si="93"/>
        <v>220.70917226619281</v>
      </c>
      <c r="O174" s="148">
        <f t="shared" ca="1" si="94"/>
        <v>105.94040268777255</v>
      </c>
      <c r="P174" s="148">
        <f t="shared" ca="1" si="95"/>
        <v>13.242550335971568</v>
      </c>
      <c r="Q174" s="148">
        <f t="shared" ca="1" si="96"/>
        <v>26.485100671943137</v>
      </c>
      <c r="R174" s="148">
        <f t="shared" ca="1" si="97"/>
        <v>1415.4079217430944</v>
      </c>
      <c r="S174" s="148">
        <f t="shared" ca="1" si="98"/>
        <v>8828.3668906477124</v>
      </c>
      <c r="T174" s="28">
        <f t="shared" ca="1" si="122"/>
        <v>8647.7812797610204</v>
      </c>
      <c r="U174" s="148">
        <f t="shared" ca="1" si="99"/>
        <v>418.56461507804954</v>
      </c>
      <c r="V174" s="148">
        <f t="shared" ca="1" si="100"/>
        <v>308.67596982157045</v>
      </c>
      <c r="W174" s="148">
        <f t="shared" ca="1" si="101"/>
        <v>148.16446551435382</v>
      </c>
      <c r="X174" s="148">
        <f t="shared" ca="1" si="102"/>
        <v>18.520558189294228</v>
      </c>
      <c r="Y174" s="148">
        <f t="shared" ca="1" si="103"/>
        <v>37.041116378588455</v>
      </c>
      <c r="Z174" s="148">
        <f t="shared" ca="1" si="104"/>
        <v>2685.4809374476631</v>
      </c>
      <c r="AA174" s="148">
        <f t="shared" ca="1" si="105"/>
        <v>10204.164291622164</v>
      </c>
      <c r="AB174" s="24">
        <f t="shared" ca="1" si="123"/>
        <v>10027.068207589387</v>
      </c>
      <c r="AC174" s="148">
        <f t="shared" ca="1" si="106"/>
        <v>495.74567565125221</v>
      </c>
      <c r="AD174" s="148">
        <f t="shared" ca="1" si="107"/>
        <v>365.59415608499421</v>
      </c>
      <c r="AE174" s="148">
        <f t="shared" ca="1" si="108"/>
        <v>175.48519492079723</v>
      </c>
      <c r="AF174" s="148">
        <f t="shared" ca="1" si="109"/>
        <v>21.935649365099653</v>
      </c>
      <c r="AG174" s="148">
        <f t="shared" ca="1" si="110"/>
        <v>43.871298730199307</v>
      </c>
      <c r="AH174" s="148">
        <f t="shared" ca="1" si="111"/>
        <v>4423.6892886284304</v>
      </c>
      <c r="AI174" s="148">
        <f t="shared" ca="1" si="112"/>
        <v>12085.757225950223</v>
      </c>
      <c r="AJ174" s="20">
        <f t="shared" ca="1" si="124"/>
        <v>11876.60853110141</v>
      </c>
      <c r="AK174" s="148">
        <f t="shared" ca="1" si="113"/>
        <v>579.4094448420725</v>
      </c>
      <c r="AL174" s="148">
        <f t="shared" ca="1" si="114"/>
        <v>427.29310091598268</v>
      </c>
      <c r="AM174" s="148">
        <f t="shared" ca="1" si="115"/>
        <v>205.10068843967167</v>
      </c>
      <c r="AN174" s="148">
        <f t="shared" ca="1" si="116"/>
        <v>25.637586054958959</v>
      </c>
      <c r="AO174" s="148">
        <f t="shared" ca="1" si="117"/>
        <v>51.275172109917918</v>
      </c>
      <c r="AP174" s="148">
        <f t="shared" ca="1" si="118"/>
        <v>6306.8461695199039</v>
      </c>
      <c r="AQ174" s="148">
        <f t="shared" ca="1" si="119"/>
        <v>14125.391765817609</v>
      </c>
      <c r="AR174" s="17">
        <f t="shared" ca="1" si="125"/>
        <v>13880.448548082299</v>
      </c>
      <c r="AS174" s="148">
        <f t="shared" ca="1" si="120"/>
        <v>5906.2222340378376</v>
      </c>
      <c r="AT174" s="48" t="str">
        <f>INDEX('stock fisico '!N:N, MATCH(B174, 'stock fisico '!B:B, 0))</f>
        <v>MAS CATEGORIAS</v>
      </c>
      <c r="AU174" s="46" t="str">
        <f>INDEX('stock fisico '!D:D, MATCH(B174, 'stock fisico '!B:B, 0))</f>
        <v>Cables</v>
      </c>
      <c r="AV174" s="43" t="str">
        <f>INDEX('stock fisico '!L:L, MATCH(B174, 'stock fisico '!B:B, 0))</f>
        <v>Netmak</v>
      </c>
    </row>
    <row r="175" spans="1:48" x14ac:dyDescent="0.25">
      <c r="A175" s="48">
        <f>INDEX('stock fisico '!M:M, MATCH(B175, 'stock fisico '!B:B, 0))</f>
        <v>7499</v>
      </c>
      <c r="B175" s="47" t="s">
        <v>751</v>
      </c>
      <c r="C175" s="46" t="str">
        <f>INDEX('stock fisico '!C:C, MATCH(B175, 'stock fisico '!B:B, 0))</f>
        <v>SPLITER HDMI 3 BOCAS  TL-SHDMI3  T-LINE  EAN:  NO TIENE</v>
      </c>
      <c r="D175" s="44">
        <f>INDEX('stock fisico '!I:I, MATCH(B175, 'stock fisico '!B:B, 0))</f>
        <v>5525.01</v>
      </c>
      <c r="E175" s="6">
        <f t="shared" ca="1" si="126"/>
        <v>6737.8170731707323</v>
      </c>
      <c r="F175" s="148">
        <f t="shared" ca="1" si="86"/>
        <v>299.27257815004481</v>
      </c>
      <c r="G175" s="148">
        <f t="shared" ca="1" si="87"/>
        <v>182.39875310834296</v>
      </c>
      <c r="H175" s="148">
        <f t="shared" ca="1" si="88"/>
        <v>87.551401492004615</v>
      </c>
      <c r="I175" s="148">
        <f t="shared" ca="1" si="89"/>
        <v>10.943925186500577</v>
      </c>
      <c r="J175" s="148">
        <f t="shared" ca="1" si="90"/>
        <v>21.887850373001154</v>
      </c>
      <c r="K175" s="148">
        <f t="shared" ca="1" si="91"/>
        <v>7295.9501243337181</v>
      </c>
      <c r="L175" s="32">
        <f t="shared" ca="1" si="121"/>
        <v>7146.5289031857828</v>
      </c>
      <c r="M175" s="148">
        <f t="shared" ca="1" si="92"/>
        <v>362.13078148747849</v>
      </c>
      <c r="N175" s="148">
        <f t="shared" ca="1" si="93"/>
        <v>220.70917226619281</v>
      </c>
      <c r="O175" s="148">
        <f t="shared" ca="1" si="94"/>
        <v>105.94040268777255</v>
      </c>
      <c r="P175" s="148">
        <f t="shared" ca="1" si="95"/>
        <v>13.242550335971568</v>
      </c>
      <c r="Q175" s="148">
        <f t="shared" ca="1" si="96"/>
        <v>26.485100671943137</v>
      </c>
      <c r="R175" s="148">
        <f t="shared" ca="1" si="97"/>
        <v>1415.4079217430944</v>
      </c>
      <c r="S175" s="148">
        <f t="shared" ca="1" si="98"/>
        <v>8828.3668906477124</v>
      </c>
      <c r="T175" s="28">
        <f t="shared" ca="1" si="122"/>
        <v>8647.7812797610204</v>
      </c>
      <c r="U175" s="148">
        <f t="shared" ca="1" si="99"/>
        <v>418.56461507804954</v>
      </c>
      <c r="V175" s="148">
        <f t="shared" ca="1" si="100"/>
        <v>308.67596982157045</v>
      </c>
      <c r="W175" s="148">
        <f t="shared" ca="1" si="101"/>
        <v>148.16446551435382</v>
      </c>
      <c r="X175" s="148">
        <f t="shared" ca="1" si="102"/>
        <v>18.520558189294228</v>
      </c>
      <c r="Y175" s="148">
        <f t="shared" ca="1" si="103"/>
        <v>37.041116378588455</v>
      </c>
      <c r="Z175" s="148">
        <f t="shared" ca="1" si="104"/>
        <v>2685.4809374476631</v>
      </c>
      <c r="AA175" s="148">
        <f t="shared" ca="1" si="105"/>
        <v>10204.164291622164</v>
      </c>
      <c r="AB175" s="24">
        <f t="shared" ca="1" si="123"/>
        <v>10027.068207589387</v>
      </c>
      <c r="AC175" s="148">
        <f t="shared" ca="1" si="106"/>
        <v>495.74567565125221</v>
      </c>
      <c r="AD175" s="148">
        <f t="shared" ca="1" si="107"/>
        <v>365.59415608499421</v>
      </c>
      <c r="AE175" s="148">
        <f t="shared" ca="1" si="108"/>
        <v>175.48519492079723</v>
      </c>
      <c r="AF175" s="148">
        <f t="shared" ca="1" si="109"/>
        <v>21.935649365099653</v>
      </c>
      <c r="AG175" s="148">
        <f t="shared" ca="1" si="110"/>
        <v>43.871298730199307</v>
      </c>
      <c r="AH175" s="148">
        <f t="shared" ca="1" si="111"/>
        <v>4423.6892886284304</v>
      </c>
      <c r="AI175" s="148">
        <f t="shared" ca="1" si="112"/>
        <v>12085.757225950223</v>
      </c>
      <c r="AJ175" s="20">
        <f t="shared" ca="1" si="124"/>
        <v>11876.60853110141</v>
      </c>
      <c r="AK175" s="148">
        <f t="shared" ca="1" si="113"/>
        <v>579.4094448420725</v>
      </c>
      <c r="AL175" s="148">
        <f t="shared" ca="1" si="114"/>
        <v>427.29310091598268</v>
      </c>
      <c r="AM175" s="148">
        <f t="shared" ca="1" si="115"/>
        <v>205.10068843967167</v>
      </c>
      <c r="AN175" s="148">
        <f t="shared" ca="1" si="116"/>
        <v>25.637586054958959</v>
      </c>
      <c r="AO175" s="148">
        <f t="shared" ca="1" si="117"/>
        <v>51.275172109917918</v>
      </c>
      <c r="AP175" s="148">
        <f t="shared" ca="1" si="118"/>
        <v>6306.8461695199039</v>
      </c>
      <c r="AQ175" s="148">
        <f t="shared" ca="1" si="119"/>
        <v>14125.391765817609</v>
      </c>
      <c r="AR175" s="17">
        <f t="shared" ca="1" si="125"/>
        <v>13880.448548082299</v>
      </c>
      <c r="AS175" s="148">
        <f t="shared" ca="1" si="120"/>
        <v>5906.2222340378376</v>
      </c>
      <c r="AT175" s="48" t="str">
        <f>INDEX('stock fisico '!N:N, MATCH(B175, 'stock fisico '!B:B, 0))</f>
        <v>MAS CATEGORIAS</v>
      </c>
      <c r="AU175" s="46" t="str">
        <f>INDEX('stock fisico '!D:D, MATCH(B175, 'stock fisico '!B:B, 0))</f>
        <v>Sistemas De Monitoreo</v>
      </c>
      <c r="AV175" s="43" t="str">
        <f>INDEX('stock fisico '!L:L, MATCH(B175, 'stock fisico '!B:B, 0))</f>
        <v>Tline</v>
      </c>
    </row>
    <row r="176" spans="1:48" x14ac:dyDescent="0.25">
      <c r="A176" s="48">
        <f>INDEX('stock fisico '!M:M, MATCH(B176, 'stock fisico '!B:B, 0))</f>
        <v>3625</v>
      </c>
      <c r="B176" s="47" t="s">
        <v>938</v>
      </c>
      <c r="C176" s="46" t="str">
        <f>INDEX('stock fisico '!C:C, MATCH(B176, 'stock fisico '!B:B, 0))</f>
        <v>CABLE EXTENSION VGA M/H 1,8 METROS NM-C79 NETMAK</v>
      </c>
      <c r="D176" s="44">
        <f>INDEX('stock fisico '!I:I, MATCH(B176, 'stock fisico '!B:B, 0))</f>
        <v>1300</v>
      </c>
      <c r="E176" s="6">
        <f t="shared" ca="1" si="126"/>
        <v>1585.3658536585367</v>
      </c>
      <c r="F176" s="148">
        <f t="shared" ca="1" si="86"/>
        <v>70.416949760282463</v>
      </c>
      <c r="G176" s="148">
        <f t="shared" ca="1" si="87"/>
        <v>42.917275994223694</v>
      </c>
      <c r="H176" s="148">
        <f t="shared" ca="1" si="88"/>
        <v>20.60029247722737</v>
      </c>
      <c r="I176" s="148">
        <f t="shared" ca="1" si="89"/>
        <v>2.5750365596534213</v>
      </c>
      <c r="J176" s="148">
        <f t="shared" ca="1" si="90"/>
        <v>5.1500731193068425</v>
      </c>
      <c r="K176" s="148">
        <f t="shared" ca="1" si="91"/>
        <v>1716.6910397689476</v>
      </c>
      <c r="L176" s="32">
        <f t="shared" ca="1" si="121"/>
        <v>1681.5331690153535</v>
      </c>
      <c r="M176" s="148">
        <f t="shared" ca="1" si="92"/>
        <v>85.207088481961506</v>
      </c>
      <c r="N176" s="148">
        <f t="shared" ca="1" si="93"/>
        <v>51.931475951364916</v>
      </c>
      <c r="O176" s="148">
        <f t="shared" ca="1" si="94"/>
        <v>24.927108456655162</v>
      </c>
      <c r="P176" s="148">
        <f t="shared" ca="1" si="95"/>
        <v>3.1158885570818953</v>
      </c>
      <c r="Q176" s="148">
        <f t="shared" ca="1" si="96"/>
        <v>6.2317771141637905</v>
      </c>
      <c r="R176" s="148">
        <f t="shared" ca="1" si="97"/>
        <v>333.03655527610317</v>
      </c>
      <c r="S176" s="148">
        <f t="shared" ca="1" si="98"/>
        <v>2077.2590380545967</v>
      </c>
      <c r="T176" s="28">
        <f t="shared" ca="1" si="122"/>
        <v>2034.7683829874204</v>
      </c>
      <c r="U176" s="148">
        <f t="shared" ca="1" si="99"/>
        <v>98.485613528566375</v>
      </c>
      <c r="V176" s="148">
        <f t="shared" ca="1" si="100"/>
        <v>72.629508501892602</v>
      </c>
      <c r="W176" s="148">
        <f t="shared" ca="1" si="101"/>
        <v>34.86216408090845</v>
      </c>
      <c r="X176" s="148">
        <f t="shared" ca="1" si="102"/>
        <v>4.3577705101135562</v>
      </c>
      <c r="Y176" s="148">
        <f t="shared" ca="1" si="103"/>
        <v>8.7155410202271124</v>
      </c>
      <c r="Z176" s="148">
        <f t="shared" ca="1" si="104"/>
        <v>631.87672396646565</v>
      </c>
      <c r="AA176" s="148">
        <f t="shared" ca="1" si="105"/>
        <v>2400.9754876658712</v>
      </c>
      <c r="AB176" s="24">
        <f t="shared" ca="1" si="123"/>
        <v>2359.3058962547043</v>
      </c>
      <c r="AC176" s="148">
        <f t="shared" ca="1" si="106"/>
        <v>116.64583020603183</v>
      </c>
      <c r="AD176" s="148">
        <f t="shared" ca="1" si="107"/>
        <v>86.021998677014622</v>
      </c>
      <c r="AE176" s="148">
        <f t="shared" ca="1" si="108"/>
        <v>41.290559364967017</v>
      </c>
      <c r="AF176" s="148">
        <f t="shared" ca="1" si="109"/>
        <v>5.1613199206208771</v>
      </c>
      <c r="AG176" s="148">
        <f t="shared" ca="1" si="110"/>
        <v>10.322639841241754</v>
      </c>
      <c r="AH176" s="148">
        <f t="shared" ca="1" si="111"/>
        <v>1040.8661839918768</v>
      </c>
      <c r="AI176" s="148">
        <f t="shared" ca="1" si="112"/>
        <v>2843.7024356037891</v>
      </c>
      <c r="AJ176" s="20">
        <f t="shared" ca="1" si="124"/>
        <v>2794.4910670626541</v>
      </c>
      <c r="AK176" s="148">
        <f t="shared" ca="1" si="113"/>
        <v>136.33138732684543</v>
      </c>
      <c r="AL176" s="148">
        <f t="shared" ca="1" si="114"/>
        <v>100.53937118498925</v>
      </c>
      <c r="AM176" s="148">
        <f t="shared" ca="1" si="115"/>
        <v>48.258898168794836</v>
      </c>
      <c r="AN176" s="148">
        <f t="shared" ca="1" si="116"/>
        <v>6.0323622710993545</v>
      </c>
      <c r="AO176" s="148">
        <f t="shared" ca="1" si="117"/>
        <v>12.064724542198709</v>
      </c>
      <c r="AP176" s="148">
        <f t="shared" ca="1" si="118"/>
        <v>1483.9611186904413</v>
      </c>
      <c r="AQ176" s="148">
        <f t="shared" ca="1" si="119"/>
        <v>3323.615576363281</v>
      </c>
      <c r="AR176" s="17">
        <f t="shared" ca="1" si="125"/>
        <v>3265.981982386817</v>
      </c>
      <c r="AS176" s="148">
        <f t="shared" ca="1" si="120"/>
        <v>1389.6968338969864</v>
      </c>
      <c r="AT176" s="48" t="str">
        <f>INDEX('stock fisico '!N:N, MATCH(B176, 'stock fisico '!B:B, 0))</f>
        <v>MAS CATEGORIAS</v>
      </c>
      <c r="AU176" s="46" t="str">
        <f>INDEX('stock fisico '!D:D, MATCH(B176, 'stock fisico '!B:B, 0))</f>
        <v>Cables</v>
      </c>
      <c r="AV176" s="43" t="str">
        <f>INDEX('stock fisico '!L:L, MATCH(B176, 'stock fisico '!B:B, 0))</f>
        <v>Netmak</v>
      </c>
    </row>
    <row r="177" spans="1:48" x14ac:dyDescent="0.25">
      <c r="A177" s="48">
        <f>INDEX('stock fisico '!M:M, MATCH(B177, 'stock fisico '!B:B, 0))</f>
        <v>8286</v>
      </c>
      <c r="B177" s="47" t="s">
        <v>465</v>
      </c>
      <c r="C177" s="46" t="str">
        <f>INDEX('stock fisico '!C:C, MATCH(B177, 'stock fisico '!B:B, 0))</f>
        <v>PAD MOUSE GAMER HORIZON NOGANET  EAN: 7798137718396</v>
      </c>
      <c r="D177" s="44">
        <f>INDEX('stock fisico '!I:I, MATCH(B177, 'stock fisico '!B:B, 0))</f>
        <v>5200</v>
      </c>
      <c r="E177" s="6">
        <f t="shared" ca="1" si="126"/>
        <v>6341.4634146341468</v>
      </c>
      <c r="F177" s="148">
        <f t="shared" ca="1" si="86"/>
        <v>281.66779904112985</v>
      </c>
      <c r="G177" s="148">
        <f t="shared" ca="1" si="87"/>
        <v>171.66910397689477</v>
      </c>
      <c r="H177" s="148">
        <f t="shared" ca="1" si="88"/>
        <v>82.40116990890948</v>
      </c>
      <c r="I177" s="148">
        <f t="shared" ca="1" si="89"/>
        <v>10.300146238613685</v>
      </c>
      <c r="J177" s="148">
        <f t="shared" ca="1" si="90"/>
        <v>20.60029247722737</v>
      </c>
      <c r="K177" s="148">
        <f t="shared" ca="1" si="91"/>
        <v>6866.7641590757903</v>
      </c>
      <c r="L177" s="32">
        <f t="shared" ca="1" si="121"/>
        <v>6726.1326760614138</v>
      </c>
      <c r="M177" s="148">
        <f t="shared" ca="1" si="92"/>
        <v>340.82835392784602</v>
      </c>
      <c r="N177" s="148">
        <f t="shared" ca="1" si="93"/>
        <v>207.72590380545967</v>
      </c>
      <c r="O177" s="148">
        <f t="shared" ca="1" si="94"/>
        <v>99.708433826620649</v>
      </c>
      <c r="P177" s="148">
        <f t="shared" ca="1" si="95"/>
        <v>12.463554228327581</v>
      </c>
      <c r="Q177" s="148">
        <f t="shared" ca="1" si="96"/>
        <v>24.927108456655162</v>
      </c>
      <c r="R177" s="148">
        <f t="shared" ca="1" si="97"/>
        <v>1332.1462211044127</v>
      </c>
      <c r="S177" s="148">
        <f t="shared" ca="1" si="98"/>
        <v>8309.0361522183866</v>
      </c>
      <c r="T177" s="28">
        <f t="shared" ca="1" si="122"/>
        <v>8139.0735319496816</v>
      </c>
      <c r="U177" s="148">
        <f t="shared" ca="1" si="99"/>
        <v>393.9424541142655</v>
      </c>
      <c r="V177" s="148">
        <f t="shared" ca="1" si="100"/>
        <v>290.51803400757041</v>
      </c>
      <c r="W177" s="148">
        <f t="shared" ca="1" si="101"/>
        <v>139.4486563236338</v>
      </c>
      <c r="X177" s="148">
        <f t="shared" ca="1" si="102"/>
        <v>17.431082040454225</v>
      </c>
      <c r="Y177" s="148">
        <f t="shared" ca="1" si="103"/>
        <v>34.86216408090845</v>
      </c>
      <c r="Z177" s="148">
        <f t="shared" ca="1" si="104"/>
        <v>2527.5068958658626</v>
      </c>
      <c r="AA177" s="148">
        <f t="shared" ca="1" si="105"/>
        <v>9603.901950663485</v>
      </c>
      <c r="AB177" s="24">
        <f t="shared" ca="1" si="123"/>
        <v>9437.2235850188172</v>
      </c>
      <c r="AC177" s="148">
        <f t="shared" ca="1" si="106"/>
        <v>466.58332082412733</v>
      </c>
      <c r="AD177" s="148">
        <f t="shared" ca="1" si="107"/>
        <v>344.08799470805849</v>
      </c>
      <c r="AE177" s="148">
        <f t="shared" ca="1" si="108"/>
        <v>165.16223745986807</v>
      </c>
      <c r="AF177" s="148">
        <f t="shared" ca="1" si="109"/>
        <v>20.645279682483508</v>
      </c>
      <c r="AG177" s="148">
        <f t="shared" ca="1" si="110"/>
        <v>41.290559364967017</v>
      </c>
      <c r="AH177" s="148">
        <f t="shared" ca="1" si="111"/>
        <v>4163.4647359675073</v>
      </c>
      <c r="AI177" s="148">
        <f t="shared" ca="1" si="112"/>
        <v>11374.809742415157</v>
      </c>
      <c r="AJ177" s="20">
        <f t="shared" ca="1" si="124"/>
        <v>11177.964268250616</v>
      </c>
      <c r="AK177" s="148">
        <f t="shared" ca="1" si="113"/>
        <v>545.32554930738172</v>
      </c>
      <c r="AL177" s="148">
        <f t="shared" ca="1" si="114"/>
        <v>402.157484739957</v>
      </c>
      <c r="AM177" s="148">
        <f t="shared" ca="1" si="115"/>
        <v>193.03559267517934</v>
      </c>
      <c r="AN177" s="148">
        <f t="shared" ca="1" si="116"/>
        <v>24.129449084397418</v>
      </c>
      <c r="AO177" s="148">
        <f t="shared" ca="1" si="117"/>
        <v>48.258898168794836</v>
      </c>
      <c r="AP177" s="148">
        <f t="shared" ca="1" si="118"/>
        <v>5935.844474761765</v>
      </c>
      <c r="AQ177" s="148">
        <f t="shared" ca="1" si="119"/>
        <v>13294.462305453124</v>
      </c>
      <c r="AR177" s="17">
        <f t="shared" ca="1" si="125"/>
        <v>13063.927929547268</v>
      </c>
      <c r="AS177" s="148">
        <f t="shared" ca="1" si="120"/>
        <v>5558.7873355879456</v>
      </c>
      <c r="AT177" s="48" t="str">
        <f>INDEX('stock fisico '!N:N, MATCH(B177, 'stock fisico '!B:B, 0))</f>
        <v>INFORMATICA</v>
      </c>
      <c r="AU177" s="46" t="str">
        <f>INDEX('stock fisico '!D:D, MATCH(B177, 'stock fisico '!B:B, 0))</f>
        <v>PAD MOUSE</v>
      </c>
      <c r="AV177" s="43" t="str">
        <f>INDEX('stock fisico '!L:L, MATCH(B177, 'stock fisico '!B:B, 0))</f>
        <v>Noganet</v>
      </c>
    </row>
    <row r="178" spans="1:48" x14ac:dyDescent="0.25">
      <c r="A178" s="48">
        <f>INDEX('stock fisico '!M:M, MATCH(B178, 'stock fisico '!B:B, 0))</f>
        <v>3595</v>
      </c>
      <c r="B178" s="47" t="s">
        <v>770</v>
      </c>
      <c r="C178" s="46" t="str">
        <f>INDEX('stock fisico '!C:C, MATCH(B178, 'stock fisico '!B:B, 0))</f>
        <v>CABLE PLUG 3.5 HEMBRA A 2 RCA MACHO 0.4 METROS TL-MP2RCA04  T-LINE</v>
      </c>
      <c r="D178" s="44">
        <f>INDEX('stock fisico '!I:I, MATCH(B178, 'stock fisico '!B:B, 0))</f>
        <v>4810</v>
      </c>
      <c r="E178" s="6">
        <f t="shared" ca="1" si="126"/>
        <v>5865.8536585365855</v>
      </c>
      <c r="F178" s="148">
        <f t="shared" ca="1" si="86"/>
        <v>260.54271411304512</v>
      </c>
      <c r="G178" s="148">
        <f t="shared" ca="1" si="87"/>
        <v>158.79392117862767</v>
      </c>
      <c r="H178" s="148">
        <f t="shared" ca="1" si="88"/>
        <v>76.221082165741279</v>
      </c>
      <c r="I178" s="148">
        <f t="shared" ca="1" si="89"/>
        <v>9.5276352707176599</v>
      </c>
      <c r="J178" s="148">
        <f t="shared" ca="1" si="90"/>
        <v>19.05527054143532</v>
      </c>
      <c r="K178" s="148">
        <f t="shared" ca="1" si="91"/>
        <v>6351.7568471451059</v>
      </c>
      <c r="L178" s="32">
        <f t="shared" ca="1" si="121"/>
        <v>6221.672725356807</v>
      </c>
      <c r="M178" s="148">
        <f t="shared" ca="1" si="92"/>
        <v>315.2662273832575</v>
      </c>
      <c r="N178" s="148">
        <f t="shared" ca="1" si="93"/>
        <v>192.1464610200502</v>
      </c>
      <c r="O178" s="148">
        <f t="shared" ca="1" si="94"/>
        <v>92.23030128962408</v>
      </c>
      <c r="P178" s="148">
        <f t="shared" ca="1" si="95"/>
        <v>11.52878766120301</v>
      </c>
      <c r="Q178" s="148">
        <f t="shared" ca="1" si="96"/>
        <v>23.05757532240602</v>
      </c>
      <c r="R178" s="148">
        <f t="shared" ca="1" si="97"/>
        <v>1232.2352545215817</v>
      </c>
      <c r="S178" s="148">
        <f t="shared" ca="1" si="98"/>
        <v>7685.858440802007</v>
      </c>
      <c r="T178" s="28">
        <f t="shared" ca="1" si="122"/>
        <v>7528.643017053455</v>
      </c>
      <c r="U178" s="148">
        <f t="shared" ca="1" si="99"/>
        <v>364.39677005569553</v>
      </c>
      <c r="V178" s="148">
        <f t="shared" ca="1" si="100"/>
        <v>268.7291814570026</v>
      </c>
      <c r="W178" s="148">
        <f t="shared" ca="1" si="101"/>
        <v>128.99000709936126</v>
      </c>
      <c r="X178" s="148">
        <f t="shared" ca="1" si="102"/>
        <v>16.123750887420158</v>
      </c>
      <c r="Y178" s="148">
        <f t="shared" ca="1" si="103"/>
        <v>32.247501774840316</v>
      </c>
      <c r="Z178" s="148">
        <f t="shared" ca="1" si="104"/>
        <v>2337.9438786759229</v>
      </c>
      <c r="AA178" s="148">
        <f t="shared" ca="1" si="105"/>
        <v>8883.6093043637229</v>
      </c>
      <c r="AB178" s="24">
        <f t="shared" ca="1" si="123"/>
        <v>8729.4318161424053</v>
      </c>
      <c r="AC178" s="148">
        <f t="shared" ca="1" si="106"/>
        <v>431.58957176231775</v>
      </c>
      <c r="AD178" s="148">
        <f t="shared" ca="1" si="107"/>
        <v>318.28139510495407</v>
      </c>
      <c r="AE178" s="148">
        <f t="shared" ca="1" si="108"/>
        <v>152.77506965037796</v>
      </c>
      <c r="AF178" s="148">
        <f t="shared" ca="1" si="109"/>
        <v>19.096883706297245</v>
      </c>
      <c r="AG178" s="148">
        <f t="shared" ca="1" si="110"/>
        <v>38.193767412594489</v>
      </c>
      <c r="AH178" s="148">
        <f t="shared" ca="1" si="111"/>
        <v>3851.2048807699443</v>
      </c>
      <c r="AI178" s="148">
        <f t="shared" ca="1" si="112"/>
        <v>10521.699011734019</v>
      </c>
      <c r="AJ178" s="20">
        <f t="shared" ca="1" si="124"/>
        <v>10339.616948131821</v>
      </c>
      <c r="AK178" s="148">
        <f t="shared" ca="1" si="113"/>
        <v>504.42613310932808</v>
      </c>
      <c r="AL178" s="148">
        <f t="shared" ca="1" si="114"/>
        <v>371.99567338446019</v>
      </c>
      <c r="AM178" s="148">
        <f t="shared" ca="1" si="115"/>
        <v>178.5579232245409</v>
      </c>
      <c r="AN178" s="148">
        <f t="shared" ca="1" si="116"/>
        <v>22.319740403067613</v>
      </c>
      <c r="AO178" s="148">
        <f t="shared" ca="1" si="117"/>
        <v>44.639480806135225</v>
      </c>
      <c r="AP178" s="148">
        <f t="shared" ca="1" si="118"/>
        <v>5490.6561391546329</v>
      </c>
      <c r="AQ178" s="148">
        <f t="shared" ca="1" si="119"/>
        <v>12297.377632544139</v>
      </c>
      <c r="AR178" s="17">
        <f t="shared" ca="1" si="125"/>
        <v>12084.133334831222</v>
      </c>
      <c r="AS178" s="148">
        <f t="shared" ca="1" si="120"/>
        <v>5141.8782854188485</v>
      </c>
      <c r="AT178" s="48" t="str">
        <f>INDEX('stock fisico '!N:N, MATCH(B178, 'stock fisico '!B:B, 0))</f>
        <v>MAS CATEGORIAS</v>
      </c>
      <c r="AU178" s="46" t="str">
        <f>INDEX('stock fisico '!D:D, MATCH(B178, 'stock fisico '!B:B, 0))</f>
        <v>Cables</v>
      </c>
      <c r="AV178" s="43" t="str">
        <f>INDEX('stock fisico '!L:L, MATCH(B178, 'stock fisico '!B:B, 0))</f>
        <v>Tline</v>
      </c>
    </row>
    <row r="179" spans="1:48" x14ac:dyDescent="0.25">
      <c r="A179" s="48">
        <f>INDEX('stock fisico '!M:M, MATCH(B179, 'stock fisico '!B:B, 0))</f>
        <v>2756</v>
      </c>
      <c r="B179" s="47" t="s">
        <v>774</v>
      </c>
      <c r="C179" s="46" t="str">
        <f>INDEX('stock fisico '!C:C, MATCH(B179, 'stock fisico '!B:B, 0))</f>
        <v>ADAPTADOR MICHDMI-HDMI 09-011  INTCO  EAN:  NO TIENE</v>
      </c>
      <c r="D179" s="44">
        <f>INDEX('stock fisico '!I:I, MATCH(B179, 'stock fisico '!B:B, 0))</f>
        <v>2275.0100000000002</v>
      </c>
      <c r="E179" s="6">
        <f t="shared" ca="1" si="126"/>
        <v>2774.4024390243903</v>
      </c>
      <c r="F179" s="148">
        <f t="shared" ca="1" si="86"/>
        <v>123.2302037493386</v>
      </c>
      <c r="G179" s="148">
        <f t="shared" ca="1" si="87"/>
        <v>75.105563122783721</v>
      </c>
      <c r="H179" s="148">
        <f t="shared" ca="1" si="88"/>
        <v>36.050670298936183</v>
      </c>
      <c r="I179" s="148">
        <f t="shared" ca="1" si="89"/>
        <v>4.5063337873670228</v>
      </c>
      <c r="J179" s="148">
        <f t="shared" ca="1" si="90"/>
        <v>9.0126675747340457</v>
      </c>
      <c r="K179" s="148">
        <f t="shared" ca="1" si="91"/>
        <v>3004.2225249113485</v>
      </c>
      <c r="L179" s="32">
        <f t="shared" ca="1" si="121"/>
        <v>2942.6959806473992</v>
      </c>
      <c r="M179" s="148">
        <f t="shared" ca="1" si="92"/>
        <v>149.11306028257476</v>
      </c>
      <c r="N179" s="148">
        <f t="shared" ca="1" si="93"/>
        <v>90.880482387780532</v>
      </c>
      <c r="O179" s="148">
        <f t="shared" ca="1" si="94"/>
        <v>43.622631546134649</v>
      </c>
      <c r="P179" s="148">
        <f t="shared" ca="1" si="95"/>
        <v>5.4528289432668311</v>
      </c>
      <c r="Q179" s="148">
        <f t="shared" ca="1" si="96"/>
        <v>10.905657886533662</v>
      </c>
      <c r="R179" s="148">
        <f t="shared" ca="1" si="97"/>
        <v>582.81653355283652</v>
      </c>
      <c r="S179" s="148">
        <f t="shared" ca="1" si="98"/>
        <v>3635.2192955112209</v>
      </c>
      <c r="T179" s="28">
        <f t="shared" ca="1" si="122"/>
        <v>3560.8603222924698</v>
      </c>
      <c r="U179" s="148">
        <f t="shared" ca="1" si="99"/>
        <v>172.35058125663366</v>
      </c>
      <c r="V179" s="148">
        <f t="shared" ca="1" si="100"/>
        <v>127.10219856683898</v>
      </c>
      <c r="W179" s="148">
        <f t="shared" ca="1" si="101"/>
        <v>61.009055312082708</v>
      </c>
      <c r="X179" s="148">
        <f t="shared" ca="1" si="102"/>
        <v>7.6261319140103385</v>
      </c>
      <c r="Y179" s="148">
        <f t="shared" ca="1" si="103"/>
        <v>15.252263828020677</v>
      </c>
      <c r="Z179" s="148">
        <f t="shared" ca="1" si="104"/>
        <v>1105.7891275314992</v>
      </c>
      <c r="AA179" s="148">
        <f t="shared" ca="1" si="105"/>
        <v>4201.725572457487</v>
      </c>
      <c r="AB179" s="24">
        <f t="shared" ca="1" si="123"/>
        <v>4128.8034669526269</v>
      </c>
      <c r="AC179" s="148">
        <f t="shared" ca="1" si="106"/>
        <v>204.13110013617265</v>
      </c>
      <c r="AD179" s="148">
        <f t="shared" ca="1" si="107"/>
        <v>150.53915939245769</v>
      </c>
      <c r="AE179" s="148">
        <f t="shared" ca="1" si="108"/>
        <v>72.258796508379689</v>
      </c>
      <c r="AF179" s="148">
        <f t="shared" ca="1" si="109"/>
        <v>9.0323495635474611</v>
      </c>
      <c r="AG179" s="148">
        <f t="shared" ca="1" si="110"/>
        <v>18.064699127094922</v>
      </c>
      <c r="AH179" s="148">
        <f t="shared" ca="1" si="111"/>
        <v>1821.5238286487381</v>
      </c>
      <c r="AI179" s="148">
        <f t="shared" ca="1" si="112"/>
        <v>4976.5011369407503</v>
      </c>
      <c r="AJ179" s="20">
        <f t="shared" ca="1" si="124"/>
        <v>4890.380863444776</v>
      </c>
      <c r="AK179" s="148">
        <f t="shared" ca="1" si="113"/>
        <v>238.58097652495891</v>
      </c>
      <c r="AL179" s="148">
        <f t="shared" ca="1" si="114"/>
        <v>175.94467295350952</v>
      </c>
      <c r="AM179" s="148">
        <f t="shared" ca="1" si="115"/>
        <v>84.453443017684577</v>
      </c>
      <c r="AN179" s="148">
        <f t="shared" ca="1" si="116"/>
        <v>10.556680377210572</v>
      </c>
      <c r="AO179" s="148">
        <f t="shared" ca="1" si="117"/>
        <v>21.113360754421144</v>
      </c>
      <c r="AP179" s="148">
        <f t="shared" ca="1" si="118"/>
        <v>2596.9433727938008</v>
      </c>
      <c r="AQ179" s="148">
        <f t="shared" ca="1" si="119"/>
        <v>5816.3528249094061</v>
      </c>
      <c r="AR179" s="17">
        <f t="shared" ca="1" si="125"/>
        <v>5715.4935921152555</v>
      </c>
      <c r="AS179" s="148">
        <f t="shared" ca="1" si="120"/>
        <v>2431.9801492953711</v>
      </c>
      <c r="AT179" s="48" t="str">
        <f>INDEX('stock fisico '!N:N, MATCH(B179, 'stock fisico '!B:B, 0))</f>
        <v>MAS CATEGORIAS</v>
      </c>
      <c r="AU179" s="46" t="str">
        <f>INDEX('stock fisico '!D:D, MATCH(B179, 'stock fisico '!B:B, 0))</f>
        <v>Adaptadores</v>
      </c>
      <c r="AV179" s="43" t="str">
        <f>INDEX('stock fisico '!L:L, MATCH(B179, 'stock fisico '!B:B, 0))</f>
        <v>Intco</v>
      </c>
    </row>
    <row r="180" spans="1:48" x14ac:dyDescent="0.25">
      <c r="A180" s="48">
        <f>INDEX('stock fisico '!M:M, MATCH(B180, 'stock fisico '!B:B, 0))</f>
        <v>2731</v>
      </c>
      <c r="B180" s="47" t="s">
        <v>776</v>
      </c>
      <c r="C180" s="46" t="str">
        <f>INDEX('stock fisico '!C:C, MATCH(B180, 'stock fisico '!B:B, 0))</f>
        <v>ADAPTADOR RA-USB1 MICRO USB TC 3.0  REMAX</v>
      </c>
      <c r="D180" s="44">
        <f>INDEX('stock fisico '!I:I, MATCH(B180, 'stock fisico '!B:B, 0))</f>
        <v>2275.0100000000002</v>
      </c>
      <c r="E180" s="6">
        <f t="shared" ca="1" si="126"/>
        <v>2774.4024390243903</v>
      </c>
      <c r="F180" s="148">
        <f t="shared" ca="1" si="86"/>
        <v>123.2302037493386</v>
      </c>
      <c r="G180" s="148">
        <f t="shared" ca="1" si="87"/>
        <v>75.105563122783721</v>
      </c>
      <c r="H180" s="148">
        <f t="shared" ca="1" si="88"/>
        <v>36.050670298936183</v>
      </c>
      <c r="I180" s="148">
        <f t="shared" ca="1" si="89"/>
        <v>4.5063337873670228</v>
      </c>
      <c r="J180" s="148">
        <f t="shared" ca="1" si="90"/>
        <v>9.0126675747340457</v>
      </c>
      <c r="K180" s="148">
        <f t="shared" ca="1" si="91"/>
        <v>3004.2225249113485</v>
      </c>
      <c r="L180" s="32">
        <f t="shared" ca="1" si="121"/>
        <v>2942.6959806473992</v>
      </c>
      <c r="M180" s="148">
        <f t="shared" ca="1" si="92"/>
        <v>149.11306028257476</v>
      </c>
      <c r="N180" s="148">
        <f t="shared" ca="1" si="93"/>
        <v>90.880482387780532</v>
      </c>
      <c r="O180" s="148">
        <f t="shared" ca="1" si="94"/>
        <v>43.622631546134649</v>
      </c>
      <c r="P180" s="148">
        <f t="shared" ca="1" si="95"/>
        <v>5.4528289432668311</v>
      </c>
      <c r="Q180" s="148">
        <f t="shared" ca="1" si="96"/>
        <v>10.905657886533662</v>
      </c>
      <c r="R180" s="148">
        <f t="shared" ca="1" si="97"/>
        <v>582.81653355283652</v>
      </c>
      <c r="S180" s="148">
        <f t="shared" ca="1" si="98"/>
        <v>3635.2192955112209</v>
      </c>
      <c r="T180" s="28">
        <f t="shared" ca="1" si="122"/>
        <v>3560.8603222924698</v>
      </c>
      <c r="U180" s="148">
        <f t="shared" ca="1" si="99"/>
        <v>172.35058125663366</v>
      </c>
      <c r="V180" s="148">
        <f t="shared" ca="1" si="100"/>
        <v>127.10219856683898</v>
      </c>
      <c r="W180" s="148">
        <f t="shared" ca="1" si="101"/>
        <v>61.009055312082708</v>
      </c>
      <c r="X180" s="148">
        <f t="shared" ca="1" si="102"/>
        <v>7.6261319140103385</v>
      </c>
      <c r="Y180" s="148">
        <f t="shared" ca="1" si="103"/>
        <v>15.252263828020677</v>
      </c>
      <c r="Z180" s="148">
        <f t="shared" ca="1" si="104"/>
        <v>1105.7891275314992</v>
      </c>
      <c r="AA180" s="148">
        <f t="shared" ca="1" si="105"/>
        <v>4201.725572457487</v>
      </c>
      <c r="AB180" s="24">
        <f t="shared" ca="1" si="123"/>
        <v>4128.8034669526269</v>
      </c>
      <c r="AC180" s="148">
        <f t="shared" ca="1" si="106"/>
        <v>204.13110013617265</v>
      </c>
      <c r="AD180" s="148">
        <f t="shared" ca="1" si="107"/>
        <v>150.53915939245769</v>
      </c>
      <c r="AE180" s="148">
        <f t="shared" ca="1" si="108"/>
        <v>72.258796508379689</v>
      </c>
      <c r="AF180" s="148">
        <f t="shared" ca="1" si="109"/>
        <v>9.0323495635474611</v>
      </c>
      <c r="AG180" s="148">
        <f t="shared" ca="1" si="110"/>
        <v>18.064699127094922</v>
      </c>
      <c r="AH180" s="148">
        <f t="shared" ca="1" si="111"/>
        <v>1821.5238286487381</v>
      </c>
      <c r="AI180" s="148">
        <f t="shared" ca="1" si="112"/>
        <v>4976.5011369407503</v>
      </c>
      <c r="AJ180" s="20">
        <f t="shared" ca="1" si="124"/>
        <v>4890.380863444776</v>
      </c>
      <c r="AK180" s="148">
        <f t="shared" ca="1" si="113"/>
        <v>238.58097652495891</v>
      </c>
      <c r="AL180" s="148">
        <f t="shared" ca="1" si="114"/>
        <v>175.94467295350952</v>
      </c>
      <c r="AM180" s="148">
        <f t="shared" ca="1" si="115"/>
        <v>84.453443017684577</v>
      </c>
      <c r="AN180" s="148">
        <f t="shared" ca="1" si="116"/>
        <v>10.556680377210572</v>
      </c>
      <c r="AO180" s="148">
        <f t="shared" ca="1" si="117"/>
        <v>21.113360754421144</v>
      </c>
      <c r="AP180" s="148">
        <f t="shared" ca="1" si="118"/>
        <v>2596.9433727938008</v>
      </c>
      <c r="AQ180" s="148">
        <f t="shared" ca="1" si="119"/>
        <v>5816.3528249094061</v>
      </c>
      <c r="AR180" s="17">
        <f t="shared" ca="1" si="125"/>
        <v>5715.4935921152555</v>
      </c>
      <c r="AS180" s="148">
        <f t="shared" ca="1" si="120"/>
        <v>2431.9801492953711</v>
      </c>
      <c r="AT180" s="48" t="str">
        <f>INDEX('stock fisico '!N:N, MATCH(B180, 'stock fisico '!B:B, 0))</f>
        <v>MAS CATEGORIAS</v>
      </c>
      <c r="AU180" s="46" t="str">
        <f>INDEX('stock fisico '!D:D, MATCH(B180, 'stock fisico '!B:B, 0))</f>
        <v>Cables</v>
      </c>
      <c r="AV180" s="43" t="str">
        <f>INDEX('stock fisico '!L:L, MATCH(B180, 'stock fisico '!B:B, 0))</f>
        <v>Remax</v>
      </c>
    </row>
    <row r="181" spans="1:48" x14ac:dyDescent="0.25">
      <c r="A181" s="48">
        <f>INDEX('stock fisico '!M:M, MATCH(B181, 'stock fisico '!B:B, 0))</f>
        <v>6327</v>
      </c>
      <c r="B181" s="47" t="s">
        <v>779</v>
      </c>
      <c r="C181" s="46" t="str">
        <f>INDEX('stock fisico '!C:C, MATCH(B181, 'stock fisico '!B:B, 0))</f>
        <v>PAD MOUSE RED DESING (23*19CM) NM-PADR NETMAK</v>
      </c>
      <c r="D181" s="44">
        <f>INDEX('stock fisico '!I:I, MATCH(B181, 'stock fisico '!B:B, 0))</f>
        <v>4550</v>
      </c>
      <c r="E181" s="6">
        <f t="shared" ca="1" si="126"/>
        <v>5548.7804878048782</v>
      </c>
      <c r="F181" s="148">
        <f t="shared" ca="1" si="86"/>
        <v>246.45932416098861</v>
      </c>
      <c r="G181" s="148">
        <f t="shared" ca="1" si="87"/>
        <v>150.21046597978292</v>
      </c>
      <c r="H181" s="148">
        <f t="shared" ca="1" si="88"/>
        <v>72.101023670295803</v>
      </c>
      <c r="I181" s="148">
        <f t="shared" ca="1" si="89"/>
        <v>9.0126279587869753</v>
      </c>
      <c r="J181" s="148">
        <f t="shared" ca="1" si="90"/>
        <v>18.025255917573951</v>
      </c>
      <c r="K181" s="148">
        <f t="shared" ca="1" si="91"/>
        <v>6008.4186391913163</v>
      </c>
      <c r="L181" s="32">
        <f t="shared" ca="1" si="121"/>
        <v>5885.3660915537366</v>
      </c>
      <c r="M181" s="148">
        <f t="shared" ca="1" si="92"/>
        <v>298.22480968686523</v>
      </c>
      <c r="N181" s="148">
        <f t="shared" ca="1" si="93"/>
        <v>181.76016582977718</v>
      </c>
      <c r="O181" s="148">
        <f t="shared" ca="1" si="94"/>
        <v>87.244879598293053</v>
      </c>
      <c r="P181" s="148">
        <f t="shared" ca="1" si="95"/>
        <v>10.905609949786632</v>
      </c>
      <c r="Q181" s="148">
        <f t="shared" ca="1" si="96"/>
        <v>21.811219899573263</v>
      </c>
      <c r="R181" s="148">
        <f t="shared" ca="1" si="97"/>
        <v>1165.6279434663611</v>
      </c>
      <c r="S181" s="148">
        <f t="shared" ca="1" si="98"/>
        <v>7270.4066331910872</v>
      </c>
      <c r="T181" s="28">
        <f t="shared" ca="1" si="122"/>
        <v>7121.6893404559705</v>
      </c>
      <c r="U181" s="148">
        <f t="shared" ca="1" si="99"/>
        <v>344.69964734998223</v>
      </c>
      <c r="V181" s="148">
        <f t="shared" ca="1" si="100"/>
        <v>254.20327975662408</v>
      </c>
      <c r="W181" s="148">
        <f t="shared" ca="1" si="101"/>
        <v>122.01757428317956</v>
      </c>
      <c r="X181" s="148">
        <f t="shared" ca="1" si="102"/>
        <v>15.252196785397445</v>
      </c>
      <c r="Y181" s="148">
        <f t="shared" ca="1" si="103"/>
        <v>30.504393570794889</v>
      </c>
      <c r="Z181" s="148">
        <f t="shared" ca="1" si="104"/>
        <v>2211.5685338826293</v>
      </c>
      <c r="AA181" s="148">
        <f t="shared" ca="1" si="105"/>
        <v>8403.4142068305482</v>
      </c>
      <c r="AB181" s="24">
        <f t="shared" ca="1" si="123"/>
        <v>8257.5706368914653</v>
      </c>
      <c r="AC181" s="148">
        <f t="shared" ca="1" si="106"/>
        <v>408.26040572111134</v>
      </c>
      <c r="AD181" s="148">
        <f t="shared" ca="1" si="107"/>
        <v>301.07699536955113</v>
      </c>
      <c r="AE181" s="148">
        <f t="shared" ca="1" si="108"/>
        <v>144.51695777738456</v>
      </c>
      <c r="AF181" s="148">
        <f t="shared" ca="1" si="109"/>
        <v>18.06461972217307</v>
      </c>
      <c r="AG181" s="148">
        <f t="shared" ca="1" si="110"/>
        <v>36.12923944434614</v>
      </c>
      <c r="AH181" s="148">
        <f t="shared" ca="1" si="111"/>
        <v>3643.0316439715689</v>
      </c>
      <c r="AI181" s="148">
        <f t="shared" ca="1" si="112"/>
        <v>9952.958524613261</v>
      </c>
      <c r="AJ181" s="20">
        <f t="shared" ca="1" si="124"/>
        <v>9780.7187347192885</v>
      </c>
      <c r="AK181" s="148">
        <f t="shared" ca="1" si="113"/>
        <v>477.15985564395896</v>
      </c>
      <c r="AL181" s="148">
        <f t="shared" ca="1" si="114"/>
        <v>351.88779914746237</v>
      </c>
      <c r="AM181" s="148">
        <f t="shared" ca="1" si="115"/>
        <v>168.90614359078194</v>
      </c>
      <c r="AN181" s="148">
        <f t="shared" ca="1" si="116"/>
        <v>21.113267948847742</v>
      </c>
      <c r="AO181" s="148">
        <f t="shared" ca="1" si="117"/>
        <v>42.226535897695484</v>
      </c>
      <c r="AP181" s="148">
        <f t="shared" ca="1" si="118"/>
        <v>5193.8639154165448</v>
      </c>
      <c r="AQ181" s="148">
        <f t="shared" ca="1" si="119"/>
        <v>11632.654517271483</v>
      </c>
      <c r="AR181" s="17">
        <f t="shared" ca="1" si="125"/>
        <v>11430.93693835386</v>
      </c>
      <c r="AS181" s="148">
        <f t="shared" ca="1" si="120"/>
        <v>4863.9389186394519</v>
      </c>
      <c r="AT181" s="48" t="str">
        <f>INDEX('stock fisico '!N:N, MATCH(B181, 'stock fisico '!B:B, 0))</f>
        <v>INFORMATICA</v>
      </c>
      <c r="AU181" s="46" t="str">
        <f>INDEX('stock fisico '!D:D, MATCH(B181, 'stock fisico '!B:B, 0))</f>
        <v>PAD MOUSE</v>
      </c>
      <c r="AV181" s="43" t="str">
        <f>INDEX('stock fisico '!L:L, MATCH(B181, 'stock fisico '!B:B, 0))</f>
        <v>Netmak</v>
      </c>
    </row>
    <row r="182" spans="1:48" x14ac:dyDescent="0.25">
      <c r="A182" s="48">
        <f>INDEX('stock fisico '!M:M, MATCH(B182, 'stock fisico '!B:B, 0))</f>
        <v>9766</v>
      </c>
      <c r="B182" s="47" t="s">
        <v>781</v>
      </c>
      <c r="C182" s="46" t="str">
        <f>INDEX('stock fisico '!C:C, MATCH(B182, 'stock fisico '!B:B, 0))</f>
        <v>AURICULAR SPORT FIT NG-BT322 BLANCO NOGANET  EAN:  7798137715548</v>
      </c>
      <c r="D182" s="44">
        <f>INDEX('stock fisico '!I:I, MATCH(B182, 'stock fisico '!B:B, 0))</f>
        <v>4485</v>
      </c>
      <c r="E182" s="6">
        <f t="shared" ca="1" si="126"/>
        <v>5469.5121951219517</v>
      </c>
      <c r="F182" s="148">
        <f t="shared" ca="1" si="86"/>
        <v>242.9384766729745</v>
      </c>
      <c r="G182" s="148">
        <f t="shared" ca="1" si="87"/>
        <v>148.06460218007174</v>
      </c>
      <c r="H182" s="148">
        <f t="shared" ca="1" si="88"/>
        <v>71.07100904643444</v>
      </c>
      <c r="I182" s="148">
        <f t="shared" ca="1" si="89"/>
        <v>8.883876130804305</v>
      </c>
      <c r="J182" s="148">
        <f t="shared" ca="1" si="90"/>
        <v>17.76775226160861</v>
      </c>
      <c r="K182" s="148">
        <f t="shared" ca="1" si="91"/>
        <v>5922.5840872028693</v>
      </c>
      <c r="L182" s="32">
        <f t="shared" ca="1" si="121"/>
        <v>5801.2894331029693</v>
      </c>
      <c r="M182" s="148">
        <f t="shared" ca="1" si="92"/>
        <v>293.96445526276716</v>
      </c>
      <c r="N182" s="148">
        <f t="shared" ca="1" si="93"/>
        <v>179.16359203220895</v>
      </c>
      <c r="O182" s="148">
        <f t="shared" ca="1" si="94"/>
        <v>85.998524175460304</v>
      </c>
      <c r="P182" s="148">
        <f t="shared" ca="1" si="95"/>
        <v>10.749815521932538</v>
      </c>
      <c r="Q182" s="148">
        <f t="shared" ca="1" si="96"/>
        <v>21.499631043865076</v>
      </c>
      <c r="R182" s="148">
        <f t="shared" ca="1" si="97"/>
        <v>1148.9761157025559</v>
      </c>
      <c r="S182" s="148">
        <f t="shared" ca="1" si="98"/>
        <v>7166.5436812883581</v>
      </c>
      <c r="T182" s="28">
        <f t="shared" ca="1" si="122"/>
        <v>7019.9509213066003</v>
      </c>
      <c r="U182" s="148">
        <f t="shared" ca="1" si="99"/>
        <v>339.77536667355395</v>
      </c>
      <c r="V182" s="148">
        <f t="shared" ca="1" si="100"/>
        <v>250.57180433152948</v>
      </c>
      <c r="W182" s="148">
        <f t="shared" ca="1" si="101"/>
        <v>120.27446607913414</v>
      </c>
      <c r="X182" s="148">
        <f t="shared" ca="1" si="102"/>
        <v>15.034308259891768</v>
      </c>
      <c r="Y182" s="148">
        <f t="shared" ca="1" si="103"/>
        <v>30.068616519783536</v>
      </c>
      <c r="Z182" s="148">
        <f t="shared" ca="1" si="104"/>
        <v>2179.9746976843062</v>
      </c>
      <c r="AA182" s="148">
        <f t="shared" ca="1" si="105"/>
        <v>8283.3654324472554</v>
      </c>
      <c r="AB182" s="24">
        <f t="shared" ca="1" si="123"/>
        <v>8139.6053420787293</v>
      </c>
      <c r="AC182" s="148">
        <f t="shared" ca="1" si="106"/>
        <v>402.42811421080978</v>
      </c>
      <c r="AD182" s="148">
        <f t="shared" ca="1" si="107"/>
        <v>296.77589543570042</v>
      </c>
      <c r="AE182" s="148">
        <f t="shared" ca="1" si="108"/>
        <v>142.45242980913622</v>
      </c>
      <c r="AF182" s="148">
        <f t="shared" ca="1" si="109"/>
        <v>17.806553726142027</v>
      </c>
      <c r="AG182" s="148">
        <f t="shared" ca="1" si="110"/>
        <v>35.613107452284055</v>
      </c>
      <c r="AH182" s="148">
        <f t="shared" ca="1" si="111"/>
        <v>3590.9883347719751</v>
      </c>
      <c r="AI182" s="148">
        <f t="shared" ca="1" si="112"/>
        <v>9810.7734028330724</v>
      </c>
      <c r="AJ182" s="20">
        <f t="shared" ca="1" si="124"/>
        <v>9640.9941813661571</v>
      </c>
      <c r="AK182" s="148">
        <f t="shared" ca="1" si="113"/>
        <v>470.34328627761676</v>
      </c>
      <c r="AL182" s="148">
        <f t="shared" ca="1" si="114"/>
        <v>346.86083058821293</v>
      </c>
      <c r="AM182" s="148">
        <f t="shared" ca="1" si="115"/>
        <v>166.49319868234221</v>
      </c>
      <c r="AN182" s="148">
        <f t="shared" ca="1" si="116"/>
        <v>20.811649835292776</v>
      </c>
      <c r="AO182" s="148">
        <f t="shared" ca="1" si="117"/>
        <v>41.623299670585553</v>
      </c>
      <c r="AP182" s="148">
        <f t="shared" ca="1" si="118"/>
        <v>5119.6658594820228</v>
      </c>
      <c r="AQ182" s="148">
        <f t="shared" ca="1" si="119"/>
        <v>11466.47373845332</v>
      </c>
      <c r="AR182" s="17">
        <f t="shared" ca="1" si="125"/>
        <v>11267.637839234518</v>
      </c>
      <c r="AS182" s="148">
        <f t="shared" ca="1" si="120"/>
        <v>4794.454076944603</v>
      </c>
      <c r="AT182" s="48" t="str">
        <f>INDEX('stock fisico '!N:N, MATCH(B182, 'stock fisico '!B:B, 0))</f>
        <v>TV-AUDIO-VIDEO</v>
      </c>
      <c r="AU182" s="46" t="str">
        <f>INDEX('stock fisico '!D:D, MATCH(B182, 'stock fisico '!B:B, 0))</f>
        <v>Auriculares</v>
      </c>
      <c r="AV182" s="43" t="str">
        <f>INDEX('stock fisico '!L:L, MATCH(B182, 'stock fisico '!B:B, 0))</f>
        <v>Noganet</v>
      </c>
    </row>
    <row r="183" spans="1:48" x14ac:dyDescent="0.25">
      <c r="A183" s="48">
        <f>INDEX('stock fisico '!M:M, MATCH(B183, 'stock fisico '!B:B, 0))</f>
        <v>9626</v>
      </c>
      <c r="B183" s="47" t="s">
        <v>361</v>
      </c>
      <c r="C183" s="46" t="str">
        <f>INDEX('stock fisico '!C:C, MATCH(B183, 'stock fisico '!B:B, 0))</f>
        <v>AURICULAR NG-1700 BLANCO NOGANET  EAN:  7798137719249</v>
      </c>
      <c r="D183" s="44">
        <f>INDEX('stock fisico '!I:I, MATCH(B183, 'stock fisico '!B:B, 0))</f>
        <v>2210</v>
      </c>
      <c r="E183" s="6">
        <f t="shared" ca="1" si="126"/>
        <v>2695.1219512195121</v>
      </c>
      <c r="F183" s="148">
        <f t="shared" ca="1" si="86"/>
        <v>119.70881459248018</v>
      </c>
      <c r="G183" s="148">
        <f t="shared" ca="1" si="87"/>
        <v>72.959369190180269</v>
      </c>
      <c r="H183" s="148">
        <f t="shared" ca="1" si="88"/>
        <v>35.020497211286532</v>
      </c>
      <c r="I183" s="148">
        <f t="shared" ca="1" si="89"/>
        <v>4.3775621514108165</v>
      </c>
      <c r="J183" s="148">
        <f t="shared" ca="1" si="90"/>
        <v>8.755124302821633</v>
      </c>
      <c r="K183" s="148">
        <f t="shared" ca="1" si="91"/>
        <v>2918.3747676072107</v>
      </c>
      <c r="L183" s="32">
        <f t="shared" ca="1" si="121"/>
        <v>2858.6063873261005</v>
      </c>
      <c r="M183" s="148">
        <f t="shared" ca="1" si="92"/>
        <v>144.85205041933452</v>
      </c>
      <c r="N183" s="148">
        <f t="shared" ca="1" si="93"/>
        <v>88.283509117320349</v>
      </c>
      <c r="O183" s="148">
        <f t="shared" ca="1" si="94"/>
        <v>42.376084376313763</v>
      </c>
      <c r="P183" s="148">
        <f t="shared" ca="1" si="95"/>
        <v>5.2970105470392204</v>
      </c>
      <c r="Q183" s="148">
        <f t="shared" ca="1" si="96"/>
        <v>10.594021094078441</v>
      </c>
      <c r="R183" s="148">
        <f t="shared" ca="1" si="97"/>
        <v>566.16214396937528</v>
      </c>
      <c r="S183" s="148">
        <f t="shared" ca="1" si="98"/>
        <v>3531.3403646928136</v>
      </c>
      <c r="T183" s="28">
        <f t="shared" ca="1" si="122"/>
        <v>3459.1062510786142</v>
      </c>
      <c r="U183" s="148">
        <f t="shared" ca="1" si="99"/>
        <v>167.4255429985628</v>
      </c>
      <c r="V183" s="148">
        <f t="shared" ca="1" si="100"/>
        <v>123.47016445321741</v>
      </c>
      <c r="W183" s="148">
        <f t="shared" ca="1" si="101"/>
        <v>59.265678937544358</v>
      </c>
      <c r="X183" s="148">
        <f t="shared" ca="1" si="102"/>
        <v>7.4082098671930448</v>
      </c>
      <c r="Y183" s="148">
        <f t="shared" ca="1" si="103"/>
        <v>14.81641973438609</v>
      </c>
      <c r="Z183" s="148">
        <f t="shared" ca="1" si="104"/>
        <v>1074.1904307429913</v>
      </c>
      <c r="AA183" s="148">
        <f t="shared" ca="1" si="105"/>
        <v>4081.6583290319804</v>
      </c>
      <c r="AB183" s="24">
        <f t="shared" ca="1" si="123"/>
        <v>4010.8200236329967</v>
      </c>
      <c r="AC183" s="148">
        <f t="shared" ca="1" si="106"/>
        <v>198.29791135025408</v>
      </c>
      <c r="AD183" s="148">
        <f t="shared" ca="1" si="107"/>
        <v>146.23739775092483</v>
      </c>
      <c r="AE183" s="148">
        <f t="shared" ca="1" si="108"/>
        <v>70.193950920443925</v>
      </c>
      <c r="AF183" s="148">
        <f t="shared" ca="1" si="109"/>
        <v>8.7742438650554906</v>
      </c>
      <c r="AG183" s="148">
        <f t="shared" ca="1" si="110"/>
        <v>17.548487730110981</v>
      </c>
      <c r="AH183" s="148">
        <f t="shared" ca="1" si="111"/>
        <v>1769.4725127861905</v>
      </c>
      <c r="AI183" s="148">
        <f t="shared" ca="1" si="112"/>
        <v>4834.294140526441</v>
      </c>
      <c r="AJ183" s="20">
        <f t="shared" ca="1" si="124"/>
        <v>4750.6348140065111</v>
      </c>
      <c r="AK183" s="148">
        <f t="shared" ca="1" si="113"/>
        <v>231.76335845563719</v>
      </c>
      <c r="AL183" s="148">
        <f t="shared" ca="1" si="114"/>
        <v>170.91693101448169</v>
      </c>
      <c r="AM183" s="148">
        <f t="shared" ca="1" si="115"/>
        <v>82.040126886951214</v>
      </c>
      <c r="AN183" s="148">
        <f t="shared" ca="1" si="116"/>
        <v>10.255015860868902</v>
      </c>
      <c r="AO183" s="148">
        <f t="shared" ca="1" si="117"/>
        <v>20.510031721737803</v>
      </c>
      <c r="AP183" s="148">
        <f t="shared" ca="1" si="118"/>
        <v>2522.7339017737499</v>
      </c>
      <c r="AQ183" s="148">
        <f t="shared" ca="1" si="119"/>
        <v>5650.1464798175766</v>
      </c>
      <c r="AR183" s="17">
        <f t="shared" ca="1" si="125"/>
        <v>5552.1693700575888</v>
      </c>
      <c r="AS183" s="148">
        <f t="shared" ca="1" si="120"/>
        <v>2362.4846176248766</v>
      </c>
      <c r="AT183" s="48" t="str">
        <f>INDEX('stock fisico '!N:N, MATCH(B183, 'stock fisico '!B:B, 0))</f>
        <v>TV-AUDIO-VIDEO</v>
      </c>
      <c r="AU183" s="46" t="str">
        <f>INDEX('stock fisico '!D:D, MATCH(B183, 'stock fisico '!B:B, 0))</f>
        <v>Auriculares</v>
      </c>
      <c r="AV183" s="43" t="str">
        <f>INDEX('stock fisico '!L:L, MATCH(B183, 'stock fisico '!B:B, 0))</f>
        <v>Noganet</v>
      </c>
    </row>
    <row r="184" spans="1:48" x14ac:dyDescent="0.25">
      <c r="A184" s="48">
        <f>INDEX('stock fisico '!M:M, MATCH(B184, 'stock fisico '!B:B, 0))</f>
        <v>5141</v>
      </c>
      <c r="B184" s="47" t="s">
        <v>592</v>
      </c>
      <c r="C184" s="46" t="str">
        <f>INDEX('stock fisico '!C:C, MATCH(B184, 'stock fisico '!B:B, 0))</f>
        <v>FUNDA TABLET 7" NG-8528V NEGRA NOGANET  EAN:  7798137706393</v>
      </c>
      <c r="D184" s="44">
        <f>INDEX('stock fisico '!I:I, MATCH(B184, 'stock fisico '!B:B, 0))</f>
        <v>3900</v>
      </c>
      <c r="E184" s="6">
        <f t="shared" ca="1" si="126"/>
        <v>4756.0975609756097</v>
      </c>
      <c r="F184" s="148">
        <f t="shared" ca="1" si="86"/>
        <v>211.25084928084738</v>
      </c>
      <c r="G184" s="148">
        <f t="shared" ca="1" si="87"/>
        <v>128.75182798267107</v>
      </c>
      <c r="H184" s="148">
        <f t="shared" ca="1" si="88"/>
        <v>61.80087743168211</v>
      </c>
      <c r="I184" s="148">
        <f t="shared" ca="1" si="89"/>
        <v>7.7251096789602638</v>
      </c>
      <c r="J184" s="148">
        <f t="shared" ca="1" si="90"/>
        <v>15.450219357920528</v>
      </c>
      <c r="K184" s="148">
        <f t="shared" ca="1" si="91"/>
        <v>5150.0731193068423</v>
      </c>
      <c r="L184" s="32">
        <f t="shared" ca="1" si="121"/>
        <v>5044.5995070460594</v>
      </c>
      <c r="M184" s="148">
        <f t="shared" ca="1" si="92"/>
        <v>255.62126544588443</v>
      </c>
      <c r="N184" s="148">
        <f t="shared" ca="1" si="93"/>
        <v>155.79442785409472</v>
      </c>
      <c r="O184" s="148">
        <f t="shared" ca="1" si="94"/>
        <v>74.781325369965458</v>
      </c>
      <c r="P184" s="148">
        <f t="shared" ca="1" si="95"/>
        <v>9.3476656712456823</v>
      </c>
      <c r="Q184" s="148">
        <f t="shared" ca="1" si="96"/>
        <v>18.695331342491365</v>
      </c>
      <c r="R184" s="148">
        <f t="shared" ca="1" si="97"/>
        <v>999.1096658283094</v>
      </c>
      <c r="S184" s="148">
        <f t="shared" ca="1" si="98"/>
        <v>6231.7771141637886</v>
      </c>
      <c r="T184" s="28">
        <f t="shared" ca="1" si="122"/>
        <v>6104.3051489622603</v>
      </c>
      <c r="U184" s="148">
        <f t="shared" ca="1" si="99"/>
        <v>295.45684058569907</v>
      </c>
      <c r="V184" s="148">
        <f t="shared" ca="1" si="100"/>
        <v>217.88852550567776</v>
      </c>
      <c r="W184" s="148">
        <f t="shared" ca="1" si="101"/>
        <v>104.58649224272533</v>
      </c>
      <c r="X184" s="148">
        <f t="shared" ca="1" si="102"/>
        <v>13.073311530340666</v>
      </c>
      <c r="Y184" s="148">
        <f t="shared" ca="1" si="103"/>
        <v>26.146623060681332</v>
      </c>
      <c r="Z184" s="148">
        <f t="shared" ca="1" si="104"/>
        <v>1895.6301718993966</v>
      </c>
      <c r="AA184" s="148">
        <f t="shared" ca="1" si="105"/>
        <v>7202.9264629976124</v>
      </c>
      <c r="AB184" s="24">
        <f t="shared" ca="1" si="123"/>
        <v>7077.9176887641115</v>
      </c>
      <c r="AC184" s="148">
        <f t="shared" ca="1" si="106"/>
        <v>349.93749061809541</v>
      </c>
      <c r="AD184" s="148">
        <f t="shared" ca="1" si="107"/>
        <v>258.06599603104382</v>
      </c>
      <c r="AE184" s="148">
        <f t="shared" ca="1" si="108"/>
        <v>123.87167809490103</v>
      </c>
      <c r="AF184" s="148">
        <f t="shared" ca="1" si="109"/>
        <v>15.483959761862629</v>
      </c>
      <c r="AG184" s="148">
        <f t="shared" ca="1" si="110"/>
        <v>30.967919523725257</v>
      </c>
      <c r="AH184" s="148">
        <f t="shared" ca="1" si="111"/>
        <v>3122.59855197563</v>
      </c>
      <c r="AI184" s="148">
        <f t="shared" ca="1" si="112"/>
        <v>8531.1073068113656</v>
      </c>
      <c r="AJ184" s="20">
        <f t="shared" ca="1" si="124"/>
        <v>8383.4732011879605</v>
      </c>
      <c r="AK184" s="148">
        <f t="shared" ca="1" si="113"/>
        <v>408.99416198053626</v>
      </c>
      <c r="AL184" s="148">
        <f t="shared" ca="1" si="114"/>
        <v>301.61811355496775</v>
      </c>
      <c r="AM184" s="148">
        <f t="shared" ca="1" si="115"/>
        <v>144.7766945063845</v>
      </c>
      <c r="AN184" s="148">
        <f t="shared" ca="1" si="116"/>
        <v>18.097086813298063</v>
      </c>
      <c r="AO184" s="148">
        <f t="shared" ca="1" si="117"/>
        <v>36.194173626596125</v>
      </c>
      <c r="AP184" s="148">
        <f t="shared" ca="1" si="118"/>
        <v>4451.8833560713238</v>
      </c>
      <c r="AQ184" s="148">
        <f t="shared" ca="1" si="119"/>
        <v>9970.8467290898425</v>
      </c>
      <c r="AR184" s="17">
        <f t="shared" ca="1" si="125"/>
        <v>9797.9459471604496</v>
      </c>
      <c r="AS184" s="148">
        <f t="shared" ca="1" si="120"/>
        <v>4169.0905016909583</v>
      </c>
      <c r="AT184" s="48" t="str">
        <f>INDEX('stock fisico '!N:N, MATCH(B184, 'stock fisico '!B:B, 0))</f>
        <v>INFORMATICA</v>
      </c>
      <c r="AU184" s="46" t="str">
        <f>INDEX('stock fisico '!D:D, MATCH(B184, 'stock fisico '!B:B, 0))</f>
        <v>Accesorios</v>
      </c>
      <c r="AV184" s="43" t="str">
        <f>INDEX('stock fisico '!L:L, MATCH(B184, 'stock fisico '!B:B, 0))</f>
        <v>Noganet</v>
      </c>
    </row>
    <row r="185" spans="1:48" x14ac:dyDescent="0.25">
      <c r="A185" s="48">
        <f>INDEX('stock fisico '!M:M, MATCH(B185, 'stock fisico '!B:B, 0))</f>
        <v>2727</v>
      </c>
      <c r="B185" s="47" t="s">
        <v>800</v>
      </c>
      <c r="C185" s="46" t="str">
        <f>INDEX('stock fisico '!C:C, MATCH(B185, 'stock fisico '!B:B, 0))</f>
        <v>ADAPTADOR DVI MACHO 24+5  A HDMI HEMBRA 09-017B  INTCO  EAN:  NO TIENE</v>
      </c>
      <c r="D185" s="44">
        <f>INDEX('stock fisico '!I:I, MATCH(B185, 'stock fisico '!B:B, 0))</f>
        <v>1852.5</v>
      </c>
      <c r="E185" s="6">
        <f t="shared" ca="1" si="126"/>
        <v>2259.1463414634145</v>
      </c>
      <c r="F185" s="148">
        <f t="shared" ca="1" si="86"/>
        <v>100.34415340840249</v>
      </c>
      <c r="G185" s="148">
        <f t="shared" ca="1" si="87"/>
        <v>61.157118291768747</v>
      </c>
      <c r="H185" s="148">
        <f t="shared" ca="1" si="88"/>
        <v>29.355416780048998</v>
      </c>
      <c r="I185" s="148">
        <f t="shared" ca="1" si="89"/>
        <v>3.6694270975061247</v>
      </c>
      <c r="J185" s="148">
        <f t="shared" ca="1" si="90"/>
        <v>7.3388541950122494</v>
      </c>
      <c r="K185" s="148">
        <f t="shared" ca="1" si="91"/>
        <v>2446.2847316707498</v>
      </c>
      <c r="L185" s="32">
        <f t="shared" ca="1" si="121"/>
        <v>2396.1847658468782</v>
      </c>
      <c r="M185" s="148">
        <f t="shared" ca="1" si="92"/>
        <v>121.42010108679513</v>
      </c>
      <c r="N185" s="148">
        <f t="shared" ca="1" si="93"/>
        <v>74.002353230694993</v>
      </c>
      <c r="O185" s="148">
        <f t="shared" ca="1" si="94"/>
        <v>35.521129550733598</v>
      </c>
      <c r="P185" s="148">
        <f t="shared" ca="1" si="95"/>
        <v>4.4401411938416997</v>
      </c>
      <c r="Q185" s="148">
        <f t="shared" ca="1" si="96"/>
        <v>8.8802823876833994</v>
      </c>
      <c r="R185" s="148">
        <f t="shared" ca="1" si="97"/>
        <v>474.57709126844702</v>
      </c>
      <c r="S185" s="148">
        <f t="shared" ca="1" si="98"/>
        <v>2960.0941292277998</v>
      </c>
      <c r="T185" s="28">
        <f t="shared" ca="1" si="122"/>
        <v>2899.5449457570739</v>
      </c>
      <c r="U185" s="148">
        <f t="shared" ca="1" si="99"/>
        <v>140.34199927820706</v>
      </c>
      <c r="V185" s="148">
        <f t="shared" ca="1" si="100"/>
        <v>103.49704961519693</v>
      </c>
      <c r="W185" s="148">
        <f t="shared" ca="1" si="101"/>
        <v>49.67858381529453</v>
      </c>
      <c r="X185" s="148">
        <f t="shared" ca="1" si="102"/>
        <v>6.2098229769118163</v>
      </c>
      <c r="Y185" s="148">
        <f t="shared" ca="1" si="103"/>
        <v>12.419645953823633</v>
      </c>
      <c r="Z185" s="148">
        <f t="shared" ca="1" si="104"/>
        <v>900.42433165221337</v>
      </c>
      <c r="AA185" s="148">
        <f t="shared" ca="1" si="105"/>
        <v>3421.3900699238657</v>
      </c>
      <c r="AB185" s="24">
        <f t="shared" ca="1" si="123"/>
        <v>3362.0109021629532</v>
      </c>
      <c r="AC185" s="148">
        <f t="shared" ca="1" si="106"/>
        <v>166.22030804359534</v>
      </c>
      <c r="AD185" s="148">
        <f t="shared" ca="1" si="107"/>
        <v>122.58134811474581</v>
      </c>
      <c r="AE185" s="148">
        <f t="shared" ca="1" si="108"/>
        <v>58.839047095077994</v>
      </c>
      <c r="AF185" s="148">
        <f t="shared" ca="1" si="109"/>
        <v>7.3548808868847493</v>
      </c>
      <c r="AG185" s="148">
        <f t="shared" ca="1" si="110"/>
        <v>14.709761773769499</v>
      </c>
      <c r="AH185" s="148">
        <f t="shared" ca="1" si="111"/>
        <v>1483.2343121884244</v>
      </c>
      <c r="AI185" s="148">
        <f t="shared" ca="1" si="112"/>
        <v>4052.2759707353989</v>
      </c>
      <c r="AJ185" s="20">
        <f t="shared" ca="1" si="124"/>
        <v>3982.1497705642814</v>
      </c>
      <c r="AK185" s="148">
        <f t="shared" ca="1" si="113"/>
        <v>194.27222694075471</v>
      </c>
      <c r="AL185" s="148">
        <f t="shared" ca="1" si="114"/>
        <v>143.26860393860966</v>
      </c>
      <c r="AM185" s="148">
        <f t="shared" ca="1" si="115"/>
        <v>68.768929890532632</v>
      </c>
      <c r="AN185" s="148">
        <f t="shared" ca="1" si="116"/>
        <v>8.5961162363165791</v>
      </c>
      <c r="AO185" s="148">
        <f t="shared" ca="1" si="117"/>
        <v>17.192232472633158</v>
      </c>
      <c r="AP185" s="148">
        <f t="shared" ca="1" si="118"/>
        <v>2114.6445941338784</v>
      </c>
      <c r="AQ185" s="148">
        <f t="shared" ca="1" si="119"/>
        <v>4736.1521963176747</v>
      </c>
      <c r="AR185" s="17">
        <f t="shared" ca="1" si="125"/>
        <v>4654.0243249012128</v>
      </c>
      <c r="AS185" s="148">
        <f t="shared" ca="1" si="120"/>
        <v>1980.3179883032053</v>
      </c>
      <c r="AT185" s="48" t="str">
        <f>INDEX('stock fisico '!N:N, MATCH(B185, 'stock fisico '!B:B, 0))</f>
        <v>MAS CATEGORIAS</v>
      </c>
      <c r="AU185" s="46" t="str">
        <f>INDEX('stock fisico '!D:D, MATCH(B185, 'stock fisico '!B:B, 0))</f>
        <v>Adaptadores</v>
      </c>
      <c r="AV185" s="43" t="str">
        <f>INDEX('stock fisico '!L:L, MATCH(B185, 'stock fisico '!B:B, 0))</f>
        <v>Intco</v>
      </c>
    </row>
    <row r="186" spans="1:48" x14ac:dyDescent="0.25">
      <c r="A186" s="48">
        <f>INDEX('stock fisico '!M:M, MATCH(B186, 'stock fisico '!B:B, 0))</f>
        <v>9584</v>
      </c>
      <c r="B186" s="47" t="s">
        <v>401</v>
      </c>
      <c r="C186" s="46" t="str">
        <f>INDEX('stock fisico '!C:C, MATCH(B186, 'stock fisico '!B:B, 0))</f>
        <v>PAD MOUSE NM-ARENA NETMAK  EAN:  0700306602389</v>
      </c>
      <c r="D186" s="44">
        <f>INDEX('stock fisico '!I:I, MATCH(B186, 'stock fisico '!B:B, 0))</f>
        <v>3500</v>
      </c>
      <c r="E186" s="6">
        <f t="shared" ca="1" si="126"/>
        <v>4268.292682926829</v>
      </c>
      <c r="F186" s="148">
        <f t="shared" ca="1" si="86"/>
        <v>189.58409550845275</v>
      </c>
      <c r="G186" s="148">
        <f t="shared" ca="1" si="87"/>
        <v>115.54651229214069</v>
      </c>
      <c r="H186" s="148">
        <f t="shared" ca="1" si="88"/>
        <v>55.462325900227533</v>
      </c>
      <c r="I186" s="148">
        <f t="shared" ca="1" si="89"/>
        <v>6.9327907375284417</v>
      </c>
      <c r="J186" s="148">
        <f t="shared" ca="1" si="90"/>
        <v>13.865581475056883</v>
      </c>
      <c r="K186" s="148">
        <f t="shared" ca="1" si="91"/>
        <v>4621.8604916856275</v>
      </c>
      <c r="L186" s="32">
        <f t="shared" ca="1" si="121"/>
        <v>4527.2046858105659</v>
      </c>
      <c r="M186" s="148">
        <f t="shared" ca="1" si="92"/>
        <v>229.40369975912708</v>
      </c>
      <c r="N186" s="148">
        <f t="shared" ca="1" si="93"/>
        <v>139.81551217675167</v>
      </c>
      <c r="O186" s="148">
        <f t="shared" ca="1" si="94"/>
        <v>67.111445844840802</v>
      </c>
      <c r="P186" s="148">
        <f t="shared" ca="1" si="95"/>
        <v>8.3889307306051002</v>
      </c>
      <c r="Q186" s="148">
        <f t="shared" ca="1" si="96"/>
        <v>16.7778614612102</v>
      </c>
      <c r="R186" s="148">
        <f t="shared" ca="1" si="97"/>
        <v>896.63687958950845</v>
      </c>
      <c r="S186" s="148">
        <f t="shared" ca="1" si="98"/>
        <v>5592.6204870700667</v>
      </c>
      <c r="T186" s="28">
        <f t="shared" ca="1" si="122"/>
        <v>5478.2225695815159</v>
      </c>
      <c r="U186" s="148">
        <f t="shared" ca="1" si="99"/>
        <v>265.15357488460171</v>
      </c>
      <c r="V186" s="148">
        <f t="shared" ca="1" si="100"/>
        <v>195.54098442817235</v>
      </c>
      <c r="W186" s="148">
        <f t="shared" ca="1" si="101"/>
        <v>93.85967252552274</v>
      </c>
      <c r="X186" s="148">
        <f t="shared" ca="1" si="102"/>
        <v>11.732459065690342</v>
      </c>
      <c r="Y186" s="148">
        <f t="shared" ca="1" si="103"/>
        <v>23.464918131380685</v>
      </c>
      <c r="Z186" s="148">
        <f t="shared" ca="1" si="104"/>
        <v>1701.2065645250996</v>
      </c>
      <c r="AA186" s="148">
        <f t="shared" ca="1" si="105"/>
        <v>6464.164774485037</v>
      </c>
      <c r="AB186" s="24">
        <f t="shared" ca="1" si="123"/>
        <v>6351.977412993434</v>
      </c>
      <c r="AC186" s="148">
        <f t="shared" ca="1" si="106"/>
        <v>314.04646593931642</v>
      </c>
      <c r="AD186" s="148">
        <f t="shared" ca="1" si="107"/>
        <v>231.59768874580857</v>
      </c>
      <c r="AE186" s="148">
        <f t="shared" ca="1" si="108"/>
        <v>111.16689059798811</v>
      </c>
      <c r="AF186" s="148">
        <f t="shared" ca="1" si="109"/>
        <v>13.895861324748514</v>
      </c>
      <c r="AG186" s="148">
        <f t="shared" ca="1" si="110"/>
        <v>27.791722649497029</v>
      </c>
      <c r="AH186" s="148">
        <f t="shared" ca="1" si="111"/>
        <v>2802.3320338242838</v>
      </c>
      <c r="AI186" s="148">
        <f t="shared" ca="1" si="112"/>
        <v>7656.1219420102007</v>
      </c>
      <c r="AJ186" s="20">
        <f t="shared" ca="1" si="124"/>
        <v>7523.6297959379144</v>
      </c>
      <c r="AK186" s="148">
        <f t="shared" ca="1" si="113"/>
        <v>367.04604280304534</v>
      </c>
      <c r="AL186" s="148">
        <f t="shared" ca="1" si="114"/>
        <v>270.68292242112489</v>
      </c>
      <c r="AM186" s="148">
        <f t="shared" ca="1" si="115"/>
        <v>129.92780276213995</v>
      </c>
      <c r="AN186" s="148">
        <f t="shared" ca="1" si="116"/>
        <v>16.240975345267493</v>
      </c>
      <c r="AO186" s="148">
        <f t="shared" ca="1" si="117"/>
        <v>32.481950690534987</v>
      </c>
      <c r="AP186" s="148">
        <f t="shared" ca="1" si="118"/>
        <v>3995.2799349358029</v>
      </c>
      <c r="AQ186" s="148">
        <f t="shared" ca="1" si="119"/>
        <v>8948.1957825165246</v>
      </c>
      <c r="AR186" s="17">
        <f t="shared" ca="1" si="125"/>
        <v>8793.0284141183511</v>
      </c>
      <c r="AS186" s="148">
        <f t="shared" ca="1" si="120"/>
        <v>3741.4914758765008</v>
      </c>
      <c r="AT186" s="48" t="str">
        <f>INDEX('stock fisico '!N:N, MATCH(B186, 'stock fisico '!B:B, 0))</f>
        <v>INFORMATICA</v>
      </c>
      <c r="AU186" s="46" t="str">
        <f>INDEX('stock fisico '!D:D, MATCH(B186, 'stock fisico '!B:B, 0))</f>
        <v>PAD MOUSE</v>
      </c>
      <c r="AV186" s="43" t="str">
        <f>INDEX('stock fisico '!L:L, MATCH(B186, 'stock fisico '!B:B, 0))</f>
        <v>Netmak</v>
      </c>
    </row>
    <row r="187" spans="1:48" x14ac:dyDescent="0.25">
      <c r="A187" s="48">
        <f>INDEX('stock fisico '!M:M, MATCH(B187, 'stock fisico '!B:B, 0))</f>
        <v>8176</v>
      </c>
      <c r="B187" s="47" t="s">
        <v>896</v>
      </c>
      <c r="C187" s="46" t="str">
        <f>INDEX('stock fisico '!C:C, MATCH(B187, 'stock fisico '!B:B, 0))</f>
        <v>VIDRIO TEMP J1 MINI PRIME</v>
      </c>
      <c r="D187" s="44">
        <f>INDEX('stock fisico '!I:I, MATCH(B187, 'stock fisico '!B:B, 0))</f>
        <v>1430</v>
      </c>
      <c r="E187" s="6">
        <f t="shared" ca="1" si="126"/>
        <v>1743.9024390243903</v>
      </c>
      <c r="F187" s="148">
        <f t="shared" ca="1" si="86"/>
        <v>77.458644736310703</v>
      </c>
      <c r="G187" s="148">
        <f t="shared" ca="1" si="87"/>
        <v>47.209003593646059</v>
      </c>
      <c r="H187" s="148">
        <f t="shared" ca="1" si="88"/>
        <v>22.660321724950109</v>
      </c>
      <c r="I187" s="148">
        <f t="shared" ca="1" si="89"/>
        <v>2.8325402156187636</v>
      </c>
      <c r="J187" s="148">
        <f t="shared" ca="1" si="90"/>
        <v>5.6650804312375271</v>
      </c>
      <c r="K187" s="148">
        <f t="shared" ca="1" si="91"/>
        <v>1888.3601437458424</v>
      </c>
      <c r="L187" s="32">
        <f t="shared" ca="1" si="121"/>
        <v>1849.6864859168886</v>
      </c>
      <c r="M187" s="148">
        <f t="shared" ca="1" si="92"/>
        <v>93.727797330157642</v>
      </c>
      <c r="N187" s="148">
        <f t="shared" ca="1" si="93"/>
        <v>57.124623546501404</v>
      </c>
      <c r="O187" s="148">
        <f t="shared" ca="1" si="94"/>
        <v>27.419819302320672</v>
      </c>
      <c r="P187" s="148">
        <f t="shared" ca="1" si="95"/>
        <v>3.427477412790084</v>
      </c>
      <c r="Q187" s="148">
        <f t="shared" ca="1" si="96"/>
        <v>6.854954825580168</v>
      </c>
      <c r="R187" s="148">
        <f t="shared" ca="1" si="97"/>
        <v>366.34021080371349</v>
      </c>
      <c r="S187" s="148">
        <f t="shared" ca="1" si="98"/>
        <v>2284.9849418600561</v>
      </c>
      <c r="T187" s="28">
        <f t="shared" ca="1" si="122"/>
        <v>2238.2452212861622</v>
      </c>
      <c r="U187" s="148">
        <f t="shared" ca="1" si="99"/>
        <v>108.334174881423</v>
      </c>
      <c r="V187" s="148">
        <f t="shared" ca="1" si="100"/>
        <v>79.892459352081858</v>
      </c>
      <c r="W187" s="148">
        <f t="shared" ca="1" si="101"/>
        <v>38.34838048899929</v>
      </c>
      <c r="X187" s="148">
        <f t="shared" ca="1" si="102"/>
        <v>4.7935475611249112</v>
      </c>
      <c r="Y187" s="148">
        <f t="shared" ca="1" si="103"/>
        <v>9.5870951222498224</v>
      </c>
      <c r="Z187" s="148">
        <f t="shared" ca="1" si="104"/>
        <v>695.06439636311211</v>
      </c>
      <c r="AA187" s="148">
        <f t="shared" ca="1" si="105"/>
        <v>2641.0730364324581</v>
      </c>
      <c r="AB187" s="24">
        <f t="shared" ca="1" si="123"/>
        <v>2595.2364858801748</v>
      </c>
      <c r="AC187" s="148">
        <f t="shared" ca="1" si="106"/>
        <v>128.31041322663501</v>
      </c>
      <c r="AD187" s="148">
        <f t="shared" ca="1" si="107"/>
        <v>94.624198544716066</v>
      </c>
      <c r="AE187" s="148">
        <f t="shared" ca="1" si="108"/>
        <v>45.419615301463715</v>
      </c>
      <c r="AF187" s="148">
        <f t="shared" ca="1" si="109"/>
        <v>5.6774519126829643</v>
      </c>
      <c r="AG187" s="148">
        <f t="shared" ca="1" si="110"/>
        <v>11.354903825365929</v>
      </c>
      <c r="AH187" s="148">
        <f t="shared" ca="1" si="111"/>
        <v>1144.9528023910646</v>
      </c>
      <c r="AI187" s="148">
        <f t="shared" ca="1" si="112"/>
        <v>3128.0726791641678</v>
      </c>
      <c r="AJ187" s="20">
        <f t="shared" ca="1" si="124"/>
        <v>3073.9401737689195</v>
      </c>
      <c r="AK187" s="148">
        <f t="shared" ca="1" si="113"/>
        <v>149.96452605952996</v>
      </c>
      <c r="AL187" s="148">
        <f t="shared" ca="1" si="114"/>
        <v>110.59330830348817</v>
      </c>
      <c r="AM187" s="148">
        <f t="shared" ca="1" si="115"/>
        <v>53.084787985674325</v>
      </c>
      <c r="AN187" s="148">
        <f t="shared" ca="1" si="116"/>
        <v>6.6355984982092906</v>
      </c>
      <c r="AO187" s="148">
        <f t="shared" ca="1" si="117"/>
        <v>13.271196996418581</v>
      </c>
      <c r="AP187" s="148">
        <f t="shared" ca="1" si="118"/>
        <v>1632.3572305594855</v>
      </c>
      <c r="AQ187" s="148">
        <f t="shared" ca="1" si="119"/>
        <v>3655.9771339996091</v>
      </c>
      <c r="AR187" s="17">
        <f t="shared" ca="1" si="125"/>
        <v>3592.5801806254985</v>
      </c>
      <c r="AS187" s="148">
        <f t="shared" ca="1" si="120"/>
        <v>1528.6665172866849</v>
      </c>
      <c r="AT187" s="48" t="str">
        <f>INDEX('stock fisico '!N:N, MATCH(B187, 'stock fisico '!B:B, 0))</f>
        <v>TECNOLOGIA Y CELULARES</v>
      </c>
      <c r="AU187" s="46" t="str">
        <f>INDEX('stock fisico '!D:D, MATCH(B187, 'stock fisico '!B:B, 0))</f>
        <v>Accesorios</v>
      </c>
      <c r="AV187" s="43" t="str">
        <f>INDEX('stock fisico '!L:L, MATCH(B187, 'stock fisico '!B:B, 0))</f>
        <v>Cargar una Marca</v>
      </c>
    </row>
    <row r="188" spans="1:48" x14ac:dyDescent="0.25">
      <c r="A188" s="48">
        <f>INDEX('stock fisico '!M:M, MATCH(B188, 'stock fisico '!B:B, 0))</f>
        <v>8182</v>
      </c>
      <c r="B188" s="47" t="s">
        <v>898</v>
      </c>
      <c r="C188" s="46" t="str">
        <f>INDEX('stock fisico '!C:C, MATCH(B188, 'stock fisico '!B:B, 0))</f>
        <v>VIDRIO TEMP PRIV SAMS A5</v>
      </c>
      <c r="D188" s="44">
        <f>INDEX('stock fisico '!I:I, MATCH(B188, 'stock fisico '!B:B, 0))</f>
        <v>1430</v>
      </c>
      <c r="E188" s="6">
        <f t="shared" ca="1" si="126"/>
        <v>1743.9024390243903</v>
      </c>
      <c r="F188" s="148">
        <f t="shared" ca="1" si="86"/>
        <v>77.458644736310703</v>
      </c>
      <c r="G188" s="148">
        <f t="shared" ca="1" si="87"/>
        <v>47.209003593646059</v>
      </c>
      <c r="H188" s="148">
        <f t="shared" ca="1" si="88"/>
        <v>22.660321724950109</v>
      </c>
      <c r="I188" s="148">
        <f t="shared" ca="1" si="89"/>
        <v>2.8325402156187636</v>
      </c>
      <c r="J188" s="148">
        <f t="shared" ca="1" si="90"/>
        <v>5.6650804312375271</v>
      </c>
      <c r="K188" s="148">
        <f t="shared" ca="1" si="91"/>
        <v>1888.3601437458424</v>
      </c>
      <c r="L188" s="32">
        <f t="shared" ca="1" si="121"/>
        <v>1849.6864859168886</v>
      </c>
      <c r="M188" s="148">
        <f t="shared" ca="1" si="92"/>
        <v>93.727797330157642</v>
      </c>
      <c r="N188" s="148">
        <f t="shared" ca="1" si="93"/>
        <v>57.124623546501404</v>
      </c>
      <c r="O188" s="148">
        <f t="shared" ca="1" si="94"/>
        <v>27.419819302320672</v>
      </c>
      <c r="P188" s="148">
        <f t="shared" ca="1" si="95"/>
        <v>3.427477412790084</v>
      </c>
      <c r="Q188" s="148">
        <f t="shared" ca="1" si="96"/>
        <v>6.854954825580168</v>
      </c>
      <c r="R188" s="148">
        <f t="shared" ca="1" si="97"/>
        <v>366.34021080371349</v>
      </c>
      <c r="S188" s="148">
        <f t="shared" ca="1" si="98"/>
        <v>2284.9849418600561</v>
      </c>
      <c r="T188" s="28">
        <f t="shared" ca="1" si="122"/>
        <v>2238.2452212861622</v>
      </c>
      <c r="U188" s="148">
        <f t="shared" ca="1" si="99"/>
        <v>108.334174881423</v>
      </c>
      <c r="V188" s="148">
        <f t="shared" ca="1" si="100"/>
        <v>79.892459352081858</v>
      </c>
      <c r="W188" s="148">
        <f t="shared" ca="1" si="101"/>
        <v>38.34838048899929</v>
      </c>
      <c r="X188" s="148">
        <f t="shared" ca="1" si="102"/>
        <v>4.7935475611249112</v>
      </c>
      <c r="Y188" s="148">
        <f t="shared" ca="1" si="103"/>
        <v>9.5870951222498224</v>
      </c>
      <c r="Z188" s="148">
        <f t="shared" ca="1" si="104"/>
        <v>695.06439636311211</v>
      </c>
      <c r="AA188" s="148">
        <f t="shared" ca="1" si="105"/>
        <v>2641.0730364324581</v>
      </c>
      <c r="AB188" s="24">
        <f t="shared" ca="1" si="123"/>
        <v>2595.2364858801748</v>
      </c>
      <c r="AC188" s="148">
        <f t="shared" ca="1" si="106"/>
        <v>128.31041322663501</v>
      </c>
      <c r="AD188" s="148">
        <f t="shared" ca="1" si="107"/>
        <v>94.624198544716066</v>
      </c>
      <c r="AE188" s="148">
        <f t="shared" ca="1" si="108"/>
        <v>45.419615301463715</v>
      </c>
      <c r="AF188" s="148">
        <f t="shared" ca="1" si="109"/>
        <v>5.6774519126829643</v>
      </c>
      <c r="AG188" s="148">
        <f t="shared" ca="1" si="110"/>
        <v>11.354903825365929</v>
      </c>
      <c r="AH188" s="148">
        <f t="shared" ca="1" si="111"/>
        <v>1144.9528023910646</v>
      </c>
      <c r="AI188" s="148">
        <f t="shared" ca="1" si="112"/>
        <v>3128.0726791641678</v>
      </c>
      <c r="AJ188" s="20">
        <f t="shared" ca="1" si="124"/>
        <v>3073.9401737689195</v>
      </c>
      <c r="AK188" s="148">
        <f t="shared" ca="1" si="113"/>
        <v>149.96452605952996</v>
      </c>
      <c r="AL188" s="148">
        <f t="shared" ca="1" si="114"/>
        <v>110.59330830348817</v>
      </c>
      <c r="AM188" s="148">
        <f t="shared" ca="1" si="115"/>
        <v>53.084787985674325</v>
      </c>
      <c r="AN188" s="148">
        <f t="shared" ca="1" si="116"/>
        <v>6.6355984982092906</v>
      </c>
      <c r="AO188" s="148">
        <f t="shared" ca="1" si="117"/>
        <v>13.271196996418581</v>
      </c>
      <c r="AP188" s="148">
        <f t="shared" ca="1" si="118"/>
        <v>1632.3572305594855</v>
      </c>
      <c r="AQ188" s="148">
        <f t="shared" ca="1" si="119"/>
        <v>3655.9771339996091</v>
      </c>
      <c r="AR188" s="17">
        <f t="shared" ca="1" si="125"/>
        <v>3592.5801806254985</v>
      </c>
      <c r="AS188" s="148">
        <f t="shared" ca="1" si="120"/>
        <v>1528.6665172866849</v>
      </c>
      <c r="AT188" s="48" t="str">
        <f>INDEX('stock fisico '!N:N, MATCH(B188, 'stock fisico '!B:B, 0))</f>
        <v>TECNOLOGIA Y CELULARES</v>
      </c>
      <c r="AU188" s="46" t="str">
        <f>INDEX('stock fisico '!D:D, MATCH(B188, 'stock fisico '!B:B, 0))</f>
        <v>Accesorios</v>
      </c>
      <c r="AV188" s="43" t="str">
        <f>INDEX('stock fisico '!L:L, MATCH(B188, 'stock fisico '!B:B, 0))</f>
        <v>Cargar una Marca</v>
      </c>
    </row>
    <row r="189" spans="1:48" x14ac:dyDescent="0.25">
      <c r="A189" s="48">
        <f>INDEX('stock fisico '!M:M, MATCH(B189, 'stock fisico '!B:B, 0))</f>
        <v>5158</v>
      </c>
      <c r="B189" s="47" t="s">
        <v>653</v>
      </c>
      <c r="C189" s="46" t="str">
        <f>INDEX('stock fisico '!C:C, MATCH(B189, 'stock fisico '!B:B, 0))</f>
        <v>FUNDA TABLET 7" BG-8117U PROTECT SERIES NOGANET  EAN:  7798137706768</v>
      </c>
      <c r="D189" s="44">
        <f>INDEX('stock fisico '!I:I, MATCH(B189, 'stock fisico '!B:B, 0))</f>
        <v>2800</v>
      </c>
      <c r="E189" s="6">
        <f t="shared" ca="1" si="126"/>
        <v>3414.6341463414633</v>
      </c>
      <c r="F189" s="148">
        <f t="shared" ca="1" si="86"/>
        <v>151.6672764067622</v>
      </c>
      <c r="G189" s="148">
        <f t="shared" ca="1" si="87"/>
        <v>92.437209833712558</v>
      </c>
      <c r="H189" s="148">
        <f t="shared" ca="1" si="88"/>
        <v>44.369860720182025</v>
      </c>
      <c r="I189" s="148">
        <f t="shared" ca="1" si="89"/>
        <v>5.5462325900227532</v>
      </c>
      <c r="J189" s="148">
        <f t="shared" ca="1" si="90"/>
        <v>11.092465180045506</v>
      </c>
      <c r="K189" s="148">
        <f t="shared" ca="1" si="91"/>
        <v>3697.4883933485021</v>
      </c>
      <c r="L189" s="32">
        <f t="shared" ca="1" si="121"/>
        <v>3621.7637486484532</v>
      </c>
      <c r="M189" s="148">
        <f t="shared" ca="1" si="92"/>
        <v>183.52295980730165</v>
      </c>
      <c r="N189" s="148">
        <f t="shared" ca="1" si="93"/>
        <v>111.85240974140135</v>
      </c>
      <c r="O189" s="148">
        <f t="shared" ca="1" si="94"/>
        <v>53.689156675872638</v>
      </c>
      <c r="P189" s="148">
        <f t="shared" ca="1" si="95"/>
        <v>6.7111445844840798</v>
      </c>
      <c r="Q189" s="148">
        <f t="shared" ca="1" si="96"/>
        <v>13.42228916896816</v>
      </c>
      <c r="R189" s="148">
        <f t="shared" ca="1" si="97"/>
        <v>717.30950367160676</v>
      </c>
      <c r="S189" s="148">
        <f t="shared" ca="1" si="98"/>
        <v>4474.0963896560534</v>
      </c>
      <c r="T189" s="28">
        <f t="shared" ca="1" si="122"/>
        <v>4382.5780556652126</v>
      </c>
      <c r="U189" s="148">
        <f t="shared" ca="1" si="99"/>
        <v>212.12285990768137</v>
      </c>
      <c r="V189" s="148">
        <f t="shared" ca="1" si="100"/>
        <v>156.43278754253788</v>
      </c>
      <c r="W189" s="148">
        <f t="shared" ca="1" si="101"/>
        <v>75.087738020418186</v>
      </c>
      <c r="X189" s="148">
        <f t="shared" ca="1" si="102"/>
        <v>9.3859672525522733</v>
      </c>
      <c r="Y189" s="148">
        <f t="shared" ca="1" si="103"/>
        <v>18.771934505104547</v>
      </c>
      <c r="Z189" s="148">
        <f t="shared" ca="1" si="104"/>
        <v>1360.9652516200795</v>
      </c>
      <c r="AA189" s="148">
        <f t="shared" ca="1" si="105"/>
        <v>5171.3318195880292</v>
      </c>
      <c r="AB189" s="24">
        <f t="shared" ca="1" si="123"/>
        <v>5081.5819303947465</v>
      </c>
      <c r="AC189" s="148">
        <f t="shared" ca="1" si="106"/>
        <v>251.23717275145313</v>
      </c>
      <c r="AD189" s="148">
        <f t="shared" ca="1" si="107"/>
        <v>185.27815099664684</v>
      </c>
      <c r="AE189" s="148">
        <f t="shared" ca="1" si="108"/>
        <v>88.933512478390497</v>
      </c>
      <c r="AF189" s="148">
        <f t="shared" ca="1" si="109"/>
        <v>11.116689059798812</v>
      </c>
      <c r="AG189" s="148">
        <f t="shared" ca="1" si="110"/>
        <v>22.233378119597624</v>
      </c>
      <c r="AH189" s="148">
        <f t="shared" ca="1" si="111"/>
        <v>2241.865627059427</v>
      </c>
      <c r="AI189" s="148">
        <f t="shared" ca="1" si="112"/>
        <v>6124.8975536081607</v>
      </c>
      <c r="AJ189" s="20">
        <f t="shared" ca="1" si="124"/>
        <v>6018.9038367503308</v>
      </c>
      <c r="AK189" s="148">
        <f t="shared" ca="1" si="113"/>
        <v>293.63683424243629</v>
      </c>
      <c r="AL189" s="148">
        <f t="shared" ca="1" si="114"/>
        <v>216.5463379368999</v>
      </c>
      <c r="AM189" s="148">
        <f t="shared" ca="1" si="115"/>
        <v>103.94224220971195</v>
      </c>
      <c r="AN189" s="148">
        <f t="shared" ca="1" si="116"/>
        <v>12.992780276213994</v>
      </c>
      <c r="AO189" s="148">
        <f t="shared" ca="1" si="117"/>
        <v>25.985560552427987</v>
      </c>
      <c r="AP189" s="148">
        <f t="shared" ca="1" si="118"/>
        <v>3196.2239479486425</v>
      </c>
      <c r="AQ189" s="148">
        <f t="shared" ca="1" si="119"/>
        <v>7158.55662601322</v>
      </c>
      <c r="AR189" s="17">
        <f t="shared" ca="1" si="125"/>
        <v>7034.4227312946823</v>
      </c>
      <c r="AS189" s="148">
        <f t="shared" ca="1" si="120"/>
        <v>2993.1931807012011</v>
      </c>
      <c r="AT189" s="48" t="str">
        <f>INDEX('stock fisico '!N:N, MATCH(B189, 'stock fisico '!B:B, 0))</f>
        <v>INFORMATICA</v>
      </c>
      <c r="AU189" s="46" t="str">
        <f>INDEX('stock fisico '!D:D, MATCH(B189, 'stock fisico '!B:B, 0))</f>
        <v>Accesorios</v>
      </c>
      <c r="AV189" s="43" t="str">
        <f>INDEX('stock fisico '!L:L, MATCH(B189, 'stock fisico '!B:B, 0))</f>
        <v>Noganet</v>
      </c>
    </row>
    <row r="190" spans="1:48" x14ac:dyDescent="0.25">
      <c r="A190" s="48">
        <f>INDEX('stock fisico '!M:M, MATCH(B190, 'stock fisico '!B:B, 0))</f>
        <v>3255</v>
      </c>
      <c r="B190" s="47" t="s">
        <v>820</v>
      </c>
      <c r="C190" s="46" t="str">
        <f>INDEX('stock fisico '!C:C, MATCH(B190, 'stock fisico '!B:B, 0))</f>
        <v>AURICULAR RITMO NM-RTM-P ROSA  NETMAK  EAN:  700306601122</v>
      </c>
      <c r="D190" s="44">
        <f>INDEX('stock fisico '!I:I, MATCH(B190, 'stock fisico '!B:B, 0))</f>
        <v>2600</v>
      </c>
      <c r="E190" s="6">
        <f t="shared" ca="1" si="126"/>
        <v>3170.7317073170734</v>
      </c>
      <c r="F190" s="148">
        <f t="shared" ca="1" si="86"/>
        <v>140.83389952056493</v>
      </c>
      <c r="G190" s="148">
        <f t="shared" ca="1" si="87"/>
        <v>85.834551988447387</v>
      </c>
      <c r="H190" s="148">
        <f t="shared" ca="1" si="88"/>
        <v>41.20058495445474</v>
      </c>
      <c r="I190" s="148">
        <f t="shared" ca="1" si="89"/>
        <v>5.1500731193068425</v>
      </c>
      <c r="J190" s="148">
        <f t="shared" ca="1" si="90"/>
        <v>10.300146238613685</v>
      </c>
      <c r="K190" s="148">
        <f t="shared" ca="1" si="91"/>
        <v>3433.3820795378952</v>
      </c>
      <c r="L190" s="32">
        <f t="shared" ca="1" si="121"/>
        <v>3363.0663380307069</v>
      </c>
      <c r="M190" s="148">
        <f t="shared" ca="1" si="92"/>
        <v>170.41417696392301</v>
      </c>
      <c r="N190" s="148">
        <f t="shared" ca="1" si="93"/>
        <v>103.86295190272983</v>
      </c>
      <c r="O190" s="148">
        <f t="shared" ca="1" si="94"/>
        <v>49.854216913310324</v>
      </c>
      <c r="P190" s="148">
        <f t="shared" ca="1" si="95"/>
        <v>6.2317771141637905</v>
      </c>
      <c r="Q190" s="148">
        <f t="shared" ca="1" si="96"/>
        <v>12.463554228327581</v>
      </c>
      <c r="R190" s="148">
        <f t="shared" ca="1" si="97"/>
        <v>666.07311055220634</v>
      </c>
      <c r="S190" s="148">
        <f t="shared" ca="1" si="98"/>
        <v>4154.5180761091933</v>
      </c>
      <c r="T190" s="28">
        <f t="shared" ca="1" si="122"/>
        <v>4069.5367659748408</v>
      </c>
      <c r="U190" s="148">
        <f t="shared" ca="1" si="99"/>
        <v>196.97122705713275</v>
      </c>
      <c r="V190" s="148">
        <f t="shared" ca="1" si="100"/>
        <v>145.2590170037852</v>
      </c>
      <c r="W190" s="148">
        <f t="shared" ca="1" si="101"/>
        <v>69.724328161816899</v>
      </c>
      <c r="X190" s="148">
        <f t="shared" ca="1" si="102"/>
        <v>8.7155410202271124</v>
      </c>
      <c r="Y190" s="148">
        <f t="shared" ca="1" si="103"/>
        <v>17.431082040454225</v>
      </c>
      <c r="Z190" s="148">
        <f t="shared" ca="1" si="104"/>
        <v>1263.7534479329313</v>
      </c>
      <c r="AA190" s="148">
        <f t="shared" ca="1" si="105"/>
        <v>4801.9509753317425</v>
      </c>
      <c r="AB190" s="24">
        <f t="shared" ca="1" si="123"/>
        <v>4718.6117925094086</v>
      </c>
      <c r="AC190" s="148">
        <f t="shared" ca="1" si="106"/>
        <v>233.29166041206366</v>
      </c>
      <c r="AD190" s="148">
        <f t="shared" ca="1" si="107"/>
        <v>172.04399735402924</v>
      </c>
      <c r="AE190" s="148">
        <f t="shared" ca="1" si="108"/>
        <v>82.581118729934033</v>
      </c>
      <c r="AF190" s="148">
        <f t="shared" ca="1" si="109"/>
        <v>10.322639841241754</v>
      </c>
      <c r="AG190" s="148">
        <f t="shared" ca="1" si="110"/>
        <v>20.645279682483508</v>
      </c>
      <c r="AH190" s="148">
        <f t="shared" ca="1" si="111"/>
        <v>2081.7323679837536</v>
      </c>
      <c r="AI190" s="148">
        <f t="shared" ca="1" si="112"/>
        <v>5687.4048712075783</v>
      </c>
      <c r="AJ190" s="20">
        <f t="shared" ca="1" si="124"/>
        <v>5588.9821341253082</v>
      </c>
      <c r="AK190" s="148">
        <f t="shared" ca="1" si="113"/>
        <v>272.66277465369086</v>
      </c>
      <c r="AL190" s="148">
        <f t="shared" ca="1" si="114"/>
        <v>201.0787423699785</v>
      </c>
      <c r="AM190" s="148">
        <f t="shared" ca="1" si="115"/>
        <v>96.517796337589672</v>
      </c>
      <c r="AN190" s="148">
        <f t="shared" ca="1" si="116"/>
        <v>12.064724542198709</v>
      </c>
      <c r="AO190" s="148">
        <f t="shared" ca="1" si="117"/>
        <v>24.129449084397418</v>
      </c>
      <c r="AP190" s="148">
        <f t="shared" ca="1" si="118"/>
        <v>2967.9222373808825</v>
      </c>
      <c r="AQ190" s="148">
        <f t="shared" ca="1" si="119"/>
        <v>6647.231152726562</v>
      </c>
      <c r="AR190" s="17">
        <f t="shared" ca="1" si="125"/>
        <v>6531.963964773634</v>
      </c>
      <c r="AS190" s="148">
        <f t="shared" ca="1" si="120"/>
        <v>2779.3936677939728</v>
      </c>
      <c r="AT190" s="48" t="str">
        <f>INDEX('stock fisico '!N:N, MATCH(B190, 'stock fisico '!B:B, 0))</f>
        <v>TV-AUDIO-VIDEO</v>
      </c>
      <c r="AU190" s="46" t="str">
        <f>INDEX('stock fisico '!D:D, MATCH(B190, 'stock fisico '!B:B, 0))</f>
        <v>Auriculares</v>
      </c>
      <c r="AV190" s="43" t="str">
        <f>INDEX('stock fisico '!L:L, MATCH(B190, 'stock fisico '!B:B, 0))</f>
        <v>Netmak</v>
      </c>
    </row>
    <row r="191" spans="1:48" x14ac:dyDescent="0.25">
      <c r="A191" s="48">
        <f>INDEX('stock fisico '!M:M, MATCH(B191, 'stock fisico '!B:B, 0))</f>
        <v>3787</v>
      </c>
      <c r="B191" s="47" t="s">
        <v>826</v>
      </c>
      <c r="C191" s="46" t="str">
        <f>INDEX('stock fisico '!C:C, MATCH(B191, 'stock fisico '!B:B, 0))</f>
        <v>CABLE VGA CON FILTRO 5 METROS T-LINE  EAN:  NO TIENE</v>
      </c>
      <c r="D191" s="44">
        <f>INDEX('stock fisico '!I:I, MATCH(B191, 'stock fisico '!B:B, 0))</f>
        <v>2600</v>
      </c>
      <c r="E191" s="6">
        <f t="shared" ca="1" si="126"/>
        <v>3170.7317073170734</v>
      </c>
      <c r="F191" s="148">
        <f t="shared" ca="1" si="86"/>
        <v>140.83389952056493</v>
      </c>
      <c r="G191" s="148">
        <f t="shared" ca="1" si="87"/>
        <v>85.834551988447387</v>
      </c>
      <c r="H191" s="148">
        <f t="shared" ca="1" si="88"/>
        <v>41.20058495445474</v>
      </c>
      <c r="I191" s="148">
        <f t="shared" ca="1" si="89"/>
        <v>5.1500731193068425</v>
      </c>
      <c r="J191" s="148">
        <f t="shared" ca="1" si="90"/>
        <v>10.300146238613685</v>
      </c>
      <c r="K191" s="148">
        <f t="shared" ca="1" si="91"/>
        <v>3433.3820795378952</v>
      </c>
      <c r="L191" s="32">
        <f t="shared" ca="1" si="121"/>
        <v>3363.0663380307069</v>
      </c>
      <c r="M191" s="148">
        <f t="shared" ca="1" si="92"/>
        <v>170.41417696392301</v>
      </c>
      <c r="N191" s="148">
        <f t="shared" ca="1" si="93"/>
        <v>103.86295190272983</v>
      </c>
      <c r="O191" s="148">
        <f t="shared" ca="1" si="94"/>
        <v>49.854216913310324</v>
      </c>
      <c r="P191" s="148">
        <f t="shared" ca="1" si="95"/>
        <v>6.2317771141637905</v>
      </c>
      <c r="Q191" s="148">
        <f t="shared" ca="1" si="96"/>
        <v>12.463554228327581</v>
      </c>
      <c r="R191" s="148">
        <f t="shared" ca="1" si="97"/>
        <v>666.07311055220634</v>
      </c>
      <c r="S191" s="148">
        <f t="shared" ca="1" si="98"/>
        <v>4154.5180761091933</v>
      </c>
      <c r="T191" s="28">
        <f t="shared" ca="1" si="122"/>
        <v>4069.5367659748408</v>
      </c>
      <c r="U191" s="148">
        <f t="shared" ca="1" si="99"/>
        <v>196.97122705713275</v>
      </c>
      <c r="V191" s="148">
        <f t="shared" ca="1" si="100"/>
        <v>145.2590170037852</v>
      </c>
      <c r="W191" s="148">
        <f t="shared" ca="1" si="101"/>
        <v>69.724328161816899</v>
      </c>
      <c r="X191" s="148">
        <f t="shared" ca="1" si="102"/>
        <v>8.7155410202271124</v>
      </c>
      <c r="Y191" s="148">
        <f t="shared" ca="1" si="103"/>
        <v>17.431082040454225</v>
      </c>
      <c r="Z191" s="148">
        <f t="shared" ca="1" si="104"/>
        <v>1263.7534479329313</v>
      </c>
      <c r="AA191" s="148">
        <f t="shared" ca="1" si="105"/>
        <v>4801.9509753317425</v>
      </c>
      <c r="AB191" s="24">
        <f t="shared" ca="1" si="123"/>
        <v>4718.6117925094086</v>
      </c>
      <c r="AC191" s="148">
        <f t="shared" ca="1" si="106"/>
        <v>233.29166041206366</v>
      </c>
      <c r="AD191" s="148">
        <f t="shared" ca="1" si="107"/>
        <v>172.04399735402924</v>
      </c>
      <c r="AE191" s="148">
        <f t="shared" ca="1" si="108"/>
        <v>82.581118729934033</v>
      </c>
      <c r="AF191" s="148">
        <f t="shared" ca="1" si="109"/>
        <v>10.322639841241754</v>
      </c>
      <c r="AG191" s="148">
        <f t="shared" ca="1" si="110"/>
        <v>20.645279682483508</v>
      </c>
      <c r="AH191" s="148">
        <f t="shared" ca="1" si="111"/>
        <v>2081.7323679837536</v>
      </c>
      <c r="AI191" s="148">
        <f t="shared" ca="1" si="112"/>
        <v>5687.4048712075783</v>
      </c>
      <c r="AJ191" s="20">
        <f t="shared" ca="1" si="124"/>
        <v>5588.9821341253082</v>
      </c>
      <c r="AK191" s="148">
        <f t="shared" ca="1" si="113"/>
        <v>272.66277465369086</v>
      </c>
      <c r="AL191" s="148">
        <f t="shared" ca="1" si="114"/>
        <v>201.0787423699785</v>
      </c>
      <c r="AM191" s="148">
        <f t="shared" ca="1" si="115"/>
        <v>96.517796337589672</v>
      </c>
      <c r="AN191" s="148">
        <f t="shared" ca="1" si="116"/>
        <v>12.064724542198709</v>
      </c>
      <c r="AO191" s="148">
        <f t="shared" ca="1" si="117"/>
        <v>24.129449084397418</v>
      </c>
      <c r="AP191" s="148">
        <f t="shared" ca="1" si="118"/>
        <v>2967.9222373808825</v>
      </c>
      <c r="AQ191" s="148">
        <f t="shared" ca="1" si="119"/>
        <v>6647.231152726562</v>
      </c>
      <c r="AR191" s="17">
        <f t="shared" ca="1" si="125"/>
        <v>6531.963964773634</v>
      </c>
      <c r="AS191" s="148">
        <f t="shared" ca="1" si="120"/>
        <v>2779.3936677939728</v>
      </c>
      <c r="AT191" s="48" t="str">
        <f>INDEX('stock fisico '!N:N, MATCH(B191, 'stock fisico '!B:B, 0))</f>
        <v>MAS CATEGORIAS</v>
      </c>
      <c r="AU191" s="46" t="str">
        <f>INDEX('stock fisico '!D:D, MATCH(B191, 'stock fisico '!B:B, 0))</f>
        <v>Cables</v>
      </c>
      <c r="AV191" s="43" t="str">
        <f>INDEX('stock fisico '!L:L, MATCH(B191, 'stock fisico '!B:B, 0))</f>
        <v>Tline</v>
      </c>
    </row>
    <row r="192" spans="1:48" x14ac:dyDescent="0.25">
      <c r="A192" s="48">
        <f>INDEX('stock fisico '!M:M, MATCH(B192, 'stock fisico '!B:B, 0))</f>
        <v>6318</v>
      </c>
      <c r="B192" s="42" t="s">
        <v>403</v>
      </c>
      <c r="C192" s="46" t="str">
        <f>INDEX('stock fisico '!C:C, MATCH(B192, 'stock fisico '!B:B, 0))</f>
        <v>PAD MOUSE GEL BLACK NM-PGEL NETMAK  EAN:  0700306603010</v>
      </c>
      <c r="D192" s="44">
        <f>INDEX('stock fisico '!I:I, MATCH(B192, 'stock fisico '!B:B, 0))</f>
        <v>2390.46</v>
      </c>
      <c r="E192" s="6">
        <f t="shared" ca="1" si="126"/>
        <v>2915.1951219512198</v>
      </c>
      <c r="F192" s="148">
        <f t="shared" ca="1" si="86"/>
        <v>129.48377055689602</v>
      </c>
      <c r="G192" s="148">
        <f t="shared" ca="1" si="87"/>
        <v>78.916947363963061</v>
      </c>
      <c r="H192" s="148">
        <f t="shared" ca="1" si="88"/>
        <v>37.880134734702267</v>
      </c>
      <c r="I192" s="148">
        <f t="shared" ca="1" si="89"/>
        <v>4.7350168418377834</v>
      </c>
      <c r="J192" s="148">
        <f t="shared" ca="1" si="90"/>
        <v>9.4700336836755667</v>
      </c>
      <c r="K192" s="148">
        <f t="shared" ca="1" si="91"/>
        <v>3156.677894558522</v>
      </c>
      <c r="L192" s="32">
        <f t="shared" ca="1" si="121"/>
        <v>3092.0290609264935</v>
      </c>
      <c r="M192" s="148">
        <f t="shared" ca="1" si="92"/>
        <v>156.68010517891514</v>
      </c>
      <c r="N192" s="148">
        <f t="shared" ca="1" si="93"/>
        <v>95.492396925153685</v>
      </c>
      <c r="O192" s="148">
        <f t="shared" ca="1" si="94"/>
        <v>45.836350524073765</v>
      </c>
      <c r="P192" s="148">
        <f t="shared" ca="1" si="95"/>
        <v>5.7295438155092207</v>
      </c>
      <c r="Q192" s="148">
        <f t="shared" ca="1" si="96"/>
        <v>11.459087631018441</v>
      </c>
      <c r="R192" s="148">
        <f t="shared" ca="1" si="97"/>
        <v>612.39274148101049</v>
      </c>
      <c r="S192" s="148">
        <f t="shared" ca="1" si="98"/>
        <v>3819.6958770061469</v>
      </c>
      <c r="T192" s="28">
        <f t="shared" ca="1" si="122"/>
        <v>3741.5634067662377</v>
      </c>
      <c r="U192" s="148">
        <f t="shared" ca="1" si="99"/>
        <v>181.09686131961291</v>
      </c>
      <c r="V192" s="148">
        <f t="shared" ca="1" si="100"/>
        <v>133.55225761033401</v>
      </c>
      <c r="W192" s="148">
        <f t="shared" ca="1" si="101"/>
        <v>64.105083652960317</v>
      </c>
      <c r="X192" s="148">
        <f t="shared" ca="1" si="102"/>
        <v>8.0131354566200397</v>
      </c>
      <c r="Y192" s="148">
        <f t="shared" ca="1" si="103"/>
        <v>16.026270913240079</v>
      </c>
      <c r="Z192" s="148">
        <f t="shared" ca="1" si="104"/>
        <v>1161.9046412099058</v>
      </c>
      <c r="AA192" s="148">
        <f t="shared" ca="1" si="105"/>
        <v>4414.9506648044298</v>
      </c>
      <c r="AB192" s="24">
        <f t="shared" ca="1" si="123"/>
        <v>4338.3279790469387</v>
      </c>
      <c r="AC192" s="148">
        <f t="shared" ca="1" si="106"/>
        <v>214.49014713408525</v>
      </c>
      <c r="AD192" s="148">
        <f t="shared" ca="1" si="107"/>
        <v>158.17857458265874</v>
      </c>
      <c r="AE192" s="148">
        <f t="shared" ca="1" si="108"/>
        <v>75.925715799676198</v>
      </c>
      <c r="AF192" s="148">
        <f t="shared" ca="1" si="109"/>
        <v>9.4907144749595247</v>
      </c>
      <c r="AG192" s="148">
        <f t="shared" ca="1" si="110"/>
        <v>18.981428949919049</v>
      </c>
      <c r="AH192" s="148">
        <f t="shared" ca="1" si="111"/>
        <v>1913.9607524501707</v>
      </c>
      <c r="AI192" s="148">
        <f t="shared" ca="1" si="112"/>
        <v>5229.0437878564871</v>
      </c>
      <c r="AJ192" s="20">
        <f t="shared" ca="1" si="124"/>
        <v>5138.5531662850717</v>
      </c>
      <c r="AK192" s="148">
        <f t="shared" ca="1" si="113"/>
        <v>250.68825242256224</v>
      </c>
      <c r="AL192" s="148">
        <f t="shared" ca="1" si="114"/>
        <v>184.87334249451493</v>
      </c>
      <c r="AM192" s="148">
        <f t="shared" ca="1" si="115"/>
        <v>88.739204397367175</v>
      </c>
      <c r="AN192" s="148">
        <f t="shared" ca="1" si="116"/>
        <v>11.092400549670897</v>
      </c>
      <c r="AO192" s="148">
        <f t="shared" ca="1" si="117"/>
        <v>22.184801099341794</v>
      </c>
      <c r="AP192" s="148">
        <f t="shared" ca="1" si="118"/>
        <v>2728.7305352190406</v>
      </c>
      <c r="AQ192" s="148">
        <f t="shared" ca="1" si="119"/>
        <v>6111.5154543641302</v>
      </c>
      <c r="AR192" s="17">
        <f t="shared" ca="1" si="125"/>
        <v>6005.5379150895315</v>
      </c>
      <c r="AS192" s="148">
        <f t="shared" ca="1" si="120"/>
        <v>2555.3959181210689</v>
      </c>
      <c r="AT192" s="48" t="str">
        <f>INDEX('stock fisico '!N:N, MATCH(B192, 'stock fisico '!B:B, 0))</f>
        <v>INFORMATICA</v>
      </c>
      <c r="AU192" s="46" t="str">
        <f>INDEX('stock fisico '!D:D, MATCH(B192, 'stock fisico '!B:B, 0))</f>
        <v>PAD MOUSE</v>
      </c>
      <c r="AV192" s="43" t="str">
        <f>INDEX('stock fisico '!L:L, MATCH(B192, 'stock fisico '!B:B, 0))</f>
        <v>Netmak</v>
      </c>
    </row>
    <row r="193" spans="1:48" x14ac:dyDescent="0.25">
      <c r="A193" s="181">
        <f>INDEX('stock fisico '!M:M, MATCH(B193, 'stock fisico '!B:B, 0))</f>
        <v>3722</v>
      </c>
      <c r="B193" t="s">
        <v>940</v>
      </c>
      <c r="C193" s="179" t="str">
        <f>INDEX('stock fisico '!C:C, MATCH(B193, 'stock fisico '!B:B, 0))</f>
        <v>CABLE RCA A 3 RCA 3 METROS NM-C33 NETMAK</v>
      </c>
      <c r="D193" s="178">
        <f>INDEX('stock fisico '!I:I, MATCH(B193, 'stock fisico '!B:B, 0))</f>
        <v>2339.9899999999998</v>
      </c>
      <c r="E193" s="173">
        <f t="shared" ca="1" si="126"/>
        <v>2853.6463414634145</v>
      </c>
      <c r="F193" s="148">
        <f t="shared" ca="1" si="86"/>
        <v>126.7499678996641</v>
      </c>
      <c r="G193" s="148">
        <f t="shared" ca="1" si="87"/>
        <v>77.250766656710368</v>
      </c>
      <c r="H193" s="148">
        <f t="shared" ca="1" si="88"/>
        <v>37.080367995220975</v>
      </c>
      <c r="I193" s="148">
        <f t="shared" ca="1" si="89"/>
        <v>4.6350459994026219</v>
      </c>
      <c r="J193" s="148">
        <f t="shared" ca="1" si="90"/>
        <v>9.2700919988052437</v>
      </c>
      <c r="K193" s="148">
        <f t="shared" ca="1" si="91"/>
        <v>3090.0306662684147</v>
      </c>
      <c r="L193" s="175">
        <f t="shared" ca="1" si="121"/>
        <v>3026.7467693571048</v>
      </c>
      <c r="M193" s="148">
        <f t="shared" ca="1" si="92"/>
        <v>153.3721038283885</v>
      </c>
      <c r="N193" s="148">
        <f t="shared" ca="1" si="93"/>
        <v>93.476257239564902</v>
      </c>
      <c r="O193" s="148">
        <f t="shared" ca="1" si="94"/>
        <v>44.868603474991147</v>
      </c>
      <c r="P193" s="148">
        <f t="shared" ca="1" si="95"/>
        <v>5.6085754343738934</v>
      </c>
      <c r="Q193" s="148">
        <f t="shared" ca="1" si="96"/>
        <v>11.217150868747787</v>
      </c>
      <c r="R193" s="148">
        <f t="shared" ca="1" si="97"/>
        <v>599.46323767732963</v>
      </c>
      <c r="S193" s="148">
        <f t="shared" ca="1" si="98"/>
        <v>3739.0502895825957</v>
      </c>
      <c r="T193" s="174">
        <f t="shared" ca="1" si="122"/>
        <v>3662.5674373128713</v>
      </c>
      <c r="U193" s="148">
        <f t="shared" ca="1" si="99"/>
        <v>177.27334676977691</v>
      </c>
      <c r="V193" s="148">
        <f t="shared" ca="1" si="100"/>
        <v>130.73255661487974</v>
      </c>
      <c r="W193" s="148">
        <f t="shared" ca="1" si="101"/>
        <v>62.751627175142275</v>
      </c>
      <c r="X193" s="148">
        <f t="shared" ca="1" si="102"/>
        <v>7.8439533968927844</v>
      </c>
      <c r="Y193" s="148">
        <f t="shared" ca="1" si="103"/>
        <v>15.687906793785569</v>
      </c>
      <c r="Z193" s="148">
        <f t="shared" ca="1" si="104"/>
        <v>1137.3732425494536</v>
      </c>
      <c r="AA193" s="148">
        <f t="shared" ca="1" si="105"/>
        <v>4321.7374087563549</v>
      </c>
      <c r="AB193" s="24">
        <f t="shared" ca="1" si="123"/>
        <v>4246.7324647515725</v>
      </c>
      <c r="AC193" s="148">
        <f t="shared" ca="1" si="106"/>
        <v>209.96159709524028</v>
      </c>
      <c r="AD193" s="148">
        <f t="shared" ca="1" si="107"/>
        <v>154.83893591094414</v>
      </c>
      <c r="AE193" s="148">
        <f t="shared" ca="1" si="108"/>
        <v>74.322689237253201</v>
      </c>
      <c r="AF193" s="148">
        <f t="shared" ca="1" si="109"/>
        <v>9.2903361546566501</v>
      </c>
      <c r="AG193" s="148">
        <f t="shared" ca="1" si="110"/>
        <v>18.5806723093133</v>
      </c>
      <c r="AH193" s="148">
        <f t="shared" ca="1" si="111"/>
        <v>1873.5511245224243</v>
      </c>
      <c r="AI193" s="148">
        <f t="shared" ca="1" si="112"/>
        <v>5118.6425094526994</v>
      </c>
      <c r="AJ193" s="20">
        <f t="shared" ca="1" si="124"/>
        <v>5030.0624246276457</v>
      </c>
      <c r="AK193" s="148">
        <f t="shared" ca="1" si="113"/>
        <v>245.39544848534229</v>
      </c>
      <c r="AL193" s="148">
        <f t="shared" ca="1" si="114"/>
        <v>180.97009475320226</v>
      </c>
      <c r="AM193" s="148">
        <f t="shared" ca="1" si="115"/>
        <v>86.865645481537086</v>
      </c>
      <c r="AN193" s="148">
        <f t="shared" ca="1" si="116"/>
        <v>10.858205685192136</v>
      </c>
      <c r="AO193" s="148">
        <f t="shared" ca="1" si="117"/>
        <v>21.716411370384272</v>
      </c>
      <c r="AP193" s="148">
        <f t="shared" ca="1" si="118"/>
        <v>2671.1185985572656</v>
      </c>
      <c r="AQ193" s="148">
        <f t="shared" ca="1" si="119"/>
        <v>5982.4824711802403</v>
      </c>
      <c r="AR193" s="17">
        <f t="shared" ca="1" si="125"/>
        <v>5878.7424453579442</v>
      </c>
      <c r="AS193" s="148">
        <f t="shared" ca="1" si="120"/>
        <v>2501.4436110389297</v>
      </c>
      <c r="AT193" s="181" t="str">
        <f>INDEX('stock fisico '!N:N, MATCH(B193, 'stock fisico '!B:B, 0))</f>
        <v>MAS CATEGORIAS</v>
      </c>
      <c r="AU193" s="179" t="str">
        <f>INDEX('stock fisico '!D:D, MATCH(B193, 'stock fisico '!B:B, 0))</f>
        <v>Cables</v>
      </c>
      <c r="AV193" s="177" t="str">
        <f>INDEX('stock fisico '!L:L, MATCH(B193, 'stock fisico '!B:B, 0))</f>
        <v>Netmak</v>
      </c>
    </row>
    <row r="194" spans="1:48" x14ac:dyDescent="0.25">
      <c r="A194" s="181">
        <f>INDEX('stock fisico '!M:M, MATCH(B194, 'stock fisico '!B:B, 0))</f>
        <v>6302</v>
      </c>
      <c r="B194" t="s">
        <v>712</v>
      </c>
      <c r="C194" s="179" t="str">
        <f>INDEX('stock fisico '!C:C, MATCH(B194, 'stock fisico '!B:B, 0))</f>
        <v>PAD GAMER G1 LED NARANJA / CELESTE NOGANET  EAN: 7798137709103</v>
      </c>
      <c r="D194" s="178">
        <f>INDEX('stock fisico '!I:I, MATCH(B194, 'stock fisico '!B:B, 0))</f>
        <v>2266.69</v>
      </c>
      <c r="E194" s="173">
        <f t="shared" ca="1" si="126"/>
        <v>2764.2560975609758</v>
      </c>
      <c r="F194" s="148">
        <f t="shared" ca="1" si="86"/>
        <v>122.77953527087281</v>
      </c>
      <c r="G194" s="148">
        <f t="shared" ca="1" si="87"/>
        <v>74.830892556420693</v>
      </c>
      <c r="H194" s="148">
        <f t="shared" ca="1" si="88"/>
        <v>35.918828427081934</v>
      </c>
      <c r="I194" s="148">
        <f t="shared" ca="1" si="89"/>
        <v>4.4898535533852417</v>
      </c>
      <c r="J194" s="148">
        <f t="shared" ca="1" si="90"/>
        <v>8.9797071067704834</v>
      </c>
      <c r="K194" s="148">
        <f t="shared" ca="1" si="91"/>
        <v>2993.2357022568276</v>
      </c>
      <c r="L194" s="175">
        <f t="shared" ca="1" si="121"/>
        <v>2931.9341683657012</v>
      </c>
      <c r="M194" s="148">
        <f t="shared" ca="1" si="92"/>
        <v>148.56773491629022</v>
      </c>
      <c r="N194" s="148">
        <f t="shared" ca="1" si="93"/>
        <v>90.548120941691806</v>
      </c>
      <c r="O194" s="148">
        <f t="shared" ca="1" si="94"/>
        <v>43.463098052012064</v>
      </c>
      <c r="P194" s="148">
        <f t="shared" ca="1" si="95"/>
        <v>5.4328872565015081</v>
      </c>
      <c r="Q194" s="148">
        <f t="shared" ca="1" si="96"/>
        <v>10.865774513003016</v>
      </c>
      <c r="R194" s="148">
        <f t="shared" ca="1" si="97"/>
        <v>580.68509959906953</v>
      </c>
      <c r="S194" s="148">
        <f t="shared" ca="1" si="98"/>
        <v>3621.9248376676719</v>
      </c>
      <c r="T194" s="174">
        <f t="shared" ca="1" si="122"/>
        <v>3547.8378046413504</v>
      </c>
      <c r="U194" s="148">
        <f t="shared" ca="1" si="99"/>
        <v>171.72027333005084</v>
      </c>
      <c r="V194" s="148">
        <f t="shared" ca="1" si="100"/>
        <v>126.63736971242687</v>
      </c>
      <c r="W194" s="148">
        <f t="shared" ca="1" si="101"/>
        <v>60.785937461964899</v>
      </c>
      <c r="X194" s="148">
        <f t="shared" ca="1" si="102"/>
        <v>7.5982421827456124</v>
      </c>
      <c r="Y194" s="148">
        <f t="shared" ca="1" si="103"/>
        <v>15.196484365491225</v>
      </c>
      <c r="Z194" s="148">
        <f t="shared" ca="1" si="104"/>
        <v>1101.7451164981137</v>
      </c>
      <c r="AA194" s="148">
        <f t="shared" ca="1" si="105"/>
        <v>4186.3593293364256</v>
      </c>
      <c r="AB194" s="24">
        <f t="shared" ca="1" si="123"/>
        <v>4113.703909216596</v>
      </c>
      <c r="AC194" s="148">
        <f t="shared" ca="1" si="106"/>
        <v>203.38456682285405</v>
      </c>
      <c r="AD194" s="148">
        <f t="shared" ca="1" si="107"/>
        <v>149.98861860092481</v>
      </c>
      <c r="AE194" s="148">
        <f t="shared" ca="1" si="108"/>
        <v>71.994536928443907</v>
      </c>
      <c r="AF194" s="148">
        <f t="shared" ca="1" si="109"/>
        <v>8.9993171160554883</v>
      </c>
      <c r="AG194" s="148">
        <f t="shared" ca="1" si="110"/>
        <v>17.998634232110977</v>
      </c>
      <c r="AH194" s="148">
        <f t="shared" ca="1" si="111"/>
        <v>1814.8622850711902</v>
      </c>
      <c r="AI194" s="148">
        <f t="shared" ca="1" si="112"/>
        <v>4958.3014413528863</v>
      </c>
      <c r="AJ194" s="20">
        <f t="shared" ca="1" si="124"/>
        <v>4872.4961206155749</v>
      </c>
      <c r="AK194" s="148">
        <f t="shared" ca="1" si="113"/>
        <v>237.70845564606711</v>
      </c>
      <c r="AL194" s="148">
        <f t="shared" ca="1" si="114"/>
        <v>175.3012209779256</v>
      </c>
      <c r="AM194" s="148">
        <f t="shared" ca="1" si="115"/>
        <v>84.144586069404284</v>
      </c>
      <c r="AN194" s="148">
        <f t="shared" ca="1" si="116"/>
        <v>10.518073258675535</v>
      </c>
      <c r="AO194" s="148">
        <f t="shared" ca="1" si="117"/>
        <v>21.036146517351071</v>
      </c>
      <c r="AP194" s="148">
        <f t="shared" ca="1" si="118"/>
        <v>2587.4460216341818</v>
      </c>
      <c r="AQ194" s="148">
        <f t="shared" ca="1" si="119"/>
        <v>5795.0816852206808</v>
      </c>
      <c r="AR194" s="17">
        <f t="shared" ca="1" si="125"/>
        <v>5694.5913074279797</v>
      </c>
      <c r="AS194" s="148">
        <f t="shared" ca="1" si="120"/>
        <v>2423.086089558431</v>
      </c>
      <c r="AT194" s="181" t="str">
        <f>INDEX('stock fisico '!N:N, MATCH(B194, 'stock fisico '!B:B, 0))</f>
        <v>INFORMATICA</v>
      </c>
      <c r="AU194" s="179" t="str">
        <f>INDEX('stock fisico '!D:D, MATCH(B194, 'stock fisico '!B:B, 0))</f>
        <v>PAD MOUSE</v>
      </c>
      <c r="AV194" s="177" t="str">
        <f>INDEX('stock fisico '!L:L, MATCH(B194, 'stock fisico '!B:B, 0))</f>
        <v>Noganet</v>
      </c>
    </row>
    <row r="195" spans="1:48" x14ac:dyDescent="0.25">
      <c r="A195" s="181">
        <f>INDEX('stock fisico '!M:M, MATCH(B195, 'stock fisico '!B:B, 0))</f>
        <v>3660</v>
      </c>
      <c r="B195" t="s">
        <v>836</v>
      </c>
      <c r="C195" s="179" t="str">
        <f>INDEX('stock fisico '!C:C, MATCH(B195, 'stock fisico '!B:B, 0))</f>
        <v>CABLE HDMI NM-C47 3  3 METROS NETMAK  EAN:  7792641882468</v>
      </c>
      <c r="D195" s="178">
        <f>INDEX('stock fisico '!I:I, MATCH(B195, 'stock fisico '!B:B, 0))</f>
        <v>1989</v>
      </c>
      <c r="E195" s="173">
        <f t="shared" ca="1" si="126"/>
        <v>2425.6097560975609</v>
      </c>
      <c r="F195" s="148">
        <f t="shared" ca="1" si="86"/>
        <v>107.73793313323216</v>
      </c>
      <c r="G195" s="148">
        <f t="shared" ca="1" si="87"/>
        <v>65.66343227116225</v>
      </c>
      <c r="H195" s="148">
        <f t="shared" ca="1" si="88"/>
        <v>31.518447490157875</v>
      </c>
      <c r="I195" s="148">
        <f t="shared" ca="1" si="89"/>
        <v>3.9398059362697344</v>
      </c>
      <c r="J195" s="148">
        <f t="shared" ca="1" si="90"/>
        <v>7.8796118725394688</v>
      </c>
      <c r="K195" s="148">
        <f t="shared" ca="1" si="91"/>
        <v>2626.5372908464897</v>
      </c>
      <c r="L195" s="175">
        <f t="shared" ca="1" si="121"/>
        <v>2572.7457485934906</v>
      </c>
      <c r="M195" s="148">
        <f t="shared" ca="1" si="92"/>
        <v>130.36684537740106</v>
      </c>
      <c r="N195" s="148">
        <f t="shared" ca="1" si="93"/>
        <v>79.455158205588305</v>
      </c>
      <c r="O195" s="148">
        <f t="shared" ca="1" si="94"/>
        <v>38.13847593868239</v>
      </c>
      <c r="P195" s="148">
        <f t="shared" ca="1" si="95"/>
        <v>4.7673094923352988</v>
      </c>
      <c r="Q195" s="148">
        <f t="shared" ca="1" si="96"/>
        <v>9.5346189846705975</v>
      </c>
      <c r="R195" s="148">
        <f t="shared" ca="1" si="97"/>
        <v>509.54592957243779</v>
      </c>
      <c r="S195" s="148">
        <f t="shared" ca="1" si="98"/>
        <v>3178.2063282235322</v>
      </c>
      <c r="T195" s="174">
        <f t="shared" ca="1" si="122"/>
        <v>3113.1956259707526</v>
      </c>
      <c r="U195" s="148">
        <f t="shared" ca="1" si="99"/>
        <v>150.68298869870654</v>
      </c>
      <c r="V195" s="148">
        <f t="shared" ca="1" si="100"/>
        <v>111.12314800789567</v>
      </c>
      <c r="W195" s="148">
        <f t="shared" ca="1" si="101"/>
        <v>53.33911104378992</v>
      </c>
      <c r="X195" s="148">
        <f t="shared" ca="1" si="102"/>
        <v>6.66738888047374</v>
      </c>
      <c r="Y195" s="148">
        <f t="shared" ca="1" si="103"/>
        <v>13.33477776094748</v>
      </c>
      <c r="Z195" s="148">
        <f t="shared" ca="1" si="104"/>
        <v>966.77138766869234</v>
      </c>
      <c r="AA195" s="148">
        <f t="shared" ca="1" si="105"/>
        <v>3673.4924961287825</v>
      </c>
      <c r="AB195" s="24">
        <f t="shared" ca="1" si="123"/>
        <v>3609.7380212696971</v>
      </c>
      <c r="AC195" s="148">
        <f t="shared" ca="1" si="106"/>
        <v>178.46812021522865</v>
      </c>
      <c r="AD195" s="148">
        <f t="shared" ca="1" si="107"/>
        <v>131.61365797583235</v>
      </c>
      <c r="AE195" s="148">
        <f t="shared" ca="1" si="108"/>
        <v>63.174555828399527</v>
      </c>
      <c r="AF195" s="148">
        <f t="shared" ca="1" si="109"/>
        <v>7.8968194785499408</v>
      </c>
      <c r="AG195" s="148">
        <f t="shared" ca="1" si="110"/>
        <v>15.793638957099882</v>
      </c>
      <c r="AH195" s="148">
        <f t="shared" ca="1" si="111"/>
        <v>1592.5252615075713</v>
      </c>
      <c r="AI195" s="148">
        <f t="shared" ca="1" si="112"/>
        <v>4350.8647264737965</v>
      </c>
      <c r="AJ195" s="20">
        <f t="shared" ca="1" si="124"/>
        <v>4275.5713326058603</v>
      </c>
      <c r="AK195" s="148">
        <f t="shared" ca="1" si="113"/>
        <v>208.58702261007346</v>
      </c>
      <c r="AL195" s="148">
        <f t="shared" ca="1" si="114"/>
        <v>153.82523791303353</v>
      </c>
      <c r="AM195" s="148">
        <f t="shared" ca="1" si="115"/>
        <v>73.836114198256084</v>
      </c>
      <c r="AN195" s="148">
        <f t="shared" ca="1" si="116"/>
        <v>9.2295142747820105</v>
      </c>
      <c r="AO195" s="148">
        <f t="shared" ca="1" si="117"/>
        <v>18.459028549564021</v>
      </c>
      <c r="AP195" s="148">
        <f t="shared" ca="1" si="118"/>
        <v>2270.460511596375</v>
      </c>
      <c r="AQ195" s="148">
        <f t="shared" ca="1" si="119"/>
        <v>5085.131831835819</v>
      </c>
      <c r="AR195" s="17">
        <f t="shared" ca="1" si="125"/>
        <v>4996.9524330518288</v>
      </c>
      <c r="AS195" s="148">
        <f t="shared" ca="1" si="120"/>
        <v>2126.2361558623888</v>
      </c>
      <c r="AT195" s="181" t="str">
        <f>INDEX('stock fisico '!N:N, MATCH(B195, 'stock fisico '!B:B, 0))</f>
        <v>MAS CATEGORIAS</v>
      </c>
      <c r="AU195" s="179" t="str">
        <f>INDEX('stock fisico '!D:D, MATCH(B195, 'stock fisico '!B:B, 0))</f>
        <v>Cables</v>
      </c>
      <c r="AV195" s="177" t="str">
        <f>INDEX('stock fisico '!L:L, MATCH(B195, 'stock fisico '!B:B, 0))</f>
        <v>Netmak</v>
      </c>
    </row>
    <row r="196" spans="1:48" x14ac:dyDescent="0.25">
      <c r="A196" s="181">
        <f>INDEX('stock fisico '!M:M, MATCH(B196, 'stock fisico '!B:B, 0))</f>
        <v>8539</v>
      </c>
      <c r="B196" t="s">
        <v>838</v>
      </c>
      <c r="C196" s="179" t="str">
        <f>INDEX('stock fisico '!C:C, MATCH(B196, 'stock fisico '!B:B, 0))</f>
        <v>CABLE MINIPLUG NM-C66 AZUL 3.5 A 3.5 REFORZADO NETMAK  EAN:</v>
      </c>
      <c r="D196" s="178">
        <f>INDEX('stock fisico '!I:I, MATCH(B196, 'stock fisico '!B:B, 0))</f>
        <v>1729.01</v>
      </c>
      <c r="E196" s="173">
        <f t="shared" ca="1" si="126"/>
        <v>2108.5487804878048</v>
      </c>
      <c r="F196" s="148">
        <f t="shared" ca="1" si="86"/>
        <v>93.655084850019961</v>
      </c>
      <c r="G196" s="148">
        <f t="shared" ca="1" si="87"/>
        <v>57.080307205209763</v>
      </c>
      <c r="H196" s="148">
        <f t="shared" ca="1" si="88"/>
        <v>27.398547458500687</v>
      </c>
      <c r="I196" s="148">
        <f t="shared" ca="1" si="89"/>
        <v>3.4248184323125859</v>
      </c>
      <c r="J196" s="148">
        <f t="shared" ca="1" si="90"/>
        <v>6.8496368646251717</v>
      </c>
      <c r="K196" s="148">
        <f t="shared" ca="1" si="91"/>
        <v>2283.2122882083904</v>
      </c>
      <c r="L196" s="175">
        <f t="shared" ca="1" si="121"/>
        <v>2236.4520496609507</v>
      </c>
      <c r="M196" s="148">
        <f t="shared" ca="1" si="92"/>
        <v>113.32608312015095</v>
      </c>
      <c r="N196" s="148">
        <f t="shared" ca="1" si="93"/>
        <v>69.069262488207272</v>
      </c>
      <c r="O196" s="148">
        <f t="shared" ca="1" si="94"/>
        <v>33.153245994339485</v>
      </c>
      <c r="P196" s="148">
        <f t="shared" ca="1" si="95"/>
        <v>4.1441557492924357</v>
      </c>
      <c r="Q196" s="148">
        <f t="shared" ca="1" si="96"/>
        <v>8.2883114985848714</v>
      </c>
      <c r="R196" s="148">
        <f t="shared" ca="1" si="97"/>
        <v>442.94118033687317</v>
      </c>
      <c r="S196" s="148">
        <f t="shared" ca="1" si="98"/>
        <v>2762.7704995282907</v>
      </c>
      <c r="T196" s="174">
        <f t="shared" ca="1" si="122"/>
        <v>2706.2576014377532</v>
      </c>
      <c r="U196" s="148">
        <f t="shared" ca="1" si="99"/>
        <v>130.98662357463579</v>
      </c>
      <c r="V196" s="148">
        <f t="shared" ca="1" si="100"/>
        <v>96.59780499604409</v>
      </c>
      <c r="W196" s="148">
        <f t="shared" ca="1" si="101"/>
        <v>46.366946398101163</v>
      </c>
      <c r="X196" s="148">
        <f t="shared" ca="1" si="102"/>
        <v>5.7958682997626454</v>
      </c>
      <c r="Y196" s="148">
        <f t="shared" ca="1" si="103"/>
        <v>11.591736599525291</v>
      </c>
      <c r="Z196" s="148">
        <f t="shared" ca="1" si="104"/>
        <v>840.40090346558361</v>
      </c>
      <c r="AA196" s="148">
        <f t="shared" ca="1" si="105"/>
        <v>3193.3158676378212</v>
      </c>
      <c r="AB196" s="24">
        <f t="shared" ca="1" si="123"/>
        <v>3137.8949905256504</v>
      </c>
      <c r="AC196" s="148">
        <f t="shared" ca="1" si="106"/>
        <v>155.13985144963928</v>
      </c>
      <c r="AD196" s="148">
        <f t="shared" ca="1" si="107"/>
        <v>114.40991994811155</v>
      </c>
      <c r="AE196" s="148">
        <f t="shared" ca="1" si="108"/>
        <v>54.916761575093545</v>
      </c>
      <c r="AF196" s="148">
        <f t="shared" ca="1" si="109"/>
        <v>6.8645951968866932</v>
      </c>
      <c r="AG196" s="148">
        <f t="shared" ca="1" si="110"/>
        <v>13.729190393773386</v>
      </c>
      <c r="AH196" s="148">
        <f t="shared" ca="1" si="111"/>
        <v>1384.3600313721499</v>
      </c>
      <c r="AI196" s="148">
        <f t="shared" ca="1" si="112"/>
        <v>3782.146113987159</v>
      </c>
      <c r="AJ196" s="20">
        <f t="shared" ca="1" si="124"/>
        <v>3716.6946152784612</v>
      </c>
      <c r="AK196" s="148">
        <f t="shared" ca="1" si="113"/>
        <v>181.32179384768381</v>
      </c>
      <c r="AL196" s="148">
        <f t="shared" ca="1" si="114"/>
        <v>133.71813705581403</v>
      </c>
      <c r="AM196" s="148">
        <f t="shared" ca="1" si="115"/>
        <v>64.18470578679073</v>
      </c>
      <c r="AN196" s="148">
        <f t="shared" ca="1" si="116"/>
        <v>8.0230882233488412</v>
      </c>
      <c r="AO196" s="148">
        <f t="shared" ca="1" si="117"/>
        <v>16.046176446697682</v>
      </c>
      <c r="AP196" s="148">
        <f t="shared" ca="1" si="118"/>
        <v>1973.6797029438148</v>
      </c>
      <c r="AQ196" s="148">
        <f t="shared" ca="1" si="119"/>
        <v>4420.4342828368272</v>
      </c>
      <c r="AR196" s="17">
        <f t="shared" ca="1" si="125"/>
        <v>4343.7811595127914</v>
      </c>
      <c r="AS196" s="148">
        <f t="shared" ca="1" si="120"/>
        <v>1848.307479058637</v>
      </c>
      <c r="AT196" s="181" t="str">
        <f>INDEX('stock fisico '!N:N, MATCH(B196, 'stock fisico '!B:B, 0))</f>
        <v>MAS CATEGORIAS</v>
      </c>
      <c r="AU196" s="179" t="str">
        <f>INDEX('stock fisico '!D:D, MATCH(B196, 'stock fisico '!B:B, 0))</f>
        <v>Cables</v>
      </c>
      <c r="AV196" s="177" t="str">
        <f>INDEX('stock fisico '!L:L, MATCH(B196, 'stock fisico '!B:B, 0))</f>
        <v>Netmak</v>
      </c>
    </row>
    <row r="197" spans="1:48" x14ac:dyDescent="0.25">
      <c r="A197" s="181">
        <f>INDEX('stock fisico '!M:M, MATCH(B197, 'stock fisico '!B:B, 0))</f>
        <v>4957</v>
      </c>
      <c r="B197" t="s">
        <v>840</v>
      </c>
      <c r="C197" s="179" t="str">
        <f>INDEX('stock fisico '!C:C, MATCH(B197, 'stock fisico '!B:B, 0))</f>
        <v>FUENTE DELL 19.5V 6.5 *4.4  BELSIC  EAN:  NO TIENE</v>
      </c>
      <c r="D197" s="178">
        <f>INDEX('stock fisico '!I:I, MATCH(B197, 'stock fisico '!B:B, 0))</f>
        <v>858</v>
      </c>
      <c r="E197" s="173">
        <f t="shared" ca="1" si="126"/>
        <v>1046.3414634146341</v>
      </c>
      <c r="F197" s="148">
        <f t="shared" ref="F197:F260" ca="1" si="127">K197*$F$3</f>
        <v>46.475186841786417</v>
      </c>
      <c r="G197" s="148">
        <f t="shared" ref="G197:G260" ca="1" si="128">K197*$G$2</f>
        <v>28.325402156187632</v>
      </c>
      <c r="H197" s="148">
        <f t="shared" ref="H197:H260" ca="1" si="129">K197*$H$2</f>
        <v>13.596193034970062</v>
      </c>
      <c r="I197" s="148">
        <f t="shared" ref="I197:I260" ca="1" si="130">K197*$I$2</f>
        <v>1.6995241293712577</v>
      </c>
      <c r="J197" s="148">
        <f t="shared" ref="J197:J260" ca="1" si="131">K197*$J$2</f>
        <v>3.3990482587425155</v>
      </c>
      <c r="K197" s="148">
        <f t="shared" ref="K197:K260" ca="1" si="132">E197*$J$1</f>
        <v>1133.0160862475052</v>
      </c>
      <c r="L197" s="175">
        <f t="shared" ca="1" si="121"/>
        <v>1109.8118915501332</v>
      </c>
      <c r="M197" s="148">
        <f t="shared" ref="M197:M260" ca="1" si="133">S197*$M$3</f>
        <v>56.236678398094575</v>
      </c>
      <c r="N197" s="148">
        <f t="shared" ref="N197:N260" ca="1" si="134">S197*$N$2</f>
        <v>34.274774127900841</v>
      </c>
      <c r="O197" s="148">
        <f t="shared" ref="O197:O260" ca="1" si="135">S197*$O$2</f>
        <v>16.451891581392402</v>
      </c>
      <c r="P197" s="148">
        <f t="shared" ref="P197:P260" ca="1" si="136">S197*$P$2</f>
        <v>2.0564864476740503</v>
      </c>
      <c r="Q197" s="148">
        <f t="shared" ref="Q197:Q260" ca="1" si="137">S197*$Q$2</f>
        <v>4.1129728953481006</v>
      </c>
      <c r="R197" s="148">
        <f t="shared" ref="R197:R260" ca="1" si="138">S197*$R$3</f>
        <v>219.80412648222807</v>
      </c>
      <c r="S197" s="148">
        <f t="shared" ref="S197:S260" ca="1" si="139">E197*$S$1</f>
        <v>1370.9909651160335</v>
      </c>
      <c r="T197" s="174">
        <f t="shared" ca="1" si="122"/>
        <v>1342.9471327716972</v>
      </c>
      <c r="U197" s="148">
        <f t="shared" ref="U197:U260" ca="1" si="140">AA197*$U$3</f>
        <v>65.000504928853786</v>
      </c>
      <c r="V197" s="148">
        <f t="shared" ref="V197:V260" ca="1" si="141">AA197*$V$3</f>
        <v>47.93547561124911</v>
      </c>
      <c r="W197" s="148">
        <f t="shared" ref="W197:W260" ca="1" si="142">AA197*$W$3</f>
        <v>23.00902829339957</v>
      </c>
      <c r="X197" s="148">
        <f t="shared" ref="X197:X260" ca="1" si="143">AA197*$X$3</f>
        <v>2.8761285366749463</v>
      </c>
      <c r="Y197" s="148">
        <f t="shared" ref="Y197:Y260" ca="1" si="144">AA197*$Y$3</f>
        <v>5.7522570733498926</v>
      </c>
      <c r="Z197" s="148">
        <f t="shared" ref="Z197:Z260" ca="1" si="145">AA197*$Z$3</f>
        <v>417.03863781786725</v>
      </c>
      <c r="AA197" s="148">
        <f t="shared" ref="AA197:AA260" ca="1" si="146">E197*$AA$1</f>
        <v>1584.6438218594747</v>
      </c>
      <c r="AB197" s="24">
        <f t="shared" ca="1" si="123"/>
        <v>1557.1418915281047</v>
      </c>
      <c r="AC197" s="148">
        <f t="shared" ref="AC197:AC260" ca="1" si="147">AI197*$AC$3</f>
        <v>76.986247935980984</v>
      </c>
      <c r="AD197" s="148">
        <f t="shared" ref="AD197:AD260" ca="1" si="148">AI197*$AD$3</f>
        <v>56.774519126829638</v>
      </c>
      <c r="AE197" s="148">
        <f t="shared" ref="AE197:AE260" ca="1" si="149">AI197*$AE$3</f>
        <v>27.251769180878227</v>
      </c>
      <c r="AF197" s="148">
        <f t="shared" ref="AF197:AF260" ca="1" si="150">AI197*$AF$3</f>
        <v>3.4064711476097784</v>
      </c>
      <c r="AG197" s="148">
        <f t="shared" ref="AG197:AG260" ca="1" si="151">AI197*$AG$3</f>
        <v>6.8129422952195569</v>
      </c>
      <c r="AH197" s="148">
        <f t="shared" ref="AH197:AH260" ca="1" si="152">AI197*$AH$3</f>
        <v>686.97168143463864</v>
      </c>
      <c r="AI197" s="148">
        <f t="shared" ref="AI197:AI260" ca="1" si="153">E197*$AI$1</f>
        <v>1876.8436074985004</v>
      </c>
      <c r="AJ197" s="20">
        <f t="shared" ca="1" si="124"/>
        <v>1844.3641042613515</v>
      </c>
      <c r="AK197" s="148">
        <f t="shared" ref="AK197:AK260" ca="1" si="154">AQ197*$AK$3</f>
        <v>89.978715635717975</v>
      </c>
      <c r="AL197" s="148">
        <f t="shared" ref="AL197:AL260" ca="1" si="155">AQ197*$AL$3</f>
        <v>66.355984982092892</v>
      </c>
      <c r="AM197" s="148">
        <f t="shared" ref="AM197:AM260" ca="1" si="156">AQ197*$AM$3</f>
        <v>31.850872791404591</v>
      </c>
      <c r="AN197" s="148">
        <f t="shared" ref="AN197:AN260" ca="1" si="157">AQ197*$AN$3</f>
        <v>3.9813590989255738</v>
      </c>
      <c r="AO197" s="148">
        <f t="shared" ref="AO197:AO260" ca="1" si="158">AQ197*$AO$3</f>
        <v>7.9627181978511477</v>
      </c>
      <c r="AP197" s="148">
        <f t="shared" ref="AP197:AP260" ca="1" si="159">AQ197*$AP$3</f>
        <v>979.41433833569113</v>
      </c>
      <c r="AQ197" s="148">
        <f t="shared" ref="AQ197:AQ260" ca="1" si="160">E197*$AQ$1</f>
        <v>2193.5862803997652</v>
      </c>
      <c r="AR197" s="17">
        <f t="shared" ca="1" si="125"/>
        <v>2155.5481083752989</v>
      </c>
      <c r="AS197" s="148">
        <f t="shared" ref="AS197:AS260" ca="1" si="161">L197/1.21</f>
        <v>917.19991037201089</v>
      </c>
      <c r="AT197" s="181" t="str">
        <f>INDEX('stock fisico '!N:N, MATCH(B197, 'stock fisico '!B:B, 0))</f>
        <v>INFORMATICA</v>
      </c>
      <c r="AU197" s="179" t="str">
        <f>INDEX('stock fisico '!D:D, MATCH(B197, 'stock fisico '!B:B, 0))</f>
        <v>Cargadores</v>
      </c>
      <c r="AV197" s="177" t="str">
        <f>INDEX('stock fisico '!L:L, MATCH(B197, 'stock fisico '!B:B, 0))</f>
        <v>Belsic</v>
      </c>
    </row>
    <row r="198" spans="1:48" x14ac:dyDescent="0.25">
      <c r="A198" s="181" t="e">
        <f>INDEX('stock fisico '!M:M, MATCH(B198, 'stock fisico '!B:B, 0))</f>
        <v>#N/A</v>
      </c>
      <c r="C198" s="179" t="e">
        <f>INDEX('stock fisico '!C:C, MATCH(B198, 'stock fisico '!B:B, 0))</f>
        <v>#N/A</v>
      </c>
      <c r="D198" s="178" t="e">
        <f>INDEX('stock fisico '!I:I, MATCH(B198, 'stock fisico '!B:B, 0))</f>
        <v>#N/A</v>
      </c>
      <c r="E198" s="173" t="e">
        <f t="shared" si="126"/>
        <v>#VALUE!</v>
      </c>
      <c r="F198" s="148" t="e">
        <f t="shared" si="127"/>
        <v>#VALUE!</v>
      </c>
      <c r="G198" s="148" t="e">
        <f t="shared" si="128"/>
        <v>#VALUE!</v>
      </c>
      <c r="H198" s="148" t="e">
        <f t="shared" si="129"/>
        <v>#VALUE!</v>
      </c>
      <c r="I198" s="148" t="e">
        <f t="shared" si="130"/>
        <v>#VALUE!</v>
      </c>
      <c r="J198" s="148" t="e">
        <f t="shared" si="131"/>
        <v>#VALUE!</v>
      </c>
      <c r="K198" s="148" t="e">
        <f t="shared" si="132"/>
        <v>#VALUE!</v>
      </c>
      <c r="L198" s="175" t="e">
        <f t="shared" ref="L198:L261" si="162">F198+H198+J198+E198</f>
        <v>#VALUE!</v>
      </c>
      <c r="M198" s="148" t="e">
        <f t="shared" si="133"/>
        <v>#VALUE!</v>
      </c>
      <c r="N198" s="148" t="e">
        <f t="shared" si="134"/>
        <v>#VALUE!</v>
      </c>
      <c r="O198" s="148" t="e">
        <f t="shared" si="135"/>
        <v>#VALUE!</v>
      </c>
      <c r="P198" s="148" t="e">
        <f t="shared" si="136"/>
        <v>#VALUE!</v>
      </c>
      <c r="Q198" s="148" t="e">
        <f t="shared" si="137"/>
        <v>#VALUE!</v>
      </c>
      <c r="R198" s="148" t="e">
        <f t="shared" si="138"/>
        <v>#VALUE!</v>
      </c>
      <c r="S198" s="148" t="e">
        <f t="shared" si="139"/>
        <v>#VALUE!</v>
      </c>
      <c r="T198" s="174" t="e">
        <f t="shared" ref="T198:T261" si="163">R198+Q198+O198+M198+E198</f>
        <v>#VALUE!</v>
      </c>
      <c r="U198" s="148" t="e">
        <f t="shared" si="140"/>
        <v>#VALUE!</v>
      </c>
      <c r="V198" s="148" t="e">
        <f t="shared" si="141"/>
        <v>#VALUE!</v>
      </c>
      <c r="W198" s="148" t="e">
        <f t="shared" si="142"/>
        <v>#VALUE!</v>
      </c>
      <c r="X198" s="148" t="e">
        <f t="shared" si="143"/>
        <v>#VALUE!</v>
      </c>
      <c r="Y198" s="148" t="e">
        <f t="shared" si="144"/>
        <v>#VALUE!</v>
      </c>
      <c r="Z198" s="148" t="e">
        <f t="shared" si="145"/>
        <v>#VALUE!</v>
      </c>
      <c r="AA198" s="148" t="e">
        <f t="shared" si="146"/>
        <v>#VALUE!</v>
      </c>
      <c r="AB198" s="24" t="e">
        <f t="shared" ref="AB198:AB261" si="164">U198+W198+Y198+Z198+E198</f>
        <v>#VALUE!</v>
      </c>
      <c r="AC198" s="148" t="e">
        <f t="shared" si="147"/>
        <v>#VALUE!</v>
      </c>
      <c r="AD198" s="148" t="e">
        <f t="shared" si="148"/>
        <v>#VALUE!</v>
      </c>
      <c r="AE198" s="148" t="e">
        <f t="shared" si="149"/>
        <v>#VALUE!</v>
      </c>
      <c r="AF198" s="148" t="e">
        <f t="shared" si="150"/>
        <v>#VALUE!</v>
      </c>
      <c r="AG198" s="148" t="e">
        <f t="shared" si="151"/>
        <v>#VALUE!</v>
      </c>
      <c r="AH198" s="148" t="e">
        <f t="shared" si="152"/>
        <v>#VALUE!</v>
      </c>
      <c r="AI198" s="148" t="e">
        <f t="shared" si="153"/>
        <v>#VALUE!</v>
      </c>
      <c r="AJ198" s="20" t="e">
        <f t="shared" ref="AJ198:AJ261" si="165">AC198+AE198+AG198+AH198+E198</f>
        <v>#VALUE!</v>
      </c>
      <c r="AK198" s="148" t="e">
        <f t="shared" si="154"/>
        <v>#VALUE!</v>
      </c>
      <c r="AL198" s="148" t="e">
        <f t="shared" si="155"/>
        <v>#VALUE!</v>
      </c>
      <c r="AM198" s="148" t="e">
        <f t="shared" si="156"/>
        <v>#VALUE!</v>
      </c>
      <c r="AN198" s="148" t="e">
        <f t="shared" si="157"/>
        <v>#VALUE!</v>
      </c>
      <c r="AO198" s="148" t="e">
        <f t="shared" si="158"/>
        <v>#VALUE!</v>
      </c>
      <c r="AP198" s="148" t="e">
        <f t="shared" si="159"/>
        <v>#VALUE!</v>
      </c>
      <c r="AQ198" s="148" t="e">
        <f t="shared" si="160"/>
        <v>#VALUE!</v>
      </c>
      <c r="AR198" s="17" t="e">
        <f t="shared" ref="AR198:AR261" si="166">AK198+AM198+AO198+AP198+E198</f>
        <v>#VALUE!</v>
      </c>
      <c r="AS198" s="148" t="e">
        <f t="shared" si="161"/>
        <v>#VALUE!</v>
      </c>
      <c r="AT198" s="181" t="e">
        <f>INDEX('stock fisico '!N:N, MATCH(B198, 'stock fisico '!B:B, 0))</f>
        <v>#N/A</v>
      </c>
      <c r="AU198" s="179" t="e">
        <f>INDEX('stock fisico '!D:D, MATCH(B198, 'stock fisico '!B:B, 0))</f>
        <v>#N/A</v>
      </c>
      <c r="AV198" s="177" t="e">
        <f>INDEX('stock fisico '!L:L, MATCH(B198, 'stock fisico '!B:B, 0))</f>
        <v>#N/A</v>
      </c>
    </row>
    <row r="199" spans="1:48" x14ac:dyDescent="0.25">
      <c r="A199" s="181" t="e">
        <f>INDEX('stock fisico '!M:M, MATCH(B199, 'stock fisico '!B:B, 0))</f>
        <v>#N/A</v>
      </c>
      <c r="C199" s="179" t="e">
        <f>INDEX('stock fisico '!C:C, MATCH(B199, 'stock fisico '!B:B, 0))</f>
        <v>#N/A</v>
      </c>
      <c r="D199" s="178" t="e">
        <f>INDEX('stock fisico '!I:I, MATCH(B199, 'stock fisico '!B:B, 0))</f>
        <v>#N/A</v>
      </c>
      <c r="E199" s="173" t="e">
        <f t="shared" ref="E199:E262" si="167">PrecioConMargen(D199,B199, AV199, AU199, AT199)</f>
        <v>#VALUE!</v>
      </c>
      <c r="F199" s="148" t="e">
        <f t="shared" si="127"/>
        <v>#VALUE!</v>
      </c>
      <c r="G199" s="148" t="e">
        <f t="shared" si="128"/>
        <v>#VALUE!</v>
      </c>
      <c r="H199" s="148" t="e">
        <f t="shared" si="129"/>
        <v>#VALUE!</v>
      </c>
      <c r="I199" s="148" t="e">
        <f t="shared" si="130"/>
        <v>#VALUE!</v>
      </c>
      <c r="J199" s="148" t="e">
        <f t="shared" si="131"/>
        <v>#VALUE!</v>
      </c>
      <c r="K199" s="148" t="e">
        <f t="shared" si="132"/>
        <v>#VALUE!</v>
      </c>
      <c r="L199" s="175" t="e">
        <f t="shared" si="162"/>
        <v>#VALUE!</v>
      </c>
      <c r="M199" s="148" t="e">
        <f t="shared" si="133"/>
        <v>#VALUE!</v>
      </c>
      <c r="N199" s="148" t="e">
        <f t="shared" si="134"/>
        <v>#VALUE!</v>
      </c>
      <c r="O199" s="148" t="e">
        <f t="shared" si="135"/>
        <v>#VALUE!</v>
      </c>
      <c r="P199" s="148" t="e">
        <f t="shared" si="136"/>
        <v>#VALUE!</v>
      </c>
      <c r="Q199" s="148" t="e">
        <f t="shared" si="137"/>
        <v>#VALUE!</v>
      </c>
      <c r="R199" s="148" t="e">
        <f t="shared" si="138"/>
        <v>#VALUE!</v>
      </c>
      <c r="S199" s="148" t="e">
        <f t="shared" si="139"/>
        <v>#VALUE!</v>
      </c>
      <c r="T199" s="174" t="e">
        <f t="shared" si="163"/>
        <v>#VALUE!</v>
      </c>
      <c r="U199" s="148" t="e">
        <f t="shared" si="140"/>
        <v>#VALUE!</v>
      </c>
      <c r="V199" s="148" t="e">
        <f t="shared" si="141"/>
        <v>#VALUE!</v>
      </c>
      <c r="W199" s="148" t="e">
        <f t="shared" si="142"/>
        <v>#VALUE!</v>
      </c>
      <c r="X199" s="148" t="e">
        <f t="shared" si="143"/>
        <v>#VALUE!</v>
      </c>
      <c r="Y199" s="148" t="e">
        <f t="shared" si="144"/>
        <v>#VALUE!</v>
      </c>
      <c r="Z199" s="148" t="e">
        <f t="shared" si="145"/>
        <v>#VALUE!</v>
      </c>
      <c r="AA199" s="148" t="e">
        <f t="shared" si="146"/>
        <v>#VALUE!</v>
      </c>
      <c r="AB199" s="24" t="e">
        <f t="shared" si="164"/>
        <v>#VALUE!</v>
      </c>
      <c r="AC199" s="148" t="e">
        <f t="shared" si="147"/>
        <v>#VALUE!</v>
      </c>
      <c r="AD199" s="148" t="e">
        <f t="shared" si="148"/>
        <v>#VALUE!</v>
      </c>
      <c r="AE199" s="148" t="e">
        <f t="shared" si="149"/>
        <v>#VALUE!</v>
      </c>
      <c r="AF199" s="148" t="e">
        <f t="shared" si="150"/>
        <v>#VALUE!</v>
      </c>
      <c r="AG199" s="148" t="e">
        <f t="shared" si="151"/>
        <v>#VALUE!</v>
      </c>
      <c r="AH199" s="148" t="e">
        <f t="shared" si="152"/>
        <v>#VALUE!</v>
      </c>
      <c r="AI199" s="148" t="e">
        <f t="shared" si="153"/>
        <v>#VALUE!</v>
      </c>
      <c r="AJ199" s="20" t="e">
        <f t="shared" si="165"/>
        <v>#VALUE!</v>
      </c>
      <c r="AK199" s="148" t="e">
        <f t="shared" si="154"/>
        <v>#VALUE!</v>
      </c>
      <c r="AL199" s="148" t="e">
        <f t="shared" si="155"/>
        <v>#VALUE!</v>
      </c>
      <c r="AM199" s="148" t="e">
        <f t="shared" si="156"/>
        <v>#VALUE!</v>
      </c>
      <c r="AN199" s="148" t="e">
        <f t="shared" si="157"/>
        <v>#VALUE!</v>
      </c>
      <c r="AO199" s="148" t="e">
        <f t="shared" si="158"/>
        <v>#VALUE!</v>
      </c>
      <c r="AP199" s="148" t="e">
        <f t="shared" si="159"/>
        <v>#VALUE!</v>
      </c>
      <c r="AQ199" s="148" t="e">
        <f t="shared" si="160"/>
        <v>#VALUE!</v>
      </c>
      <c r="AR199" s="17" t="e">
        <f t="shared" si="166"/>
        <v>#VALUE!</v>
      </c>
      <c r="AS199" s="148" t="e">
        <f t="shared" si="161"/>
        <v>#VALUE!</v>
      </c>
      <c r="AT199" s="181" t="e">
        <f>INDEX('stock fisico '!N:N, MATCH(B199, 'stock fisico '!B:B, 0))</f>
        <v>#N/A</v>
      </c>
      <c r="AU199" s="179" t="e">
        <f>INDEX('stock fisico '!D:D, MATCH(B199, 'stock fisico '!B:B, 0))</f>
        <v>#N/A</v>
      </c>
      <c r="AV199" s="177" t="e">
        <f>INDEX('stock fisico '!L:L, MATCH(B199, 'stock fisico '!B:B, 0))</f>
        <v>#N/A</v>
      </c>
    </row>
    <row r="200" spans="1:48" x14ac:dyDescent="0.25">
      <c r="A200" s="181" t="e">
        <f>INDEX('stock fisico '!M:M, MATCH(B200, 'stock fisico '!B:B, 0))</f>
        <v>#N/A</v>
      </c>
      <c r="C200" s="179" t="e">
        <f>INDEX('stock fisico '!C:C, MATCH(B200, 'stock fisico '!B:B, 0))</f>
        <v>#N/A</v>
      </c>
      <c r="D200" s="178" t="e">
        <f>INDEX('stock fisico '!I:I, MATCH(B200, 'stock fisico '!B:B, 0))</f>
        <v>#N/A</v>
      </c>
      <c r="E200" s="173" t="e">
        <f t="shared" si="167"/>
        <v>#VALUE!</v>
      </c>
      <c r="F200" s="148" t="e">
        <f t="shared" si="127"/>
        <v>#VALUE!</v>
      </c>
      <c r="G200" s="148" t="e">
        <f t="shared" si="128"/>
        <v>#VALUE!</v>
      </c>
      <c r="H200" s="148" t="e">
        <f t="shared" si="129"/>
        <v>#VALUE!</v>
      </c>
      <c r="I200" s="148" t="e">
        <f t="shared" si="130"/>
        <v>#VALUE!</v>
      </c>
      <c r="J200" s="148" t="e">
        <f t="shared" si="131"/>
        <v>#VALUE!</v>
      </c>
      <c r="K200" s="148" t="e">
        <f t="shared" si="132"/>
        <v>#VALUE!</v>
      </c>
      <c r="L200" s="175" t="e">
        <f t="shared" si="162"/>
        <v>#VALUE!</v>
      </c>
      <c r="M200" s="148" t="e">
        <f t="shared" si="133"/>
        <v>#VALUE!</v>
      </c>
      <c r="N200" s="148" t="e">
        <f t="shared" si="134"/>
        <v>#VALUE!</v>
      </c>
      <c r="O200" s="148" t="e">
        <f t="shared" si="135"/>
        <v>#VALUE!</v>
      </c>
      <c r="P200" s="148" t="e">
        <f t="shared" si="136"/>
        <v>#VALUE!</v>
      </c>
      <c r="Q200" s="148" t="e">
        <f t="shared" si="137"/>
        <v>#VALUE!</v>
      </c>
      <c r="R200" s="148" t="e">
        <f t="shared" si="138"/>
        <v>#VALUE!</v>
      </c>
      <c r="S200" s="148" t="e">
        <f t="shared" si="139"/>
        <v>#VALUE!</v>
      </c>
      <c r="T200" s="174" t="e">
        <f t="shared" si="163"/>
        <v>#VALUE!</v>
      </c>
      <c r="U200" s="148" t="e">
        <f t="shared" si="140"/>
        <v>#VALUE!</v>
      </c>
      <c r="V200" s="148" t="e">
        <f t="shared" si="141"/>
        <v>#VALUE!</v>
      </c>
      <c r="W200" s="148" t="e">
        <f t="shared" si="142"/>
        <v>#VALUE!</v>
      </c>
      <c r="X200" s="148" t="e">
        <f t="shared" si="143"/>
        <v>#VALUE!</v>
      </c>
      <c r="Y200" s="148" t="e">
        <f t="shared" si="144"/>
        <v>#VALUE!</v>
      </c>
      <c r="Z200" s="148" t="e">
        <f t="shared" si="145"/>
        <v>#VALUE!</v>
      </c>
      <c r="AA200" s="148" t="e">
        <f t="shared" si="146"/>
        <v>#VALUE!</v>
      </c>
      <c r="AB200" s="24" t="e">
        <f t="shared" si="164"/>
        <v>#VALUE!</v>
      </c>
      <c r="AC200" s="148" t="e">
        <f t="shared" si="147"/>
        <v>#VALUE!</v>
      </c>
      <c r="AD200" s="148" t="e">
        <f t="shared" si="148"/>
        <v>#VALUE!</v>
      </c>
      <c r="AE200" s="148" t="e">
        <f t="shared" si="149"/>
        <v>#VALUE!</v>
      </c>
      <c r="AF200" s="148" t="e">
        <f t="shared" si="150"/>
        <v>#VALUE!</v>
      </c>
      <c r="AG200" s="148" t="e">
        <f t="shared" si="151"/>
        <v>#VALUE!</v>
      </c>
      <c r="AH200" s="148" t="e">
        <f t="shared" si="152"/>
        <v>#VALUE!</v>
      </c>
      <c r="AI200" s="148" t="e">
        <f t="shared" si="153"/>
        <v>#VALUE!</v>
      </c>
      <c r="AJ200" s="20" t="e">
        <f t="shared" si="165"/>
        <v>#VALUE!</v>
      </c>
      <c r="AK200" s="148" t="e">
        <f t="shared" si="154"/>
        <v>#VALUE!</v>
      </c>
      <c r="AL200" s="148" t="e">
        <f t="shared" si="155"/>
        <v>#VALUE!</v>
      </c>
      <c r="AM200" s="148" t="e">
        <f t="shared" si="156"/>
        <v>#VALUE!</v>
      </c>
      <c r="AN200" s="148" t="e">
        <f t="shared" si="157"/>
        <v>#VALUE!</v>
      </c>
      <c r="AO200" s="148" t="e">
        <f t="shared" si="158"/>
        <v>#VALUE!</v>
      </c>
      <c r="AP200" s="148" t="e">
        <f t="shared" si="159"/>
        <v>#VALUE!</v>
      </c>
      <c r="AQ200" s="148" t="e">
        <f t="shared" si="160"/>
        <v>#VALUE!</v>
      </c>
      <c r="AR200" s="17" t="e">
        <f t="shared" si="166"/>
        <v>#VALUE!</v>
      </c>
      <c r="AS200" s="148" t="e">
        <f t="shared" si="161"/>
        <v>#VALUE!</v>
      </c>
      <c r="AT200" s="181" t="e">
        <f>INDEX('stock fisico '!N:N, MATCH(B200, 'stock fisico '!B:B, 0))</f>
        <v>#N/A</v>
      </c>
      <c r="AU200" s="179" t="e">
        <f>INDEX('stock fisico '!D:D, MATCH(B200, 'stock fisico '!B:B, 0))</f>
        <v>#N/A</v>
      </c>
      <c r="AV200" s="177" t="e">
        <f>INDEX('stock fisico '!L:L, MATCH(B200, 'stock fisico '!B:B, 0))</f>
        <v>#N/A</v>
      </c>
    </row>
    <row r="201" spans="1:48" x14ac:dyDescent="0.25">
      <c r="A201" s="181" t="e">
        <f>INDEX('stock fisico '!M:M, MATCH(B201, 'stock fisico '!B:B, 0))</f>
        <v>#N/A</v>
      </c>
      <c r="C201" s="179" t="e">
        <f>INDEX('stock fisico '!C:C, MATCH(B201, 'stock fisico '!B:B, 0))</f>
        <v>#N/A</v>
      </c>
      <c r="D201" s="178" t="e">
        <f>INDEX('stock fisico '!I:I, MATCH(B201, 'stock fisico '!B:B, 0))</f>
        <v>#N/A</v>
      </c>
      <c r="E201" s="173" t="e">
        <f t="shared" si="167"/>
        <v>#VALUE!</v>
      </c>
      <c r="F201" s="148" t="e">
        <f t="shared" si="127"/>
        <v>#VALUE!</v>
      </c>
      <c r="G201" s="148" t="e">
        <f t="shared" si="128"/>
        <v>#VALUE!</v>
      </c>
      <c r="H201" s="148" t="e">
        <f t="shared" si="129"/>
        <v>#VALUE!</v>
      </c>
      <c r="I201" s="148" t="e">
        <f t="shared" si="130"/>
        <v>#VALUE!</v>
      </c>
      <c r="J201" s="148" t="e">
        <f t="shared" si="131"/>
        <v>#VALUE!</v>
      </c>
      <c r="K201" s="148" t="e">
        <f t="shared" si="132"/>
        <v>#VALUE!</v>
      </c>
      <c r="L201" s="175" t="e">
        <f t="shared" si="162"/>
        <v>#VALUE!</v>
      </c>
      <c r="M201" s="148" t="e">
        <f t="shared" si="133"/>
        <v>#VALUE!</v>
      </c>
      <c r="N201" s="148" t="e">
        <f t="shared" si="134"/>
        <v>#VALUE!</v>
      </c>
      <c r="O201" s="148" t="e">
        <f t="shared" si="135"/>
        <v>#VALUE!</v>
      </c>
      <c r="P201" s="148" t="e">
        <f t="shared" si="136"/>
        <v>#VALUE!</v>
      </c>
      <c r="Q201" s="148" t="e">
        <f t="shared" si="137"/>
        <v>#VALUE!</v>
      </c>
      <c r="R201" s="148" t="e">
        <f t="shared" si="138"/>
        <v>#VALUE!</v>
      </c>
      <c r="S201" s="148" t="e">
        <f t="shared" si="139"/>
        <v>#VALUE!</v>
      </c>
      <c r="T201" s="174" t="e">
        <f t="shared" si="163"/>
        <v>#VALUE!</v>
      </c>
      <c r="U201" s="148" t="e">
        <f t="shared" si="140"/>
        <v>#VALUE!</v>
      </c>
      <c r="V201" s="148" t="e">
        <f t="shared" si="141"/>
        <v>#VALUE!</v>
      </c>
      <c r="W201" s="148" t="e">
        <f t="shared" si="142"/>
        <v>#VALUE!</v>
      </c>
      <c r="X201" s="148" t="e">
        <f t="shared" si="143"/>
        <v>#VALUE!</v>
      </c>
      <c r="Y201" s="148" t="e">
        <f t="shared" si="144"/>
        <v>#VALUE!</v>
      </c>
      <c r="Z201" s="148" t="e">
        <f t="shared" si="145"/>
        <v>#VALUE!</v>
      </c>
      <c r="AA201" s="148" t="e">
        <f t="shared" si="146"/>
        <v>#VALUE!</v>
      </c>
      <c r="AB201" s="24" t="e">
        <f t="shared" si="164"/>
        <v>#VALUE!</v>
      </c>
      <c r="AC201" s="148" t="e">
        <f t="shared" si="147"/>
        <v>#VALUE!</v>
      </c>
      <c r="AD201" s="148" t="e">
        <f t="shared" si="148"/>
        <v>#VALUE!</v>
      </c>
      <c r="AE201" s="148" t="e">
        <f t="shared" si="149"/>
        <v>#VALUE!</v>
      </c>
      <c r="AF201" s="148" t="e">
        <f t="shared" si="150"/>
        <v>#VALUE!</v>
      </c>
      <c r="AG201" s="148" t="e">
        <f t="shared" si="151"/>
        <v>#VALUE!</v>
      </c>
      <c r="AH201" s="148" t="e">
        <f t="shared" si="152"/>
        <v>#VALUE!</v>
      </c>
      <c r="AI201" s="148" t="e">
        <f t="shared" si="153"/>
        <v>#VALUE!</v>
      </c>
      <c r="AJ201" s="20" t="e">
        <f t="shared" si="165"/>
        <v>#VALUE!</v>
      </c>
      <c r="AK201" s="148" t="e">
        <f t="shared" si="154"/>
        <v>#VALUE!</v>
      </c>
      <c r="AL201" s="148" t="e">
        <f t="shared" si="155"/>
        <v>#VALUE!</v>
      </c>
      <c r="AM201" s="148" t="e">
        <f t="shared" si="156"/>
        <v>#VALUE!</v>
      </c>
      <c r="AN201" s="148" t="e">
        <f t="shared" si="157"/>
        <v>#VALUE!</v>
      </c>
      <c r="AO201" s="148" t="e">
        <f t="shared" si="158"/>
        <v>#VALUE!</v>
      </c>
      <c r="AP201" s="148" t="e">
        <f t="shared" si="159"/>
        <v>#VALUE!</v>
      </c>
      <c r="AQ201" s="148" t="e">
        <f t="shared" si="160"/>
        <v>#VALUE!</v>
      </c>
      <c r="AR201" s="17" t="e">
        <f t="shared" si="166"/>
        <v>#VALUE!</v>
      </c>
      <c r="AS201" s="148" t="e">
        <f t="shared" si="161"/>
        <v>#VALUE!</v>
      </c>
      <c r="AT201" s="181" t="e">
        <f>INDEX('stock fisico '!N:N, MATCH(B201, 'stock fisico '!B:B, 0))</f>
        <v>#N/A</v>
      </c>
      <c r="AU201" s="179" t="e">
        <f>INDEX('stock fisico '!D:D, MATCH(B201, 'stock fisico '!B:B, 0))</f>
        <v>#N/A</v>
      </c>
      <c r="AV201" s="177" t="e">
        <f>INDEX('stock fisico '!L:L, MATCH(B201, 'stock fisico '!B:B, 0))</f>
        <v>#N/A</v>
      </c>
    </row>
    <row r="202" spans="1:48" x14ac:dyDescent="0.25">
      <c r="A202" s="181" t="e">
        <f>INDEX('stock fisico '!M:M, MATCH(B202, 'stock fisico '!B:B, 0))</f>
        <v>#N/A</v>
      </c>
      <c r="C202" s="179" t="e">
        <f>INDEX('stock fisico '!C:C, MATCH(B202, 'stock fisico '!B:B, 0))</f>
        <v>#N/A</v>
      </c>
      <c r="D202" s="178" t="e">
        <f>INDEX('stock fisico '!I:I, MATCH(B202, 'stock fisico '!B:B, 0))</f>
        <v>#N/A</v>
      </c>
      <c r="E202" s="173" t="e">
        <f t="shared" si="167"/>
        <v>#VALUE!</v>
      </c>
      <c r="F202" s="148" t="e">
        <f t="shared" si="127"/>
        <v>#VALUE!</v>
      </c>
      <c r="G202" s="148" t="e">
        <f t="shared" si="128"/>
        <v>#VALUE!</v>
      </c>
      <c r="H202" s="148" t="e">
        <f t="shared" si="129"/>
        <v>#VALUE!</v>
      </c>
      <c r="I202" s="148" t="e">
        <f t="shared" si="130"/>
        <v>#VALUE!</v>
      </c>
      <c r="J202" s="148" t="e">
        <f t="shared" si="131"/>
        <v>#VALUE!</v>
      </c>
      <c r="K202" s="148" t="e">
        <f t="shared" si="132"/>
        <v>#VALUE!</v>
      </c>
      <c r="L202" s="175" t="e">
        <f t="shared" si="162"/>
        <v>#VALUE!</v>
      </c>
      <c r="M202" s="148" t="e">
        <f t="shared" si="133"/>
        <v>#VALUE!</v>
      </c>
      <c r="N202" s="148" t="e">
        <f t="shared" si="134"/>
        <v>#VALUE!</v>
      </c>
      <c r="O202" s="148" t="e">
        <f t="shared" si="135"/>
        <v>#VALUE!</v>
      </c>
      <c r="P202" s="148" t="e">
        <f t="shared" si="136"/>
        <v>#VALUE!</v>
      </c>
      <c r="Q202" s="148" t="e">
        <f t="shared" si="137"/>
        <v>#VALUE!</v>
      </c>
      <c r="R202" s="148" t="e">
        <f t="shared" si="138"/>
        <v>#VALUE!</v>
      </c>
      <c r="S202" s="148" t="e">
        <f t="shared" si="139"/>
        <v>#VALUE!</v>
      </c>
      <c r="T202" s="174" t="e">
        <f t="shared" si="163"/>
        <v>#VALUE!</v>
      </c>
      <c r="U202" s="148" t="e">
        <f t="shared" si="140"/>
        <v>#VALUE!</v>
      </c>
      <c r="V202" s="148" t="e">
        <f t="shared" si="141"/>
        <v>#VALUE!</v>
      </c>
      <c r="W202" s="148" t="e">
        <f t="shared" si="142"/>
        <v>#VALUE!</v>
      </c>
      <c r="X202" s="148" t="e">
        <f t="shared" si="143"/>
        <v>#VALUE!</v>
      </c>
      <c r="Y202" s="148" t="e">
        <f t="shared" si="144"/>
        <v>#VALUE!</v>
      </c>
      <c r="Z202" s="148" t="e">
        <f t="shared" si="145"/>
        <v>#VALUE!</v>
      </c>
      <c r="AA202" s="148" t="e">
        <f t="shared" si="146"/>
        <v>#VALUE!</v>
      </c>
      <c r="AB202" s="24" t="e">
        <f t="shared" si="164"/>
        <v>#VALUE!</v>
      </c>
      <c r="AC202" s="148" t="e">
        <f t="shared" si="147"/>
        <v>#VALUE!</v>
      </c>
      <c r="AD202" s="148" t="e">
        <f t="shared" si="148"/>
        <v>#VALUE!</v>
      </c>
      <c r="AE202" s="148" t="e">
        <f t="shared" si="149"/>
        <v>#VALUE!</v>
      </c>
      <c r="AF202" s="148" t="e">
        <f t="shared" si="150"/>
        <v>#VALUE!</v>
      </c>
      <c r="AG202" s="148" t="e">
        <f t="shared" si="151"/>
        <v>#VALUE!</v>
      </c>
      <c r="AH202" s="148" t="e">
        <f t="shared" si="152"/>
        <v>#VALUE!</v>
      </c>
      <c r="AI202" s="148" t="e">
        <f t="shared" si="153"/>
        <v>#VALUE!</v>
      </c>
      <c r="AJ202" s="20" t="e">
        <f t="shared" si="165"/>
        <v>#VALUE!</v>
      </c>
      <c r="AK202" s="148" t="e">
        <f t="shared" si="154"/>
        <v>#VALUE!</v>
      </c>
      <c r="AL202" s="148" t="e">
        <f t="shared" si="155"/>
        <v>#VALUE!</v>
      </c>
      <c r="AM202" s="148" t="e">
        <f t="shared" si="156"/>
        <v>#VALUE!</v>
      </c>
      <c r="AN202" s="148" t="e">
        <f t="shared" si="157"/>
        <v>#VALUE!</v>
      </c>
      <c r="AO202" s="148" t="e">
        <f t="shared" si="158"/>
        <v>#VALUE!</v>
      </c>
      <c r="AP202" s="148" t="e">
        <f t="shared" si="159"/>
        <v>#VALUE!</v>
      </c>
      <c r="AQ202" s="148" t="e">
        <f t="shared" si="160"/>
        <v>#VALUE!</v>
      </c>
      <c r="AR202" s="17" t="e">
        <f t="shared" si="166"/>
        <v>#VALUE!</v>
      </c>
      <c r="AS202" s="148" t="e">
        <f t="shared" si="161"/>
        <v>#VALUE!</v>
      </c>
      <c r="AT202" s="181" t="e">
        <f>INDEX('stock fisico '!N:N, MATCH(B202, 'stock fisico '!B:B, 0))</f>
        <v>#N/A</v>
      </c>
      <c r="AU202" s="179" t="e">
        <f>INDEX('stock fisico '!D:D, MATCH(B202, 'stock fisico '!B:B, 0))</f>
        <v>#N/A</v>
      </c>
      <c r="AV202" s="177" t="e">
        <f>INDEX('stock fisico '!L:L, MATCH(B202, 'stock fisico '!B:B, 0))</f>
        <v>#N/A</v>
      </c>
    </row>
    <row r="203" spans="1:48" x14ac:dyDescent="0.25">
      <c r="A203" s="181" t="e">
        <f>INDEX('stock fisico '!M:M, MATCH(B203, 'stock fisico '!B:B, 0))</f>
        <v>#N/A</v>
      </c>
      <c r="C203" s="179" t="e">
        <f>INDEX('stock fisico '!C:C, MATCH(B203, 'stock fisico '!B:B, 0))</f>
        <v>#N/A</v>
      </c>
      <c r="D203" s="178" t="e">
        <f>INDEX('stock fisico '!I:I, MATCH(B203, 'stock fisico '!B:B, 0))</f>
        <v>#N/A</v>
      </c>
      <c r="E203" s="173" t="e">
        <f t="shared" si="167"/>
        <v>#VALUE!</v>
      </c>
      <c r="F203" s="148" t="e">
        <f t="shared" si="127"/>
        <v>#VALUE!</v>
      </c>
      <c r="G203" s="148" t="e">
        <f t="shared" si="128"/>
        <v>#VALUE!</v>
      </c>
      <c r="H203" s="148" t="e">
        <f t="shared" si="129"/>
        <v>#VALUE!</v>
      </c>
      <c r="I203" s="148" t="e">
        <f t="shared" si="130"/>
        <v>#VALUE!</v>
      </c>
      <c r="J203" s="148" t="e">
        <f t="shared" si="131"/>
        <v>#VALUE!</v>
      </c>
      <c r="K203" s="148" t="e">
        <f t="shared" si="132"/>
        <v>#VALUE!</v>
      </c>
      <c r="L203" s="175" t="e">
        <f t="shared" si="162"/>
        <v>#VALUE!</v>
      </c>
      <c r="M203" s="148" t="e">
        <f t="shared" si="133"/>
        <v>#VALUE!</v>
      </c>
      <c r="N203" s="148" t="e">
        <f t="shared" si="134"/>
        <v>#VALUE!</v>
      </c>
      <c r="O203" s="148" t="e">
        <f t="shared" si="135"/>
        <v>#VALUE!</v>
      </c>
      <c r="P203" s="148" t="e">
        <f t="shared" si="136"/>
        <v>#VALUE!</v>
      </c>
      <c r="Q203" s="148" t="e">
        <f t="shared" si="137"/>
        <v>#VALUE!</v>
      </c>
      <c r="R203" s="148" t="e">
        <f t="shared" si="138"/>
        <v>#VALUE!</v>
      </c>
      <c r="S203" s="148" t="e">
        <f t="shared" si="139"/>
        <v>#VALUE!</v>
      </c>
      <c r="T203" s="174" t="e">
        <f t="shared" si="163"/>
        <v>#VALUE!</v>
      </c>
      <c r="U203" s="148" t="e">
        <f t="shared" si="140"/>
        <v>#VALUE!</v>
      </c>
      <c r="V203" s="148" t="e">
        <f t="shared" si="141"/>
        <v>#VALUE!</v>
      </c>
      <c r="W203" s="148" t="e">
        <f t="shared" si="142"/>
        <v>#VALUE!</v>
      </c>
      <c r="X203" s="148" t="e">
        <f t="shared" si="143"/>
        <v>#VALUE!</v>
      </c>
      <c r="Y203" s="148" t="e">
        <f t="shared" si="144"/>
        <v>#VALUE!</v>
      </c>
      <c r="Z203" s="148" t="e">
        <f t="shared" si="145"/>
        <v>#VALUE!</v>
      </c>
      <c r="AA203" s="148" t="e">
        <f t="shared" si="146"/>
        <v>#VALUE!</v>
      </c>
      <c r="AB203" s="24" t="e">
        <f t="shared" si="164"/>
        <v>#VALUE!</v>
      </c>
      <c r="AC203" s="148" t="e">
        <f t="shared" si="147"/>
        <v>#VALUE!</v>
      </c>
      <c r="AD203" s="148" t="e">
        <f t="shared" si="148"/>
        <v>#VALUE!</v>
      </c>
      <c r="AE203" s="148" t="e">
        <f t="shared" si="149"/>
        <v>#VALUE!</v>
      </c>
      <c r="AF203" s="148" t="e">
        <f t="shared" si="150"/>
        <v>#VALUE!</v>
      </c>
      <c r="AG203" s="148" t="e">
        <f t="shared" si="151"/>
        <v>#VALUE!</v>
      </c>
      <c r="AH203" s="148" t="e">
        <f t="shared" si="152"/>
        <v>#VALUE!</v>
      </c>
      <c r="AI203" s="148" t="e">
        <f t="shared" si="153"/>
        <v>#VALUE!</v>
      </c>
      <c r="AJ203" s="20" t="e">
        <f t="shared" si="165"/>
        <v>#VALUE!</v>
      </c>
      <c r="AK203" s="148" t="e">
        <f t="shared" si="154"/>
        <v>#VALUE!</v>
      </c>
      <c r="AL203" s="148" t="e">
        <f t="shared" si="155"/>
        <v>#VALUE!</v>
      </c>
      <c r="AM203" s="148" t="e">
        <f t="shared" si="156"/>
        <v>#VALUE!</v>
      </c>
      <c r="AN203" s="148" t="e">
        <f t="shared" si="157"/>
        <v>#VALUE!</v>
      </c>
      <c r="AO203" s="148" t="e">
        <f t="shared" si="158"/>
        <v>#VALUE!</v>
      </c>
      <c r="AP203" s="148" t="e">
        <f t="shared" si="159"/>
        <v>#VALUE!</v>
      </c>
      <c r="AQ203" s="148" t="e">
        <f t="shared" si="160"/>
        <v>#VALUE!</v>
      </c>
      <c r="AR203" s="17" t="e">
        <f t="shared" si="166"/>
        <v>#VALUE!</v>
      </c>
      <c r="AS203" s="148" t="e">
        <f t="shared" si="161"/>
        <v>#VALUE!</v>
      </c>
      <c r="AT203" s="181" t="e">
        <f>INDEX('stock fisico '!N:N, MATCH(B203, 'stock fisico '!B:B, 0))</f>
        <v>#N/A</v>
      </c>
      <c r="AU203" s="179" t="e">
        <f>INDEX('stock fisico '!D:D, MATCH(B203, 'stock fisico '!B:B, 0))</f>
        <v>#N/A</v>
      </c>
      <c r="AV203" s="177" t="e">
        <f>INDEX('stock fisico '!L:L, MATCH(B203, 'stock fisico '!B:B, 0))</f>
        <v>#N/A</v>
      </c>
    </row>
    <row r="204" spans="1:48" x14ac:dyDescent="0.25">
      <c r="A204" s="181" t="e">
        <f>INDEX('stock fisico '!M:M, MATCH(B204, 'stock fisico '!B:B, 0))</f>
        <v>#N/A</v>
      </c>
      <c r="C204" s="179" t="e">
        <f>INDEX('stock fisico '!C:C, MATCH(B204, 'stock fisico '!B:B, 0))</f>
        <v>#N/A</v>
      </c>
      <c r="D204" s="178" t="e">
        <f>INDEX('stock fisico '!I:I, MATCH(B204, 'stock fisico '!B:B, 0))</f>
        <v>#N/A</v>
      </c>
      <c r="E204" s="173" t="e">
        <f t="shared" si="167"/>
        <v>#VALUE!</v>
      </c>
      <c r="F204" s="148" t="e">
        <f t="shared" si="127"/>
        <v>#VALUE!</v>
      </c>
      <c r="G204" s="148" t="e">
        <f t="shared" si="128"/>
        <v>#VALUE!</v>
      </c>
      <c r="H204" s="148" t="e">
        <f t="shared" si="129"/>
        <v>#VALUE!</v>
      </c>
      <c r="I204" s="148" t="e">
        <f t="shared" si="130"/>
        <v>#VALUE!</v>
      </c>
      <c r="J204" s="148" t="e">
        <f t="shared" si="131"/>
        <v>#VALUE!</v>
      </c>
      <c r="K204" s="148" t="e">
        <f t="shared" si="132"/>
        <v>#VALUE!</v>
      </c>
      <c r="L204" s="175" t="e">
        <f t="shared" si="162"/>
        <v>#VALUE!</v>
      </c>
      <c r="M204" s="148" t="e">
        <f t="shared" si="133"/>
        <v>#VALUE!</v>
      </c>
      <c r="N204" s="148" t="e">
        <f t="shared" si="134"/>
        <v>#VALUE!</v>
      </c>
      <c r="O204" s="148" t="e">
        <f t="shared" si="135"/>
        <v>#VALUE!</v>
      </c>
      <c r="P204" s="148" t="e">
        <f t="shared" si="136"/>
        <v>#VALUE!</v>
      </c>
      <c r="Q204" s="148" t="e">
        <f t="shared" si="137"/>
        <v>#VALUE!</v>
      </c>
      <c r="R204" s="148" t="e">
        <f t="shared" si="138"/>
        <v>#VALUE!</v>
      </c>
      <c r="S204" s="148" t="e">
        <f t="shared" si="139"/>
        <v>#VALUE!</v>
      </c>
      <c r="T204" s="174" t="e">
        <f t="shared" si="163"/>
        <v>#VALUE!</v>
      </c>
      <c r="U204" s="148" t="e">
        <f t="shared" si="140"/>
        <v>#VALUE!</v>
      </c>
      <c r="V204" s="148" t="e">
        <f t="shared" si="141"/>
        <v>#VALUE!</v>
      </c>
      <c r="W204" s="148" t="e">
        <f t="shared" si="142"/>
        <v>#VALUE!</v>
      </c>
      <c r="X204" s="148" t="e">
        <f t="shared" si="143"/>
        <v>#VALUE!</v>
      </c>
      <c r="Y204" s="148" t="e">
        <f t="shared" si="144"/>
        <v>#VALUE!</v>
      </c>
      <c r="Z204" s="148" t="e">
        <f t="shared" si="145"/>
        <v>#VALUE!</v>
      </c>
      <c r="AA204" s="148" t="e">
        <f t="shared" si="146"/>
        <v>#VALUE!</v>
      </c>
      <c r="AB204" s="24" t="e">
        <f t="shared" si="164"/>
        <v>#VALUE!</v>
      </c>
      <c r="AC204" s="148" t="e">
        <f t="shared" si="147"/>
        <v>#VALUE!</v>
      </c>
      <c r="AD204" s="148" t="e">
        <f t="shared" si="148"/>
        <v>#VALUE!</v>
      </c>
      <c r="AE204" s="148" t="e">
        <f t="shared" si="149"/>
        <v>#VALUE!</v>
      </c>
      <c r="AF204" s="148" t="e">
        <f t="shared" si="150"/>
        <v>#VALUE!</v>
      </c>
      <c r="AG204" s="148" t="e">
        <f t="shared" si="151"/>
        <v>#VALUE!</v>
      </c>
      <c r="AH204" s="148" t="e">
        <f t="shared" si="152"/>
        <v>#VALUE!</v>
      </c>
      <c r="AI204" s="148" t="e">
        <f t="shared" si="153"/>
        <v>#VALUE!</v>
      </c>
      <c r="AJ204" s="20" t="e">
        <f t="shared" si="165"/>
        <v>#VALUE!</v>
      </c>
      <c r="AK204" s="148" t="e">
        <f t="shared" si="154"/>
        <v>#VALUE!</v>
      </c>
      <c r="AL204" s="148" t="e">
        <f t="shared" si="155"/>
        <v>#VALUE!</v>
      </c>
      <c r="AM204" s="148" t="e">
        <f t="shared" si="156"/>
        <v>#VALUE!</v>
      </c>
      <c r="AN204" s="148" t="e">
        <f t="shared" si="157"/>
        <v>#VALUE!</v>
      </c>
      <c r="AO204" s="148" t="e">
        <f t="shared" si="158"/>
        <v>#VALUE!</v>
      </c>
      <c r="AP204" s="148" t="e">
        <f t="shared" si="159"/>
        <v>#VALUE!</v>
      </c>
      <c r="AQ204" s="148" t="e">
        <f t="shared" si="160"/>
        <v>#VALUE!</v>
      </c>
      <c r="AR204" s="17" t="e">
        <f t="shared" si="166"/>
        <v>#VALUE!</v>
      </c>
      <c r="AS204" s="148" t="e">
        <f t="shared" si="161"/>
        <v>#VALUE!</v>
      </c>
      <c r="AT204" s="181" t="e">
        <f>INDEX('stock fisico '!N:N, MATCH(B204, 'stock fisico '!B:B, 0))</f>
        <v>#N/A</v>
      </c>
      <c r="AU204" s="179" t="e">
        <f>INDEX('stock fisico '!D:D, MATCH(B204, 'stock fisico '!B:B, 0))</f>
        <v>#N/A</v>
      </c>
      <c r="AV204" s="177" t="e">
        <f>INDEX('stock fisico '!L:L, MATCH(B204, 'stock fisico '!B:B, 0))</f>
        <v>#N/A</v>
      </c>
    </row>
    <row r="205" spans="1:48" x14ac:dyDescent="0.25">
      <c r="A205" s="181" t="e">
        <f>INDEX('stock fisico '!M:M, MATCH(B205, 'stock fisico '!B:B, 0))</f>
        <v>#N/A</v>
      </c>
      <c r="C205" s="179" t="e">
        <f>INDEX('stock fisico '!C:C, MATCH(B205, 'stock fisico '!B:B, 0))</f>
        <v>#N/A</v>
      </c>
      <c r="D205" s="178" t="e">
        <f>INDEX('stock fisico '!I:I, MATCH(B205, 'stock fisico '!B:B, 0))</f>
        <v>#N/A</v>
      </c>
      <c r="E205" s="173" t="e">
        <f t="shared" si="167"/>
        <v>#VALUE!</v>
      </c>
      <c r="F205" s="148" t="e">
        <f t="shared" si="127"/>
        <v>#VALUE!</v>
      </c>
      <c r="G205" s="148" t="e">
        <f t="shared" si="128"/>
        <v>#VALUE!</v>
      </c>
      <c r="H205" s="148" t="e">
        <f t="shared" si="129"/>
        <v>#VALUE!</v>
      </c>
      <c r="I205" s="148" t="e">
        <f t="shared" si="130"/>
        <v>#VALUE!</v>
      </c>
      <c r="J205" s="148" t="e">
        <f t="shared" si="131"/>
        <v>#VALUE!</v>
      </c>
      <c r="K205" s="148" t="e">
        <f t="shared" si="132"/>
        <v>#VALUE!</v>
      </c>
      <c r="L205" s="175" t="e">
        <f t="shared" si="162"/>
        <v>#VALUE!</v>
      </c>
      <c r="M205" s="148" t="e">
        <f t="shared" si="133"/>
        <v>#VALUE!</v>
      </c>
      <c r="N205" s="148" t="e">
        <f t="shared" si="134"/>
        <v>#VALUE!</v>
      </c>
      <c r="O205" s="148" t="e">
        <f t="shared" si="135"/>
        <v>#VALUE!</v>
      </c>
      <c r="P205" s="148" t="e">
        <f t="shared" si="136"/>
        <v>#VALUE!</v>
      </c>
      <c r="Q205" s="148" t="e">
        <f t="shared" si="137"/>
        <v>#VALUE!</v>
      </c>
      <c r="R205" s="148" t="e">
        <f t="shared" si="138"/>
        <v>#VALUE!</v>
      </c>
      <c r="S205" s="148" t="e">
        <f t="shared" si="139"/>
        <v>#VALUE!</v>
      </c>
      <c r="T205" s="174" t="e">
        <f t="shared" si="163"/>
        <v>#VALUE!</v>
      </c>
      <c r="U205" s="148" t="e">
        <f t="shared" si="140"/>
        <v>#VALUE!</v>
      </c>
      <c r="V205" s="148" t="e">
        <f t="shared" si="141"/>
        <v>#VALUE!</v>
      </c>
      <c r="W205" s="148" t="e">
        <f t="shared" si="142"/>
        <v>#VALUE!</v>
      </c>
      <c r="X205" s="148" t="e">
        <f t="shared" si="143"/>
        <v>#VALUE!</v>
      </c>
      <c r="Y205" s="148" t="e">
        <f t="shared" si="144"/>
        <v>#VALUE!</v>
      </c>
      <c r="Z205" s="148" t="e">
        <f t="shared" si="145"/>
        <v>#VALUE!</v>
      </c>
      <c r="AA205" s="148" t="e">
        <f t="shared" si="146"/>
        <v>#VALUE!</v>
      </c>
      <c r="AB205" s="24" t="e">
        <f t="shared" si="164"/>
        <v>#VALUE!</v>
      </c>
      <c r="AC205" s="148" t="e">
        <f t="shared" si="147"/>
        <v>#VALUE!</v>
      </c>
      <c r="AD205" s="148" t="e">
        <f t="shared" si="148"/>
        <v>#VALUE!</v>
      </c>
      <c r="AE205" s="148" t="e">
        <f t="shared" si="149"/>
        <v>#VALUE!</v>
      </c>
      <c r="AF205" s="148" t="e">
        <f t="shared" si="150"/>
        <v>#VALUE!</v>
      </c>
      <c r="AG205" s="148" t="e">
        <f t="shared" si="151"/>
        <v>#VALUE!</v>
      </c>
      <c r="AH205" s="148" t="e">
        <f t="shared" si="152"/>
        <v>#VALUE!</v>
      </c>
      <c r="AI205" s="148" t="e">
        <f t="shared" si="153"/>
        <v>#VALUE!</v>
      </c>
      <c r="AJ205" s="20" t="e">
        <f t="shared" si="165"/>
        <v>#VALUE!</v>
      </c>
      <c r="AK205" s="148" t="e">
        <f t="shared" si="154"/>
        <v>#VALUE!</v>
      </c>
      <c r="AL205" s="148" t="e">
        <f t="shared" si="155"/>
        <v>#VALUE!</v>
      </c>
      <c r="AM205" s="148" t="e">
        <f t="shared" si="156"/>
        <v>#VALUE!</v>
      </c>
      <c r="AN205" s="148" t="e">
        <f t="shared" si="157"/>
        <v>#VALUE!</v>
      </c>
      <c r="AO205" s="148" t="e">
        <f t="shared" si="158"/>
        <v>#VALUE!</v>
      </c>
      <c r="AP205" s="148" t="e">
        <f t="shared" si="159"/>
        <v>#VALUE!</v>
      </c>
      <c r="AQ205" s="148" t="e">
        <f t="shared" si="160"/>
        <v>#VALUE!</v>
      </c>
      <c r="AR205" s="17" t="e">
        <f t="shared" si="166"/>
        <v>#VALUE!</v>
      </c>
      <c r="AS205" s="148" t="e">
        <f t="shared" si="161"/>
        <v>#VALUE!</v>
      </c>
      <c r="AT205" s="181" t="e">
        <f>INDEX('stock fisico '!N:N, MATCH(B205, 'stock fisico '!B:B, 0))</f>
        <v>#N/A</v>
      </c>
      <c r="AU205" s="179" t="e">
        <f>INDEX('stock fisico '!D:D, MATCH(B205, 'stock fisico '!B:B, 0))</f>
        <v>#N/A</v>
      </c>
      <c r="AV205" s="177" t="e">
        <f>INDEX('stock fisico '!L:L, MATCH(B205, 'stock fisico '!B:B, 0))</f>
        <v>#N/A</v>
      </c>
    </row>
    <row r="206" spans="1:48" x14ac:dyDescent="0.25">
      <c r="A206" s="181" t="e">
        <f>INDEX('stock fisico '!M:M, MATCH(B206, 'stock fisico '!B:B, 0))</f>
        <v>#N/A</v>
      </c>
      <c r="C206" s="179" t="e">
        <f>INDEX('stock fisico '!C:C, MATCH(B206, 'stock fisico '!B:B, 0))</f>
        <v>#N/A</v>
      </c>
      <c r="D206" s="178" t="e">
        <f>INDEX('stock fisico '!I:I, MATCH(B206, 'stock fisico '!B:B, 0))</f>
        <v>#N/A</v>
      </c>
      <c r="E206" s="173" t="e">
        <f t="shared" si="167"/>
        <v>#VALUE!</v>
      </c>
      <c r="F206" s="148" t="e">
        <f t="shared" si="127"/>
        <v>#VALUE!</v>
      </c>
      <c r="G206" s="148" t="e">
        <f t="shared" si="128"/>
        <v>#VALUE!</v>
      </c>
      <c r="H206" s="148" t="e">
        <f t="shared" si="129"/>
        <v>#VALUE!</v>
      </c>
      <c r="I206" s="148" t="e">
        <f t="shared" si="130"/>
        <v>#VALUE!</v>
      </c>
      <c r="J206" s="148" t="e">
        <f t="shared" si="131"/>
        <v>#VALUE!</v>
      </c>
      <c r="K206" s="148" t="e">
        <f t="shared" si="132"/>
        <v>#VALUE!</v>
      </c>
      <c r="L206" s="175" t="e">
        <f t="shared" si="162"/>
        <v>#VALUE!</v>
      </c>
      <c r="M206" s="148" t="e">
        <f t="shared" si="133"/>
        <v>#VALUE!</v>
      </c>
      <c r="N206" s="148" t="e">
        <f t="shared" si="134"/>
        <v>#VALUE!</v>
      </c>
      <c r="O206" s="148" t="e">
        <f t="shared" si="135"/>
        <v>#VALUE!</v>
      </c>
      <c r="P206" s="148" t="e">
        <f t="shared" si="136"/>
        <v>#VALUE!</v>
      </c>
      <c r="Q206" s="148" t="e">
        <f t="shared" si="137"/>
        <v>#VALUE!</v>
      </c>
      <c r="R206" s="148" t="e">
        <f t="shared" si="138"/>
        <v>#VALUE!</v>
      </c>
      <c r="S206" s="148" t="e">
        <f t="shared" si="139"/>
        <v>#VALUE!</v>
      </c>
      <c r="T206" s="174" t="e">
        <f t="shared" si="163"/>
        <v>#VALUE!</v>
      </c>
      <c r="U206" s="148" t="e">
        <f t="shared" si="140"/>
        <v>#VALUE!</v>
      </c>
      <c r="V206" s="148" t="e">
        <f t="shared" si="141"/>
        <v>#VALUE!</v>
      </c>
      <c r="W206" s="148" t="e">
        <f t="shared" si="142"/>
        <v>#VALUE!</v>
      </c>
      <c r="X206" s="148" t="e">
        <f t="shared" si="143"/>
        <v>#VALUE!</v>
      </c>
      <c r="Y206" s="148" t="e">
        <f t="shared" si="144"/>
        <v>#VALUE!</v>
      </c>
      <c r="Z206" s="148" t="e">
        <f t="shared" si="145"/>
        <v>#VALUE!</v>
      </c>
      <c r="AA206" s="148" t="e">
        <f t="shared" si="146"/>
        <v>#VALUE!</v>
      </c>
      <c r="AB206" s="24" t="e">
        <f t="shared" si="164"/>
        <v>#VALUE!</v>
      </c>
      <c r="AC206" s="148" t="e">
        <f t="shared" si="147"/>
        <v>#VALUE!</v>
      </c>
      <c r="AD206" s="148" t="e">
        <f t="shared" si="148"/>
        <v>#VALUE!</v>
      </c>
      <c r="AE206" s="148" t="e">
        <f t="shared" si="149"/>
        <v>#VALUE!</v>
      </c>
      <c r="AF206" s="148" t="e">
        <f t="shared" si="150"/>
        <v>#VALUE!</v>
      </c>
      <c r="AG206" s="148" t="e">
        <f t="shared" si="151"/>
        <v>#VALUE!</v>
      </c>
      <c r="AH206" s="148" t="e">
        <f t="shared" si="152"/>
        <v>#VALUE!</v>
      </c>
      <c r="AI206" s="148" t="e">
        <f t="shared" si="153"/>
        <v>#VALUE!</v>
      </c>
      <c r="AJ206" s="20" t="e">
        <f t="shared" si="165"/>
        <v>#VALUE!</v>
      </c>
      <c r="AK206" s="148" t="e">
        <f t="shared" si="154"/>
        <v>#VALUE!</v>
      </c>
      <c r="AL206" s="148" t="e">
        <f t="shared" si="155"/>
        <v>#VALUE!</v>
      </c>
      <c r="AM206" s="148" t="e">
        <f t="shared" si="156"/>
        <v>#VALUE!</v>
      </c>
      <c r="AN206" s="148" t="e">
        <f t="shared" si="157"/>
        <v>#VALUE!</v>
      </c>
      <c r="AO206" s="148" t="e">
        <f t="shared" si="158"/>
        <v>#VALUE!</v>
      </c>
      <c r="AP206" s="148" t="e">
        <f t="shared" si="159"/>
        <v>#VALUE!</v>
      </c>
      <c r="AQ206" s="148" t="e">
        <f t="shared" si="160"/>
        <v>#VALUE!</v>
      </c>
      <c r="AR206" s="17" t="e">
        <f t="shared" si="166"/>
        <v>#VALUE!</v>
      </c>
      <c r="AS206" s="148" t="e">
        <f t="shared" si="161"/>
        <v>#VALUE!</v>
      </c>
      <c r="AT206" s="181" t="e">
        <f>INDEX('stock fisico '!N:N, MATCH(B206, 'stock fisico '!B:B, 0))</f>
        <v>#N/A</v>
      </c>
      <c r="AU206" s="179" t="e">
        <f>INDEX('stock fisico '!D:D, MATCH(B206, 'stock fisico '!B:B, 0))</f>
        <v>#N/A</v>
      </c>
      <c r="AV206" s="177" t="e">
        <f>INDEX('stock fisico '!L:L, MATCH(B206, 'stock fisico '!B:B, 0))</f>
        <v>#N/A</v>
      </c>
    </row>
    <row r="207" spans="1:48" x14ac:dyDescent="0.25">
      <c r="A207" s="181" t="e">
        <f>INDEX('stock fisico '!M:M, MATCH(B207, 'stock fisico '!B:B, 0))</f>
        <v>#N/A</v>
      </c>
      <c r="C207" s="179" t="e">
        <f>INDEX('stock fisico '!C:C, MATCH(B207, 'stock fisico '!B:B, 0))</f>
        <v>#N/A</v>
      </c>
      <c r="D207" s="178" t="e">
        <f>INDEX('stock fisico '!I:I, MATCH(B207, 'stock fisico '!B:B, 0))</f>
        <v>#N/A</v>
      </c>
      <c r="E207" s="173" t="e">
        <f t="shared" si="167"/>
        <v>#VALUE!</v>
      </c>
      <c r="F207" s="148" t="e">
        <f t="shared" si="127"/>
        <v>#VALUE!</v>
      </c>
      <c r="G207" s="148" t="e">
        <f t="shared" si="128"/>
        <v>#VALUE!</v>
      </c>
      <c r="H207" s="148" t="e">
        <f t="shared" si="129"/>
        <v>#VALUE!</v>
      </c>
      <c r="I207" s="148" t="e">
        <f t="shared" si="130"/>
        <v>#VALUE!</v>
      </c>
      <c r="J207" s="148" t="e">
        <f t="shared" si="131"/>
        <v>#VALUE!</v>
      </c>
      <c r="K207" s="148" t="e">
        <f t="shared" si="132"/>
        <v>#VALUE!</v>
      </c>
      <c r="L207" s="175" t="e">
        <f t="shared" si="162"/>
        <v>#VALUE!</v>
      </c>
      <c r="M207" s="148" t="e">
        <f t="shared" si="133"/>
        <v>#VALUE!</v>
      </c>
      <c r="N207" s="148" t="e">
        <f t="shared" si="134"/>
        <v>#VALUE!</v>
      </c>
      <c r="O207" s="148" t="e">
        <f t="shared" si="135"/>
        <v>#VALUE!</v>
      </c>
      <c r="P207" s="148" t="e">
        <f t="shared" si="136"/>
        <v>#VALUE!</v>
      </c>
      <c r="Q207" s="148" t="e">
        <f t="shared" si="137"/>
        <v>#VALUE!</v>
      </c>
      <c r="R207" s="148" t="e">
        <f t="shared" si="138"/>
        <v>#VALUE!</v>
      </c>
      <c r="S207" s="148" t="e">
        <f t="shared" si="139"/>
        <v>#VALUE!</v>
      </c>
      <c r="T207" s="174" t="e">
        <f t="shared" si="163"/>
        <v>#VALUE!</v>
      </c>
      <c r="U207" s="148" t="e">
        <f t="shared" si="140"/>
        <v>#VALUE!</v>
      </c>
      <c r="V207" s="148" t="e">
        <f t="shared" si="141"/>
        <v>#VALUE!</v>
      </c>
      <c r="W207" s="148" t="e">
        <f t="shared" si="142"/>
        <v>#VALUE!</v>
      </c>
      <c r="X207" s="148" t="e">
        <f t="shared" si="143"/>
        <v>#VALUE!</v>
      </c>
      <c r="Y207" s="148" t="e">
        <f t="shared" si="144"/>
        <v>#VALUE!</v>
      </c>
      <c r="Z207" s="148" t="e">
        <f t="shared" si="145"/>
        <v>#VALUE!</v>
      </c>
      <c r="AA207" s="148" t="e">
        <f t="shared" si="146"/>
        <v>#VALUE!</v>
      </c>
      <c r="AB207" s="24" t="e">
        <f t="shared" si="164"/>
        <v>#VALUE!</v>
      </c>
      <c r="AC207" s="148" t="e">
        <f t="shared" si="147"/>
        <v>#VALUE!</v>
      </c>
      <c r="AD207" s="148" t="e">
        <f t="shared" si="148"/>
        <v>#VALUE!</v>
      </c>
      <c r="AE207" s="148" t="e">
        <f t="shared" si="149"/>
        <v>#VALUE!</v>
      </c>
      <c r="AF207" s="148" t="e">
        <f t="shared" si="150"/>
        <v>#VALUE!</v>
      </c>
      <c r="AG207" s="148" t="e">
        <f t="shared" si="151"/>
        <v>#VALUE!</v>
      </c>
      <c r="AH207" s="148" t="e">
        <f t="shared" si="152"/>
        <v>#VALUE!</v>
      </c>
      <c r="AI207" s="148" t="e">
        <f t="shared" si="153"/>
        <v>#VALUE!</v>
      </c>
      <c r="AJ207" s="20" t="e">
        <f t="shared" si="165"/>
        <v>#VALUE!</v>
      </c>
      <c r="AK207" s="148" t="e">
        <f t="shared" si="154"/>
        <v>#VALUE!</v>
      </c>
      <c r="AL207" s="148" t="e">
        <f t="shared" si="155"/>
        <v>#VALUE!</v>
      </c>
      <c r="AM207" s="148" t="e">
        <f t="shared" si="156"/>
        <v>#VALUE!</v>
      </c>
      <c r="AN207" s="148" t="e">
        <f t="shared" si="157"/>
        <v>#VALUE!</v>
      </c>
      <c r="AO207" s="148" t="e">
        <f t="shared" si="158"/>
        <v>#VALUE!</v>
      </c>
      <c r="AP207" s="148" t="e">
        <f t="shared" si="159"/>
        <v>#VALUE!</v>
      </c>
      <c r="AQ207" s="148" t="e">
        <f t="shared" si="160"/>
        <v>#VALUE!</v>
      </c>
      <c r="AR207" s="17" t="e">
        <f t="shared" si="166"/>
        <v>#VALUE!</v>
      </c>
      <c r="AS207" s="148" t="e">
        <f t="shared" si="161"/>
        <v>#VALUE!</v>
      </c>
      <c r="AT207" s="181" t="e">
        <f>INDEX('stock fisico '!N:N, MATCH(B207, 'stock fisico '!B:B, 0))</f>
        <v>#N/A</v>
      </c>
      <c r="AU207" s="179" t="e">
        <f>INDEX('stock fisico '!D:D, MATCH(B207, 'stock fisico '!B:B, 0))</f>
        <v>#N/A</v>
      </c>
      <c r="AV207" s="177" t="e">
        <f>INDEX('stock fisico '!L:L, MATCH(B207, 'stock fisico '!B:B, 0))</f>
        <v>#N/A</v>
      </c>
    </row>
    <row r="208" spans="1:48" x14ac:dyDescent="0.25">
      <c r="A208" s="181" t="e">
        <f>INDEX('stock fisico '!M:M, MATCH(B208, 'stock fisico '!B:B, 0))</f>
        <v>#N/A</v>
      </c>
      <c r="C208" s="179" t="e">
        <f>INDEX('stock fisico '!C:C, MATCH(B208, 'stock fisico '!B:B, 0))</f>
        <v>#N/A</v>
      </c>
      <c r="D208" s="178" t="e">
        <f>INDEX('stock fisico '!I:I, MATCH(B208, 'stock fisico '!B:B, 0))</f>
        <v>#N/A</v>
      </c>
      <c r="E208" s="173" t="e">
        <f t="shared" si="167"/>
        <v>#VALUE!</v>
      </c>
      <c r="F208" s="148" t="e">
        <f t="shared" si="127"/>
        <v>#VALUE!</v>
      </c>
      <c r="G208" s="148" t="e">
        <f t="shared" si="128"/>
        <v>#VALUE!</v>
      </c>
      <c r="H208" s="148" t="e">
        <f t="shared" si="129"/>
        <v>#VALUE!</v>
      </c>
      <c r="I208" s="148" t="e">
        <f t="shared" si="130"/>
        <v>#VALUE!</v>
      </c>
      <c r="J208" s="148" t="e">
        <f t="shared" si="131"/>
        <v>#VALUE!</v>
      </c>
      <c r="K208" s="148" t="e">
        <f t="shared" si="132"/>
        <v>#VALUE!</v>
      </c>
      <c r="L208" s="175" t="e">
        <f t="shared" si="162"/>
        <v>#VALUE!</v>
      </c>
      <c r="M208" s="148" t="e">
        <f t="shared" si="133"/>
        <v>#VALUE!</v>
      </c>
      <c r="N208" s="148" t="e">
        <f t="shared" si="134"/>
        <v>#VALUE!</v>
      </c>
      <c r="O208" s="148" t="e">
        <f t="shared" si="135"/>
        <v>#VALUE!</v>
      </c>
      <c r="P208" s="148" t="e">
        <f t="shared" si="136"/>
        <v>#VALUE!</v>
      </c>
      <c r="Q208" s="148" t="e">
        <f t="shared" si="137"/>
        <v>#VALUE!</v>
      </c>
      <c r="R208" s="148" t="e">
        <f t="shared" si="138"/>
        <v>#VALUE!</v>
      </c>
      <c r="S208" s="148" t="e">
        <f t="shared" si="139"/>
        <v>#VALUE!</v>
      </c>
      <c r="T208" s="174" t="e">
        <f t="shared" si="163"/>
        <v>#VALUE!</v>
      </c>
      <c r="U208" s="148" t="e">
        <f t="shared" si="140"/>
        <v>#VALUE!</v>
      </c>
      <c r="V208" s="148" t="e">
        <f t="shared" si="141"/>
        <v>#VALUE!</v>
      </c>
      <c r="W208" s="148" t="e">
        <f t="shared" si="142"/>
        <v>#VALUE!</v>
      </c>
      <c r="X208" s="148" t="e">
        <f t="shared" si="143"/>
        <v>#VALUE!</v>
      </c>
      <c r="Y208" s="148" t="e">
        <f t="shared" si="144"/>
        <v>#VALUE!</v>
      </c>
      <c r="Z208" s="148" t="e">
        <f t="shared" si="145"/>
        <v>#VALUE!</v>
      </c>
      <c r="AA208" s="148" t="e">
        <f t="shared" si="146"/>
        <v>#VALUE!</v>
      </c>
      <c r="AB208" s="24" t="e">
        <f t="shared" si="164"/>
        <v>#VALUE!</v>
      </c>
      <c r="AC208" s="148" t="e">
        <f t="shared" si="147"/>
        <v>#VALUE!</v>
      </c>
      <c r="AD208" s="148" t="e">
        <f t="shared" si="148"/>
        <v>#VALUE!</v>
      </c>
      <c r="AE208" s="148" t="e">
        <f t="shared" si="149"/>
        <v>#VALUE!</v>
      </c>
      <c r="AF208" s="148" t="e">
        <f t="shared" si="150"/>
        <v>#VALUE!</v>
      </c>
      <c r="AG208" s="148" t="e">
        <f t="shared" si="151"/>
        <v>#VALUE!</v>
      </c>
      <c r="AH208" s="148" t="e">
        <f t="shared" si="152"/>
        <v>#VALUE!</v>
      </c>
      <c r="AI208" s="148" t="e">
        <f t="shared" si="153"/>
        <v>#VALUE!</v>
      </c>
      <c r="AJ208" s="20" t="e">
        <f t="shared" si="165"/>
        <v>#VALUE!</v>
      </c>
      <c r="AK208" s="148" t="e">
        <f t="shared" si="154"/>
        <v>#VALUE!</v>
      </c>
      <c r="AL208" s="148" t="e">
        <f t="shared" si="155"/>
        <v>#VALUE!</v>
      </c>
      <c r="AM208" s="148" t="e">
        <f t="shared" si="156"/>
        <v>#VALUE!</v>
      </c>
      <c r="AN208" s="148" t="e">
        <f t="shared" si="157"/>
        <v>#VALUE!</v>
      </c>
      <c r="AO208" s="148" t="e">
        <f t="shared" si="158"/>
        <v>#VALUE!</v>
      </c>
      <c r="AP208" s="148" t="e">
        <f t="shared" si="159"/>
        <v>#VALUE!</v>
      </c>
      <c r="AQ208" s="148" t="e">
        <f t="shared" si="160"/>
        <v>#VALUE!</v>
      </c>
      <c r="AR208" s="17" t="e">
        <f t="shared" si="166"/>
        <v>#VALUE!</v>
      </c>
      <c r="AS208" s="148" t="e">
        <f t="shared" si="161"/>
        <v>#VALUE!</v>
      </c>
      <c r="AT208" s="181" t="e">
        <f>INDEX('stock fisico '!N:N, MATCH(B208, 'stock fisico '!B:B, 0))</f>
        <v>#N/A</v>
      </c>
      <c r="AU208" s="179" t="e">
        <f>INDEX('stock fisico '!D:D, MATCH(B208, 'stock fisico '!B:B, 0))</f>
        <v>#N/A</v>
      </c>
      <c r="AV208" s="177" t="e">
        <f>INDEX('stock fisico '!L:L, MATCH(B208, 'stock fisico '!B:B, 0))</f>
        <v>#N/A</v>
      </c>
    </row>
    <row r="209" spans="1:48" x14ac:dyDescent="0.25">
      <c r="A209" s="181" t="e">
        <f>INDEX('stock fisico '!M:M, MATCH(B209, 'stock fisico '!B:B, 0))</f>
        <v>#N/A</v>
      </c>
      <c r="C209" s="179" t="e">
        <f>INDEX('stock fisico '!C:C, MATCH(B209, 'stock fisico '!B:B, 0))</f>
        <v>#N/A</v>
      </c>
      <c r="D209" s="178" t="e">
        <f>INDEX('stock fisico '!I:I, MATCH(B209, 'stock fisico '!B:B, 0))</f>
        <v>#N/A</v>
      </c>
      <c r="E209" s="173" t="e">
        <f t="shared" si="167"/>
        <v>#VALUE!</v>
      </c>
      <c r="F209" s="148" t="e">
        <f t="shared" si="127"/>
        <v>#VALUE!</v>
      </c>
      <c r="G209" s="148" t="e">
        <f t="shared" si="128"/>
        <v>#VALUE!</v>
      </c>
      <c r="H209" s="148" t="e">
        <f t="shared" si="129"/>
        <v>#VALUE!</v>
      </c>
      <c r="I209" s="148" t="e">
        <f t="shared" si="130"/>
        <v>#VALUE!</v>
      </c>
      <c r="J209" s="148" t="e">
        <f t="shared" si="131"/>
        <v>#VALUE!</v>
      </c>
      <c r="K209" s="148" t="e">
        <f t="shared" si="132"/>
        <v>#VALUE!</v>
      </c>
      <c r="L209" s="175" t="e">
        <f t="shared" si="162"/>
        <v>#VALUE!</v>
      </c>
      <c r="M209" s="148" t="e">
        <f t="shared" si="133"/>
        <v>#VALUE!</v>
      </c>
      <c r="N209" s="148" t="e">
        <f t="shared" si="134"/>
        <v>#VALUE!</v>
      </c>
      <c r="O209" s="148" t="e">
        <f t="shared" si="135"/>
        <v>#VALUE!</v>
      </c>
      <c r="P209" s="148" t="e">
        <f t="shared" si="136"/>
        <v>#VALUE!</v>
      </c>
      <c r="Q209" s="148" t="e">
        <f t="shared" si="137"/>
        <v>#VALUE!</v>
      </c>
      <c r="R209" s="148" t="e">
        <f t="shared" si="138"/>
        <v>#VALUE!</v>
      </c>
      <c r="S209" s="148" t="e">
        <f t="shared" si="139"/>
        <v>#VALUE!</v>
      </c>
      <c r="T209" s="174" t="e">
        <f t="shared" si="163"/>
        <v>#VALUE!</v>
      </c>
      <c r="U209" s="148" t="e">
        <f t="shared" si="140"/>
        <v>#VALUE!</v>
      </c>
      <c r="V209" s="148" t="e">
        <f t="shared" si="141"/>
        <v>#VALUE!</v>
      </c>
      <c r="W209" s="148" t="e">
        <f t="shared" si="142"/>
        <v>#VALUE!</v>
      </c>
      <c r="X209" s="148" t="e">
        <f t="shared" si="143"/>
        <v>#VALUE!</v>
      </c>
      <c r="Y209" s="148" t="e">
        <f t="shared" si="144"/>
        <v>#VALUE!</v>
      </c>
      <c r="Z209" s="148" t="e">
        <f t="shared" si="145"/>
        <v>#VALUE!</v>
      </c>
      <c r="AA209" s="148" t="e">
        <f t="shared" si="146"/>
        <v>#VALUE!</v>
      </c>
      <c r="AB209" s="24" t="e">
        <f t="shared" si="164"/>
        <v>#VALUE!</v>
      </c>
      <c r="AC209" s="148" t="e">
        <f t="shared" si="147"/>
        <v>#VALUE!</v>
      </c>
      <c r="AD209" s="148" t="e">
        <f t="shared" si="148"/>
        <v>#VALUE!</v>
      </c>
      <c r="AE209" s="148" t="e">
        <f t="shared" si="149"/>
        <v>#VALUE!</v>
      </c>
      <c r="AF209" s="148" t="e">
        <f t="shared" si="150"/>
        <v>#VALUE!</v>
      </c>
      <c r="AG209" s="148" t="e">
        <f t="shared" si="151"/>
        <v>#VALUE!</v>
      </c>
      <c r="AH209" s="148" t="e">
        <f t="shared" si="152"/>
        <v>#VALUE!</v>
      </c>
      <c r="AI209" s="148" t="e">
        <f t="shared" si="153"/>
        <v>#VALUE!</v>
      </c>
      <c r="AJ209" s="20" t="e">
        <f t="shared" si="165"/>
        <v>#VALUE!</v>
      </c>
      <c r="AK209" s="148" t="e">
        <f t="shared" si="154"/>
        <v>#VALUE!</v>
      </c>
      <c r="AL209" s="148" t="e">
        <f t="shared" si="155"/>
        <v>#VALUE!</v>
      </c>
      <c r="AM209" s="148" t="e">
        <f t="shared" si="156"/>
        <v>#VALUE!</v>
      </c>
      <c r="AN209" s="148" t="e">
        <f t="shared" si="157"/>
        <v>#VALUE!</v>
      </c>
      <c r="AO209" s="148" t="e">
        <f t="shared" si="158"/>
        <v>#VALUE!</v>
      </c>
      <c r="AP209" s="148" t="e">
        <f t="shared" si="159"/>
        <v>#VALUE!</v>
      </c>
      <c r="AQ209" s="148" t="e">
        <f t="shared" si="160"/>
        <v>#VALUE!</v>
      </c>
      <c r="AR209" s="17" t="e">
        <f t="shared" si="166"/>
        <v>#VALUE!</v>
      </c>
      <c r="AS209" s="148" t="e">
        <f t="shared" si="161"/>
        <v>#VALUE!</v>
      </c>
      <c r="AT209" s="181" t="e">
        <f>INDEX('stock fisico '!N:N, MATCH(B209, 'stock fisico '!B:B, 0))</f>
        <v>#N/A</v>
      </c>
      <c r="AU209" s="179" t="e">
        <f>INDEX('stock fisico '!D:D, MATCH(B209, 'stock fisico '!B:B, 0))</f>
        <v>#N/A</v>
      </c>
      <c r="AV209" s="177" t="e">
        <f>INDEX('stock fisico '!L:L, MATCH(B209, 'stock fisico '!B:B, 0))</f>
        <v>#N/A</v>
      </c>
    </row>
    <row r="210" spans="1:48" x14ac:dyDescent="0.25">
      <c r="A210" s="181" t="e">
        <f>INDEX('stock fisico '!M:M, MATCH(B210, 'stock fisico '!B:B, 0))</f>
        <v>#N/A</v>
      </c>
      <c r="C210" s="179" t="e">
        <f>INDEX('stock fisico '!C:C, MATCH(B210, 'stock fisico '!B:B, 0))</f>
        <v>#N/A</v>
      </c>
      <c r="D210" s="178" t="e">
        <f>INDEX('stock fisico '!I:I, MATCH(B210, 'stock fisico '!B:B, 0))</f>
        <v>#N/A</v>
      </c>
      <c r="E210" s="173" t="e">
        <f t="shared" si="167"/>
        <v>#VALUE!</v>
      </c>
      <c r="F210" s="148" t="e">
        <f t="shared" si="127"/>
        <v>#VALUE!</v>
      </c>
      <c r="G210" s="148" t="e">
        <f t="shared" si="128"/>
        <v>#VALUE!</v>
      </c>
      <c r="H210" s="148" t="e">
        <f t="shared" si="129"/>
        <v>#VALUE!</v>
      </c>
      <c r="I210" s="148" t="e">
        <f t="shared" si="130"/>
        <v>#VALUE!</v>
      </c>
      <c r="J210" s="148" t="e">
        <f t="shared" si="131"/>
        <v>#VALUE!</v>
      </c>
      <c r="K210" s="148" t="e">
        <f t="shared" si="132"/>
        <v>#VALUE!</v>
      </c>
      <c r="L210" s="175" t="e">
        <f t="shared" si="162"/>
        <v>#VALUE!</v>
      </c>
      <c r="M210" s="148" t="e">
        <f t="shared" si="133"/>
        <v>#VALUE!</v>
      </c>
      <c r="N210" s="148" t="e">
        <f t="shared" si="134"/>
        <v>#VALUE!</v>
      </c>
      <c r="O210" s="148" t="e">
        <f t="shared" si="135"/>
        <v>#VALUE!</v>
      </c>
      <c r="P210" s="148" t="e">
        <f t="shared" si="136"/>
        <v>#VALUE!</v>
      </c>
      <c r="Q210" s="148" t="e">
        <f t="shared" si="137"/>
        <v>#VALUE!</v>
      </c>
      <c r="R210" s="148" t="e">
        <f t="shared" si="138"/>
        <v>#VALUE!</v>
      </c>
      <c r="S210" s="148" t="e">
        <f t="shared" si="139"/>
        <v>#VALUE!</v>
      </c>
      <c r="T210" s="174" t="e">
        <f t="shared" si="163"/>
        <v>#VALUE!</v>
      </c>
      <c r="U210" s="148" t="e">
        <f t="shared" si="140"/>
        <v>#VALUE!</v>
      </c>
      <c r="V210" s="148" t="e">
        <f t="shared" si="141"/>
        <v>#VALUE!</v>
      </c>
      <c r="W210" s="148" t="e">
        <f t="shared" si="142"/>
        <v>#VALUE!</v>
      </c>
      <c r="X210" s="148" t="e">
        <f t="shared" si="143"/>
        <v>#VALUE!</v>
      </c>
      <c r="Y210" s="148" t="e">
        <f t="shared" si="144"/>
        <v>#VALUE!</v>
      </c>
      <c r="Z210" s="148" t="e">
        <f t="shared" si="145"/>
        <v>#VALUE!</v>
      </c>
      <c r="AA210" s="148" t="e">
        <f t="shared" si="146"/>
        <v>#VALUE!</v>
      </c>
      <c r="AB210" s="24" t="e">
        <f t="shared" si="164"/>
        <v>#VALUE!</v>
      </c>
      <c r="AC210" s="148" t="e">
        <f t="shared" si="147"/>
        <v>#VALUE!</v>
      </c>
      <c r="AD210" s="148" t="e">
        <f t="shared" si="148"/>
        <v>#VALUE!</v>
      </c>
      <c r="AE210" s="148" t="e">
        <f t="shared" si="149"/>
        <v>#VALUE!</v>
      </c>
      <c r="AF210" s="148" t="e">
        <f t="shared" si="150"/>
        <v>#VALUE!</v>
      </c>
      <c r="AG210" s="148" t="e">
        <f t="shared" si="151"/>
        <v>#VALUE!</v>
      </c>
      <c r="AH210" s="148" t="e">
        <f t="shared" si="152"/>
        <v>#VALUE!</v>
      </c>
      <c r="AI210" s="148" t="e">
        <f t="shared" si="153"/>
        <v>#VALUE!</v>
      </c>
      <c r="AJ210" s="20" t="e">
        <f t="shared" si="165"/>
        <v>#VALUE!</v>
      </c>
      <c r="AK210" s="148" t="e">
        <f t="shared" si="154"/>
        <v>#VALUE!</v>
      </c>
      <c r="AL210" s="148" t="e">
        <f t="shared" si="155"/>
        <v>#VALUE!</v>
      </c>
      <c r="AM210" s="148" t="e">
        <f t="shared" si="156"/>
        <v>#VALUE!</v>
      </c>
      <c r="AN210" s="148" t="e">
        <f t="shared" si="157"/>
        <v>#VALUE!</v>
      </c>
      <c r="AO210" s="148" t="e">
        <f t="shared" si="158"/>
        <v>#VALUE!</v>
      </c>
      <c r="AP210" s="148" t="e">
        <f t="shared" si="159"/>
        <v>#VALUE!</v>
      </c>
      <c r="AQ210" s="148" t="e">
        <f t="shared" si="160"/>
        <v>#VALUE!</v>
      </c>
      <c r="AR210" s="17" t="e">
        <f t="shared" si="166"/>
        <v>#VALUE!</v>
      </c>
      <c r="AS210" s="148" t="e">
        <f t="shared" si="161"/>
        <v>#VALUE!</v>
      </c>
      <c r="AT210" s="181" t="e">
        <f>INDEX('stock fisico '!N:N, MATCH(B210, 'stock fisico '!B:B, 0))</f>
        <v>#N/A</v>
      </c>
      <c r="AU210" s="179" t="e">
        <f>INDEX('stock fisico '!D:D, MATCH(B210, 'stock fisico '!B:B, 0))</f>
        <v>#N/A</v>
      </c>
      <c r="AV210" s="177" t="e">
        <f>INDEX('stock fisico '!L:L, MATCH(B210, 'stock fisico '!B:B, 0))</f>
        <v>#N/A</v>
      </c>
    </row>
    <row r="211" spans="1:48" x14ac:dyDescent="0.25">
      <c r="A211" s="181" t="e">
        <f>INDEX('stock fisico '!M:M, MATCH(B211, 'stock fisico '!B:B, 0))</f>
        <v>#N/A</v>
      </c>
      <c r="C211" s="179" t="e">
        <f>INDEX('stock fisico '!C:C, MATCH(B211, 'stock fisico '!B:B, 0))</f>
        <v>#N/A</v>
      </c>
      <c r="D211" s="178" t="e">
        <f>INDEX('stock fisico '!I:I, MATCH(B211, 'stock fisico '!B:B, 0))</f>
        <v>#N/A</v>
      </c>
      <c r="E211" s="173" t="e">
        <f t="shared" si="167"/>
        <v>#VALUE!</v>
      </c>
      <c r="F211" s="148" t="e">
        <f t="shared" si="127"/>
        <v>#VALUE!</v>
      </c>
      <c r="G211" s="148" t="e">
        <f t="shared" si="128"/>
        <v>#VALUE!</v>
      </c>
      <c r="H211" s="148" t="e">
        <f t="shared" si="129"/>
        <v>#VALUE!</v>
      </c>
      <c r="I211" s="148" t="e">
        <f t="shared" si="130"/>
        <v>#VALUE!</v>
      </c>
      <c r="J211" s="148" t="e">
        <f t="shared" si="131"/>
        <v>#VALUE!</v>
      </c>
      <c r="K211" s="148" t="e">
        <f t="shared" si="132"/>
        <v>#VALUE!</v>
      </c>
      <c r="L211" s="175" t="e">
        <f t="shared" si="162"/>
        <v>#VALUE!</v>
      </c>
      <c r="M211" s="148" t="e">
        <f t="shared" si="133"/>
        <v>#VALUE!</v>
      </c>
      <c r="N211" s="148" t="e">
        <f t="shared" si="134"/>
        <v>#VALUE!</v>
      </c>
      <c r="O211" s="148" t="e">
        <f t="shared" si="135"/>
        <v>#VALUE!</v>
      </c>
      <c r="P211" s="148" t="e">
        <f t="shared" si="136"/>
        <v>#VALUE!</v>
      </c>
      <c r="Q211" s="148" t="e">
        <f t="shared" si="137"/>
        <v>#VALUE!</v>
      </c>
      <c r="R211" s="148" t="e">
        <f t="shared" si="138"/>
        <v>#VALUE!</v>
      </c>
      <c r="S211" s="148" t="e">
        <f t="shared" si="139"/>
        <v>#VALUE!</v>
      </c>
      <c r="T211" s="174" t="e">
        <f t="shared" si="163"/>
        <v>#VALUE!</v>
      </c>
      <c r="U211" s="148" t="e">
        <f t="shared" si="140"/>
        <v>#VALUE!</v>
      </c>
      <c r="V211" s="148" t="e">
        <f t="shared" si="141"/>
        <v>#VALUE!</v>
      </c>
      <c r="W211" s="148" t="e">
        <f t="shared" si="142"/>
        <v>#VALUE!</v>
      </c>
      <c r="X211" s="148" t="e">
        <f t="shared" si="143"/>
        <v>#VALUE!</v>
      </c>
      <c r="Y211" s="148" t="e">
        <f t="shared" si="144"/>
        <v>#VALUE!</v>
      </c>
      <c r="Z211" s="148" t="e">
        <f t="shared" si="145"/>
        <v>#VALUE!</v>
      </c>
      <c r="AA211" s="148" t="e">
        <f t="shared" si="146"/>
        <v>#VALUE!</v>
      </c>
      <c r="AB211" s="24" t="e">
        <f t="shared" si="164"/>
        <v>#VALUE!</v>
      </c>
      <c r="AC211" s="148" t="e">
        <f t="shared" si="147"/>
        <v>#VALUE!</v>
      </c>
      <c r="AD211" s="148" t="e">
        <f t="shared" si="148"/>
        <v>#VALUE!</v>
      </c>
      <c r="AE211" s="148" t="e">
        <f t="shared" si="149"/>
        <v>#VALUE!</v>
      </c>
      <c r="AF211" s="148" t="e">
        <f t="shared" si="150"/>
        <v>#VALUE!</v>
      </c>
      <c r="AG211" s="148" t="e">
        <f t="shared" si="151"/>
        <v>#VALUE!</v>
      </c>
      <c r="AH211" s="148" t="e">
        <f t="shared" si="152"/>
        <v>#VALUE!</v>
      </c>
      <c r="AI211" s="148" t="e">
        <f t="shared" si="153"/>
        <v>#VALUE!</v>
      </c>
      <c r="AJ211" s="20" t="e">
        <f t="shared" si="165"/>
        <v>#VALUE!</v>
      </c>
      <c r="AK211" s="148" t="e">
        <f t="shared" si="154"/>
        <v>#VALUE!</v>
      </c>
      <c r="AL211" s="148" t="e">
        <f t="shared" si="155"/>
        <v>#VALUE!</v>
      </c>
      <c r="AM211" s="148" t="e">
        <f t="shared" si="156"/>
        <v>#VALUE!</v>
      </c>
      <c r="AN211" s="148" t="e">
        <f t="shared" si="157"/>
        <v>#VALUE!</v>
      </c>
      <c r="AO211" s="148" t="e">
        <f t="shared" si="158"/>
        <v>#VALUE!</v>
      </c>
      <c r="AP211" s="148" t="e">
        <f t="shared" si="159"/>
        <v>#VALUE!</v>
      </c>
      <c r="AQ211" s="148" t="e">
        <f t="shared" si="160"/>
        <v>#VALUE!</v>
      </c>
      <c r="AR211" s="17" t="e">
        <f t="shared" si="166"/>
        <v>#VALUE!</v>
      </c>
      <c r="AS211" s="148" t="e">
        <f t="shared" si="161"/>
        <v>#VALUE!</v>
      </c>
      <c r="AT211" s="181" t="e">
        <f>INDEX('stock fisico '!N:N, MATCH(B211, 'stock fisico '!B:B, 0))</f>
        <v>#N/A</v>
      </c>
      <c r="AU211" s="179" t="e">
        <f>INDEX('stock fisico '!D:D, MATCH(B211, 'stock fisico '!B:B, 0))</f>
        <v>#N/A</v>
      </c>
      <c r="AV211" s="177" t="e">
        <f>INDEX('stock fisico '!L:L, MATCH(B211, 'stock fisico '!B:B, 0))</f>
        <v>#N/A</v>
      </c>
    </row>
    <row r="212" spans="1:48" x14ac:dyDescent="0.25">
      <c r="A212" s="181" t="e">
        <f>INDEX('stock fisico '!M:M, MATCH(B212, 'stock fisico '!B:B, 0))</f>
        <v>#N/A</v>
      </c>
      <c r="C212" s="179" t="e">
        <f>INDEX('stock fisico '!C:C, MATCH(B212, 'stock fisico '!B:B, 0))</f>
        <v>#N/A</v>
      </c>
      <c r="D212" s="178" t="e">
        <f>INDEX('stock fisico '!I:I, MATCH(B212, 'stock fisico '!B:B, 0))</f>
        <v>#N/A</v>
      </c>
      <c r="E212" s="173" t="e">
        <f t="shared" si="167"/>
        <v>#VALUE!</v>
      </c>
      <c r="F212" s="148" t="e">
        <f t="shared" si="127"/>
        <v>#VALUE!</v>
      </c>
      <c r="G212" s="148" t="e">
        <f t="shared" si="128"/>
        <v>#VALUE!</v>
      </c>
      <c r="H212" s="148" t="e">
        <f t="shared" si="129"/>
        <v>#VALUE!</v>
      </c>
      <c r="I212" s="148" t="e">
        <f t="shared" si="130"/>
        <v>#VALUE!</v>
      </c>
      <c r="J212" s="148" t="e">
        <f t="shared" si="131"/>
        <v>#VALUE!</v>
      </c>
      <c r="K212" s="148" t="e">
        <f t="shared" si="132"/>
        <v>#VALUE!</v>
      </c>
      <c r="L212" s="175" t="e">
        <f t="shared" si="162"/>
        <v>#VALUE!</v>
      </c>
      <c r="M212" s="148" t="e">
        <f t="shared" si="133"/>
        <v>#VALUE!</v>
      </c>
      <c r="N212" s="148" t="e">
        <f t="shared" si="134"/>
        <v>#VALUE!</v>
      </c>
      <c r="O212" s="148" t="e">
        <f t="shared" si="135"/>
        <v>#VALUE!</v>
      </c>
      <c r="P212" s="148" t="e">
        <f t="shared" si="136"/>
        <v>#VALUE!</v>
      </c>
      <c r="Q212" s="148" t="e">
        <f t="shared" si="137"/>
        <v>#VALUE!</v>
      </c>
      <c r="R212" s="148" t="e">
        <f t="shared" si="138"/>
        <v>#VALUE!</v>
      </c>
      <c r="S212" s="148" t="e">
        <f t="shared" si="139"/>
        <v>#VALUE!</v>
      </c>
      <c r="T212" s="174" t="e">
        <f t="shared" si="163"/>
        <v>#VALUE!</v>
      </c>
      <c r="U212" s="148" t="e">
        <f t="shared" si="140"/>
        <v>#VALUE!</v>
      </c>
      <c r="V212" s="148" t="e">
        <f t="shared" si="141"/>
        <v>#VALUE!</v>
      </c>
      <c r="W212" s="148" t="e">
        <f t="shared" si="142"/>
        <v>#VALUE!</v>
      </c>
      <c r="X212" s="148" t="e">
        <f t="shared" si="143"/>
        <v>#VALUE!</v>
      </c>
      <c r="Y212" s="148" t="e">
        <f t="shared" si="144"/>
        <v>#VALUE!</v>
      </c>
      <c r="Z212" s="148" t="e">
        <f t="shared" si="145"/>
        <v>#VALUE!</v>
      </c>
      <c r="AA212" s="148" t="e">
        <f t="shared" si="146"/>
        <v>#VALUE!</v>
      </c>
      <c r="AB212" s="24" t="e">
        <f t="shared" si="164"/>
        <v>#VALUE!</v>
      </c>
      <c r="AC212" s="148" t="e">
        <f t="shared" si="147"/>
        <v>#VALUE!</v>
      </c>
      <c r="AD212" s="148" t="e">
        <f t="shared" si="148"/>
        <v>#VALUE!</v>
      </c>
      <c r="AE212" s="148" t="e">
        <f t="shared" si="149"/>
        <v>#VALUE!</v>
      </c>
      <c r="AF212" s="148" t="e">
        <f t="shared" si="150"/>
        <v>#VALUE!</v>
      </c>
      <c r="AG212" s="148" t="e">
        <f t="shared" si="151"/>
        <v>#VALUE!</v>
      </c>
      <c r="AH212" s="148" t="e">
        <f t="shared" si="152"/>
        <v>#VALUE!</v>
      </c>
      <c r="AI212" s="148" t="e">
        <f t="shared" si="153"/>
        <v>#VALUE!</v>
      </c>
      <c r="AJ212" s="20" t="e">
        <f t="shared" si="165"/>
        <v>#VALUE!</v>
      </c>
      <c r="AK212" s="148" t="e">
        <f t="shared" si="154"/>
        <v>#VALUE!</v>
      </c>
      <c r="AL212" s="148" t="e">
        <f t="shared" si="155"/>
        <v>#VALUE!</v>
      </c>
      <c r="AM212" s="148" t="e">
        <f t="shared" si="156"/>
        <v>#VALUE!</v>
      </c>
      <c r="AN212" s="148" t="e">
        <f t="shared" si="157"/>
        <v>#VALUE!</v>
      </c>
      <c r="AO212" s="148" t="e">
        <f t="shared" si="158"/>
        <v>#VALUE!</v>
      </c>
      <c r="AP212" s="148" t="e">
        <f t="shared" si="159"/>
        <v>#VALUE!</v>
      </c>
      <c r="AQ212" s="148" t="e">
        <f t="shared" si="160"/>
        <v>#VALUE!</v>
      </c>
      <c r="AR212" s="17" t="e">
        <f t="shared" si="166"/>
        <v>#VALUE!</v>
      </c>
      <c r="AS212" s="148" t="e">
        <f t="shared" si="161"/>
        <v>#VALUE!</v>
      </c>
      <c r="AT212" s="181" t="e">
        <f>INDEX('stock fisico '!N:N, MATCH(B212, 'stock fisico '!B:B, 0))</f>
        <v>#N/A</v>
      </c>
      <c r="AU212" s="179" t="e">
        <f>INDEX('stock fisico '!D:D, MATCH(B212, 'stock fisico '!B:B, 0))</f>
        <v>#N/A</v>
      </c>
      <c r="AV212" s="177" t="e">
        <f>INDEX('stock fisico '!L:L, MATCH(B212, 'stock fisico '!B:B, 0))</f>
        <v>#N/A</v>
      </c>
    </row>
    <row r="213" spans="1:48" x14ac:dyDescent="0.25">
      <c r="A213" s="181" t="e">
        <f>INDEX('stock fisico '!M:M, MATCH(B213, 'stock fisico '!B:B, 0))</f>
        <v>#N/A</v>
      </c>
      <c r="C213" s="179" t="e">
        <f>INDEX('stock fisico '!C:C, MATCH(B213, 'stock fisico '!B:B, 0))</f>
        <v>#N/A</v>
      </c>
      <c r="D213" s="178" t="e">
        <f>INDEX('stock fisico '!I:I, MATCH(B213, 'stock fisico '!B:B, 0))</f>
        <v>#N/A</v>
      </c>
      <c r="E213" s="173" t="e">
        <f t="shared" si="167"/>
        <v>#VALUE!</v>
      </c>
      <c r="F213" s="148" t="e">
        <f t="shared" si="127"/>
        <v>#VALUE!</v>
      </c>
      <c r="G213" s="148" t="e">
        <f t="shared" si="128"/>
        <v>#VALUE!</v>
      </c>
      <c r="H213" s="148" t="e">
        <f t="shared" si="129"/>
        <v>#VALUE!</v>
      </c>
      <c r="I213" s="148" t="e">
        <f t="shared" si="130"/>
        <v>#VALUE!</v>
      </c>
      <c r="J213" s="148" t="e">
        <f t="shared" si="131"/>
        <v>#VALUE!</v>
      </c>
      <c r="K213" s="148" t="e">
        <f t="shared" si="132"/>
        <v>#VALUE!</v>
      </c>
      <c r="L213" s="175" t="e">
        <f t="shared" si="162"/>
        <v>#VALUE!</v>
      </c>
      <c r="M213" s="148" t="e">
        <f t="shared" si="133"/>
        <v>#VALUE!</v>
      </c>
      <c r="N213" s="148" t="e">
        <f t="shared" si="134"/>
        <v>#VALUE!</v>
      </c>
      <c r="O213" s="148" t="e">
        <f t="shared" si="135"/>
        <v>#VALUE!</v>
      </c>
      <c r="P213" s="148" t="e">
        <f t="shared" si="136"/>
        <v>#VALUE!</v>
      </c>
      <c r="Q213" s="148" t="e">
        <f t="shared" si="137"/>
        <v>#VALUE!</v>
      </c>
      <c r="R213" s="148" t="e">
        <f t="shared" si="138"/>
        <v>#VALUE!</v>
      </c>
      <c r="S213" s="148" t="e">
        <f t="shared" si="139"/>
        <v>#VALUE!</v>
      </c>
      <c r="T213" s="174" t="e">
        <f t="shared" si="163"/>
        <v>#VALUE!</v>
      </c>
      <c r="U213" s="148" t="e">
        <f t="shared" si="140"/>
        <v>#VALUE!</v>
      </c>
      <c r="V213" s="148" t="e">
        <f t="shared" si="141"/>
        <v>#VALUE!</v>
      </c>
      <c r="W213" s="148" t="e">
        <f t="shared" si="142"/>
        <v>#VALUE!</v>
      </c>
      <c r="X213" s="148" t="e">
        <f t="shared" si="143"/>
        <v>#VALUE!</v>
      </c>
      <c r="Y213" s="148" t="e">
        <f t="shared" si="144"/>
        <v>#VALUE!</v>
      </c>
      <c r="Z213" s="148" t="e">
        <f t="shared" si="145"/>
        <v>#VALUE!</v>
      </c>
      <c r="AA213" s="148" t="e">
        <f t="shared" si="146"/>
        <v>#VALUE!</v>
      </c>
      <c r="AB213" s="24" t="e">
        <f t="shared" si="164"/>
        <v>#VALUE!</v>
      </c>
      <c r="AC213" s="148" t="e">
        <f t="shared" si="147"/>
        <v>#VALUE!</v>
      </c>
      <c r="AD213" s="148" t="e">
        <f t="shared" si="148"/>
        <v>#VALUE!</v>
      </c>
      <c r="AE213" s="148" t="e">
        <f t="shared" si="149"/>
        <v>#VALUE!</v>
      </c>
      <c r="AF213" s="148" t="e">
        <f t="shared" si="150"/>
        <v>#VALUE!</v>
      </c>
      <c r="AG213" s="148" t="e">
        <f t="shared" si="151"/>
        <v>#VALUE!</v>
      </c>
      <c r="AH213" s="148" t="e">
        <f t="shared" si="152"/>
        <v>#VALUE!</v>
      </c>
      <c r="AI213" s="148" t="e">
        <f t="shared" si="153"/>
        <v>#VALUE!</v>
      </c>
      <c r="AJ213" s="20" t="e">
        <f t="shared" si="165"/>
        <v>#VALUE!</v>
      </c>
      <c r="AK213" s="148" t="e">
        <f t="shared" si="154"/>
        <v>#VALUE!</v>
      </c>
      <c r="AL213" s="148" t="e">
        <f t="shared" si="155"/>
        <v>#VALUE!</v>
      </c>
      <c r="AM213" s="148" t="e">
        <f t="shared" si="156"/>
        <v>#VALUE!</v>
      </c>
      <c r="AN213" s="148" t="e">
        <f t="shared" si="157"/>
        <v>#VALUE!</v>
      </c>
      <c r="AO213" s="148" t="e">
        <f t="shared" si="158"/>
        <v>#VALUE!</v>
      </c>
      <c r="AP213" s="148" t="e">
        <f t="shared" si="159"/>
        <v>#VALUE!</v>
      </c>
      <c r="AQ213" s="148" t="e">
        <f t="shared" si="160"/>
        <v>#VALUE!</v>
      </c>
      <c r="AR213" s="17" t="e">
        <f t="shared" si="166"/>
        <v>#VALUE!</v>
      </c>
      <c r="AS213" s="148" t="e">
        <f t="shared" si="161"/>
        <v>#VALUE!</v>
      </c>
      <c r="AT213" s="181" t="e">
        <f>INDEX('stock fisico '!N:N, MATCH(B213, 'stock fisico '!B:B, 0))</f>
        <v>#N/A</v>
      </c>
      <c r="AU213" s="179" t="e">
        <f>INDEX('stock fisico '!D:D, MATCH(B213, 'stock fisico '!B:B, 0))</f>
        <v>#N/A</v>
      </c>
      <c r="AV213" s="177" t="e">
        <f>INDEX('stock fisico '!L:L, MATCH(B213, 'stock fisico '!B:B, 0))</f>
        <v>#N/A</v>
      </c>
    </row>
    <row r="214" spans="1:48" x14ac:dyDescent="0.25">
      <c r="A214" s="181" t="e">
        <f>INDEX('stock fisico '!M:M, MATCH(B214, 'stock fisico '!B:B, 0))</f>
        <v>#N/A</v>
      </c>
      <c r="C214" s="179" t="e">
        <f>INDEX('stock fisico '!C:C, MATCH(B214, 'stock fisico '!B:B, 0))</f>
        <v>#N/A</v>
      </c>
      <c r="D214" s="178" t="e">
        <f>INDEX('stock fisico '!I:I, MATCH(B214, 'stock fisico '!B:B, 0))</f>
        <v>#N/A</v>
      </c>
      <c r="E214" s="173" t="e">
        <f t="shared" si="167"/>
        <v>#VALUE!</v>
      </c>
      <c r="F214" s="148" t="e">
        <f t="shared" si="127"/>
        <v>#VALUE!</v>
      </c>
      <c r="G214" s="148" t="e">
        <f t="shared" si="128"/>
        <v>#VALUE!</v>
      </c>
      <c r="H214" s="148" t="e">
        <f t="shared" si="129"/>
        <v>#VALUE!</v>
      </c>
      <c r="I214" s="148" t="e">
        <f t="shared" si="130"/>
        <v>#VALUE!</v>
      </c>
      <c r="J214" s="148" t="e">
        <f t="shared" si="131"/>
        <v>#VALUE!</v>
      </c>
      <c r="K214" s="148" t="e">
        <f t="shared" si="132"/>
        <v>#VALUE!</v>
      </c>
      <c r="L214" s="175" t="e">
        <f t="shared" si="162"/>
        <v>#VALUE!</v>
      </c>
      <c r="M214" s="148" t="e">
        <f t="shared" si="133"/>
        <v>#VALUE!</v>
      </c>
      <c r="N214" s="148" t="e">
        <f t="shared" si="134"/>
        <v>#VALUE!</v>
      </c>
      <c r="O214" s="148" t="e">
        <f t="shared" si="135"/>
        <v>#VALUE!</v>
      </c>
      <c r="P214" s="148" t="e">
        <f t="shared" si="136"/>
        <v>#VALUE!</v>
      </c>
      <c r="Q214" s="148" t="e">
        <f t="shared" si="137"/>
        <v>#VALUE!</v>
      </c>
      <c r="R214" s="148" t="e">
        <f t="shared" si="138"/>
        <v>#VALUE!</v>
      </c>
      <c r="S214" s="148" t="e">
        <f t="shared" si="139"/>
        <v>#VALUE!</v>
      </c>
      <c r="T214" s="174" t="e">
        <f t="shared" si="163"/>
        <v>#VALUE!</v>
      </c>
      <c r="U214" s="148" t="e">
        <f t="shared" si="140"/>
        <v>#VALUE!</v>
      </c>
      <c r="V214" s="148" t="e">
        <f t="shared" si="141"/>
        <v>#VALUE!</v>
      </c>
      <c r="W214" s="148" t="e">
        <f t="shared" si="142"/>
        <v>#VALUE!</v>
      </c>
      <c r="X214" s="148" t="e">
        <f t="shared" si="143"/>
        <v>#VALUE!</v>
      </c>
      <c r="Y214" s="148" t="e">
        <f t="shared" si="144"/>
        <v>#VALUE!</v>
      </c>
      <c r="Z214" s="148" t="e">
        <f t="shared" si="145"/>
        <v>#VALUE!</v>
      </c>
      <c r="AA214" s="148" t="e">
        <f t="shared" si="146"/>
        <v>#VALUE!</v>
      </c>
      <c r="AB214" s="24" t="e">
        <f t="shared" si="164"/>
        <v>#VALUE!</v>
      </c>
      <c r="AC214" s="148" t="e">
        <f t="shared" si="147"/>
        <v>#VALUE!</v>
      </c>
      <c r="AD214" s="148" t="e">
        <f t="shared" si="148"/>
        <v>#VALUE!</v>
      </c>
      <c r="AE214" s="148" t="e">
        <f t="shared" si="149"/>
        <v>#VALUE!</v>
      </c>
      <c r="AF214" s="148" t="e">
        <f t="shared" si="150"/>
        <v>#VALUE!</v>
      </c>
      <c r="AG214" s="148" t="e">
        <f t="shared" si="151"/>
        <v>#VALUE!</v>
      </c>
      <c r="AH214" s="148" t="e">
        <f t="shared" si="152"/>
        <v>#VALUE!</v>
      </c>
      <c r="AI214" s="148" t="e">
        <f t="shared" si="153"/>
        <v>#VALUE!</v>
      </c>
      <c r="AJ214" s="20" t="e">
        <f t="shared" si="165"/>
        <v>#VALUE!</v>
      </c>
      <c r="AK214" s="148" t="e">
        <f t="shared" si="154"/>
        <v>#VALUE!</v>
      </c>
      <c r="AL214" s="148" t="e">
        <f t="shared" si="155"/>
        <v>#VALUE!</v>
      </c>
      <c r="AM214" s="148" t="e">
        <f t="shared" si="156"/>
        <v>#VALUE!</v>
      </c>
      <c r="AN214" s="148" t="e">
        <f t="shared" si="157"/>
        <v>#VALUE!</v>
      </c>
      <c r="AO214" s="148" t="e">
        <f t="shared" si="158"/>
        <v>#VALUE!</v>
      </c>
      <c r="AP214" s="148" t="e">
        <f t="shared" si="159"/>
        <v>#VALUE!</v>
      </c>
      <c r="AQ214" s="148" t="e">
        <f t="shared" si="160"/>
        <v>#VALUE!</v>
      </c>
      <c r="AR214" s="17" t="e">
        <f t="shared" si="166"/>
        <v>#VALUE!</v>
      </c>
      <c r="AS214" s="148" t="e">
        <f t="shared" si="161"/>
        <v>#VALUE!</v>
      </c>
      <c r="AT214" s="181" t="e">
        <f>INDEX('stock fisico '!N:N, MATCH(B214, 'stock fisico '!B:B, 0))</f>
        <v>#N/A</v>
      </c>
      <c r="AU214" s="179" t="e">
        <f>INDEX('stock fisico '!D:D, MATCH(B214, 'stock fisico '!B:B, 0))</f>
        <v>#N/A</v>
      </c>
      <c r="AV214" s="177" t="e">
        <f>INDEX('stock fisico '!L:L, MATCH(B214, 'stock fisico '!B:B, 0))</f>
        <v>#N/A</v>
      </c>
    </row>
    <row r="215" spans="1:48" x14ac:dyDescent="0.25">
      <c r="A215" s="181" t="e">
        <f>INDEX('stock fisico '!M:M, MATCH(B215, 'stock fisico '!B:B, 0))</f>
        <v>#N/A</v>
      </c>
      <c r="C215" s="179" t="e">
        <f>INDEX('stock fisico '!C:C, MATCH(B215, 'stock fisico '!B:B, 0))</f>
        <v>#N/A</v>
      </c>
      <c r="D215" s="178" t="e">
        <f>INDEX('stock fisico '!I:I, MATCH(B215, 'stock fisico '!B:B, 0))</f>
        <v>#N/A</v>
      </c>
      <c r="E215" s="173" t="e">
        <f t="shared" si="167"/>
        <v>#VALUE!</v>
      </c>
      <c r="F215" s="148" t="e">
        <f t="shared" si="127"/>
        <v>#VALUE!</v>
      </c>
      <c r="G215" s="148" t="e">
        <f t="shared" si="128"/>
        <v>#VALUE!</v>
      </c>
      <c r="H215" s="148" t="e">
        <f t="shared" si="129"/>
        <v>#VALUE!</v>
      </c>
      <c r="I215" s="148" t="e">
        <f t="shared" si="130"/>
        <v>#VALUE!</v>
      </c>
      <c r="J215" s="148" t="e">
        <f t="shared" si="131"/>
        <v>#VALUE!</v>
      </c>
      <c r="K215" s="148" t="e">
        <f t="shared" si="132"/>
        <v>#VALUE!</v>
      </c>
      <c r="L215" s="175" t="e">
        <f t="shared" si="162"/>
        <v>#VALUE!</v>
      </c>
      <c r="M215" s="148" t="e">
        <f t="shared" si="133"/>
        <v>#VALUE!</v>
      </c>
      <c r="N215" s="148" t="e">
        <f t="shared" si="134"/>
        <v>#VALUE!</v>
      </c>
      <c r="O215" s="148" t="e">
        <f t="shared" si="135"/>
        <v>#VALUE!</v>
      </c>
      <c r="P215" s="148" t="e">
        <f t="shared" si="136"/>
        <v>#VALUE!</v>
      </c>
      <c r="Q215" s="148" t="e">
        <f t="shared" si="137"/>
        <v>#VALUE!</v>
      </c>
      <c r="R215" s="148" t="e">
        <f t="shared" si="138"/>
        <v>#VALUE!</v>
      </c>
      <c r="S215" s="148" t="e">
        <f t="shared" si="139"/>
        <v>#VALUE!</v>
      </c>
      <c r="T215" s="174" t="e">
        <f t="shared" si="163"/>
        <v>#VALUE!</v>
      </c>
      <c r="U215" s="148" t="e">
        <f t="shared" si="140"/>
        <v>#VALUE!</v>
      </c>
      <c r="V215" s="148" t="e">
        <f t="shared" si="141"/>
        <v>#VALUE!</v>
      </c>
      <c r="W215" s="148" t="e">
        <f t="shared" si="142"/>
        <v>#VALUE!</v>
      </c>
      <c r="X215" s="148" t="e">
        <f t="shared" si="143"/>
        <v>#VALUE!</v>
      </c>
      <c r="Y215" s="148" t="e">
        <f t="shared" si="144"/>
        <v>#VALUE!</v>
      </c>
      <c r="Z215" s="148" t="e">
        <f t="shared" si="145"/>
        <v>#VALUE!</v>
      </c>
      <c r="AA215" s="148" t="e">
        <f t="shared" si="146"/>
        <v>#VALUE!</v>
      </c>
      <c r="AB215" s="24" t="e">
        <f t="shared" si="164"/>
        <v>#VALUE!</v>
      </c>
      <c r="AC215" s="148" t="e">
        <f t="shared" si="147"/>
        <v>#VALUE!</v>
      </c>
      <c r="AD215" s="148" t="e">
        <f t="shared" si="148"/>
        <v>#VALUE!</v>
      </c>
      <c r="AE215" s="148" t="e">
        <f t="shared" si="149"/>
        <v>#VALUE!</v>
      </c>
      <c r="AF215" s="148" t="e">
        <f t="shared" si="150"/>
        <v>#VALUE!</v>
      </c>
      <c r="AG215" s="148" t="e">
        <f t="shared" si="151"/>
        <v>#VALUE!</v>
      </c>
      <c r="AH215" s="148" t="e">
        <f t="shared" si="152"/>
        <v>#VALUE!</v>
      </c>
      <c r="AI215" s="148" t="e">
        <f t="shared" si="153"/>
        <v>#VALUE!</v>
      </c>
      <c r="AJ215" s="20" t="e">
        <f t="shared" si="165"/>
        <v>#VALUE!</v>
      </c>
      <c r="AK215" s="148" t="e">
        <f t="shared" si="154"/>
        <v>#VALUE!</v>
      </c>
      <c r="AL215" s="148" t="e">
        <f t="shared" si="155"/>
        <v>#VALUE!</v>
      </c>
      <c r="AM215" s="148" t="e">
        <f t="shared" si="156"/>
        <v>#VALUE!</v>
      </c>
      <c r="AN215" s="148" t="e">
        <f t="shared" si="157"/>
        <v>#VALUE!</v>
      </c>
      <c r="AO215" s="148" t="e">
        <f t="shared" si="158"/>
        <v>#VALUE!</v>
      </c>
      <c r="AP215" s="148" t="e">
        <f t="shared" si="159"/>
        <v>#VALUE!</v>
      </c>
      <c r="AQ215" s="148" t="e">
        <f t="shared" si="160"/>
        <v>#VALUE!</v>
      </c>
      <c r="AR215" s="17" t="e">
        <f t="shared" si="166"/>
        <v>#VALUE!</v>
      </c>
      <c r="AS215" s="148" t="e">
        <f t="shared" si="161"/>
        <v>#VALUE!</v>
      </c>
      <c r="AT215" s="181" t="e">
        <f>INDEX('stock fisico '!N:N, MATCH(B215, 'stock fisico '!B:B, 0))</f>
        <v>#N/A</v>
      </c>
      <c r="AU215" s="179" t="e">
        <f>INDEX('stock fisico '!D:D, MATCH(B215, 'stock fisico '!B:B, 0))</f>
        <v>#N/A</v>
      </c>
      <c r="AV215" s="177" t="e">
        <f>INDEX('stock fisico '!L:L, MATCH(B215, 'stock fisico '!B:B, 0))</f>
        <v>#N/A</v>
      </c>
    </row>
    <row r="216" spans="1:48" x14ac:dyDescent="0.25">
      <c r="A216" s="181" t="e">
        <f>INDEX('stock fisico '!M:M, MATCH(B216, 'stock fisico '!B:B, 0))</f>
        <v>#N/A</v>
      </c>
      <c r="C216" s="179" t="e">
        <f>INDEX('stock fisico '!C:C, MATCH(B216, 'stock fisico '!B:B, 0))</f>
        <v>#N/A</v>
      </c>
      <c r="D216" s="178" t="e">
        <f>INDEX('stock fisico '!I:I, MATCH(B216, 'stock fisico '!B:B, 0))</f>
        <v>#N/A</v>
      </c>
      <c r="E216" s="173" t="e">
        <f t="shared" si="167"/>
        <v>#VALUE!</v>
      </c>
      <c r="F216" s="148" t="e">
        <f t="shared" si="127"/>
        <v>#VALUE!</v>
      </c>
      <c r="G216" s="148" t="e">
        <f t="shared" si="128"/>
        <v>#VALUE!</v>
      </c>
      <c r="H216" s="148" t="e">
        <f t="shared" si="129"/>
        <v>#VALUE!</v>
      </c>
      <c r="I216" s="148" t="e">
        <f t="shared" si="130"/>
        <v>#VALUE!</v>
      </c>
      <c r="J216" s="148" t="e">
        <f t="shared" si="131"/>
        <v>#VALUE!</v>
      </c>
      <c r="K216" s="148" t="e">
        <f t="shared" si="132"/>
        <v>#VALUE!</v>
      </c>
      <c r="L216" s="175" t="e">
        <f t="shared" si="162"/>
        <v>#VALUE!</v>
      </c>
      <c r="M216" s="148" t="e">
        <f t="shared" si="133"/>
        <v>#VALUE!</v>
      </c>
      <c r="N216" s="148" t="e">
        <f t="shared" si="134"/>
        <v>#VALUE!</v>
      </c>
      <c r="O216" s="148" t="e">
        <f t="shared" si="135"/>
        <v>#VALUE!</v>
      </c>
      <c r="P216" s="148" t="e">
        <f t="shared" si="136"/>
        <v>#VALUE!</v>
      </c>
      <c r="Q216" s="148" t="e">
        <f t="shared" si="137"/>
        <v>#VALUE!</v>
      </c>
      <c r="R216" s="148" t="e">
        <f t="shared" si="138"/>
        <v>#VALUE!</v>
      </c>
      <c r="S216" s="148" t="e">
        <f t="shared" si="139"/>
        <v>#VALUE!</v>
      </c>
      <c r="T216" s="174" t="e">
        <f t="shared" si="163"/>
        <v>#VALUE!</v>
      </c>
      <c r="U216" s="148" t="e">
        <f t="shared" si="140"/>
        <v>#VALUE!</v>
      </c>
      <c r="V216" s="148" t="e">
        <f t="shared" si="141"/>
        <v>#VALUE!</v>
      </c>
      <c r="W216" s="148" t="e">
        <f t="shared" si="142"/>
        <v>#VALUE!</v>
      </c>
      <c r="X216" s="148" t="e">
        <f t="shared" si="143"/>
        <v>#VALUE!</v>
      </c>
      <c r="Y216" s="148" t="e">
        <f t="shared" si="144"/>
        <v>#VALUE!</v>
      </c>
      <c r="Z216" s="148" t="e">
        <f t="shared" si="145"/>
        <v>#VALUE!</v>
      </c>
      <c r="AA216" s="148" t="e">
        <f t="shared" si="146"/>
        <v>#VALUE!</v>
      </c>
      <c r="AB216" s="24" t="e">
        <f t="shared" si="164"/>
        <v>#VALUE!</v>
      </c>
      <c r="AC216" s="148" t="e">
        <f t="shared" si="147"/>
        <v>#VALUE!</v>
      </c>
      <c r="AD216" s="148" t="e">
        <f t="shared" si="148"/>
        <v>#VALUE!</v>
      </c>
      <c r="AE216" s="148" t="e">
        <f t="shared" si="149"/>
        <v>#VALUE!</v>
      </c>
      <c r="AF216" s="148" t="e">
        <f t="shared" si="150"/>
        <v>#VALUE!</v>
      </c>
      <c r="AG216" s="148" t="e">
        <f t="shared" si="151"/>
        <v>#VALUE!</v>
      </c>
      <c r="AH216" s="148" t="e">
        <f t="shared" si="152"/>
        <v>#VALUE!</v>
      </c>
      <c r="AI216" s="148" t="e">
        <f t="shared" si="153"/>
        <v>#VALUE!</v>
      </c>
      <c r="AJ216" s="20" t="e">
        <f t="shared" si="165"/>
        <v>#VALUE!</v>
      </c>
      <c r="AK216" s="148" t="e">
        <f t="shared" si="154"/>
        <v>#VALUE!</v>
      </c>
      <c r="AL216" s="148" t="e">
        <f t="shared" si="155"/>
        <v>#VALUE!</v>
      </c>
      <c r="AM216" s="148" t="e">
        <f t="shared" si="156"/>
        <v>#VALUE!</v>
      </c>
      <c r="AN216" s="148" t="e">
        <f t="shared" si="157"/>
        <v>#VALUE!</v>
      </c>
      <c r="AO216" s="148" t="e">
        <f t="shared" si="158"/>
        <v>#VALUE!</v>
      </c>
      <c r="AP216" s="148" t="e">
        <f t="shared" si="159"/>
        <v>#VALUE!</v>
      </c>
      <c r="AQ216" s="148" t="e">
        <f t="shared" si="160"/>
        <v>#VALUE!</v>
      </c>
      <c r="AR216" s="17" t="e">
        <f t="shared" si="166"/>
        <v>#VALUE!</v>
      </c>
      <c r="AS216" s="148" t="e">
        <f t="shared" si="161"/>
        <v>#VALUE!</v>
      </c>
      <c r="AT216" s="181" t="e">
        <f>INDEX('stock fisico '!N:N, MATCH(B216, 'stock fisico '!B:B, 0))</f>
        <v>#N/A</v>
      </c>
      <c r="AU216" s="179" t="e">
        <f>INDEX('stock fisico '!D:D, MATCH(B216, 'stock fisico '!B:B, 0))</f>
        <v>#N/A</v>
      </c>
      <c r="AV216" s="177" t="e">
        <f>INDEX('stock fisico '!L:L, MATCH(B216, 'stock fisico '!B:B, 0))</f>
        <v>#N/A</v>
      </c>
    </row>
    <row r="217" spans="1:48" x14ac:dyDescent="0.25">
      <c r="A217" s="181" t="e">
        <f>INDEX('stock fisico '!M:M, MATCH(B217, 'stock fisico '!B:B, 0))</f>
        <v>#N/A</v>
      </c>
      <c r="C217" s="179" t="e">
        <f>INDEX('stock fisico '!C:C, MATCH(B217, 'stock fisico '!B:B, 0))</f>
        <v>#N/A</v>
      </c>
      <c r="D217" s="178" t="e">
        <f>INDEX('stock fisico '!I:I, MATCH(B217, 'stock fisico '!B:B, 0))</f>
        <v>#N/A</v>
      </c>
      <c r="E217" s="173" t="e">
        <f t="shared" si="167"/>
        <v>#VALUE!</v>
      </c>
      <c r="F217" s="148" t="e">
        <f t="shared" si="127"/>
        <v>#VALUE!</v>
      </c>
      <c r="G217" s="148" t="e">
        <f t="shared" si="128"/>
        <v>#VALUE!</v>
      </c>
      <c r="H217" s="148" t="e">
        <f t="shared" si="129"/>
        <v>#VALUE!</v>
      </c>
      <c r="I217" s="148" t="e">
        <f t="shared" si="130"/>
        <v>#VALUE!</v>
      </c>
      <c r="J217" s="148" t="e">
        <f t="shared" si="131"/>
        <v>#VALUE!</v>
      </c>
      <c r="K217" s="148" t="e">
        <f t="shared" si="132"/>
        <v>#VALUE!</v>
      </c>
      <c r="L217" s="175" t="e">
        <f t="shared" si="162"/>
        <v>#VALUE!</v>
      </c>
      <c r="M217" s="148" t="e">
        <f t="shared" si="133"/>
        <v>#VALUE!</v>
      </c>
      <c r="N217" s="148" t="e">
        <f t="shared" si="134"/>
        <v>#VALUE!</v>
      </c>
      <c r="O217" s="148" t="e">
        <f t="shared" si="135"/>
        <v>#VALUE!</v>
      </c>
      <c r="P217" s="148" t="e">
        <f t="shared" si="136"/>
        <v>#VALUE!</v>
      </c>
      <c r="Q217" s="148" t="e">
        <f t="shared" si="137"/>
        <v>#VALUE!</v>
      </c>
      <c r="R217" s="148" t="e">
        <f t="shared" si="138"/>
        <v>#VALUE!</v>
      </c>
      <c r="S217" s="148" t="e">
        <f t="shared" si="139"/>
        <v>#VALUE!</v>
      </c>
      <c r="T217" s="174" t="e">
        <f t="shared" si="163"/>
        <v>#VALUE!</v>
      </c>
      <c r="U217" s="148" t="e">
        <f t="shared" si="140"/>
        <v>#VALUE!</v>
      </c>
      <c r="V217" s="148" t="e">
        <f t="shared" si="141"/>
        <v>#VALUE!</v>
      </c>
      <c r="W217" s="148" t="e">
        <f t="shared" si="142"/>
        <v>#VALUE!</v>
      </c>
      <c r="X217" s="148" t="e">
        <f t="shared" si="143"/>
        <v>#VALUE!</v>
      </c>
      <c r="Y217" s="148" t="e">
        <f t="shared" si="144"/>
        <v>#VALUE!</v>
      </c>
      <c r="Z217" s="148" t="e">
        <f t="shared" si="145"/>
        <v>#VALUE!</v>
      </c>
      <c r="AA217" s="148" t="e">
        <f t="shared" si="146"/>
        <v>#VALUE!</v>
      </c>
      <c r="AB217" s="24" t="e">
        <f t="shared" si="164"/>
        <v>#VALUE!</v>
      </c>
      <c r="AC217" s="148" t="e">
        <f t="shared" si="147"/>
        <v>#VALUE!</v>
      </c>
      <c r="AD217" s="148" t="e">
        <f t="shared" si="148"/>
        <v>#VALUE!</v>
      </c>
      <c r="AE217" s="148" t="e">
        <f t="shared" si="149"/>
        <v>#VALUE!</v>
      </c>
      <c r="AF217" s="148" t="e">
        <f t="shared" si="150"/>
        <v>#VALUE!</v>
      </c>
      <c r="AG217" s="148" t="e">
        <f t="shared" si="151"/>
        <v>#VALUE!</v>
      </c>
      <c r="AH217" s="148" t="e">
        <f t="shared" si="152"/>
        <v>#VALUE!</v>
      </c>
      <c r="AI217" s="148" t="e">
        <f t="shared" si="153"/>
        <v>#VALUE!</v>
      </c>
      <c r="AJ217" s="20" t="e">
        <f t="shared" si="165"/>
        <v>#VALUE!</v>
      </c>
      <c r="AK217" s="148" t="e">
        <f t="shared" si="154"/>
        <v>#VALUE!</v>
      </c>
      <c r="AL217" s="148" t="e">
        <f t="shared" si="155"/>
        <v>#VALUE!</v>
      </c>
      <c r="AM217" s="148" t="e">
        <f t="shared" si="156"/>
        <v>#VALUE!</v>
      </c>
      <c r="AN217" s="148" t="e">
        <f t="shared" si="157"/>
        <v>#VALUE!</v>
      </c>
      <c r="AO217" s="148" t="e">
        <f t="shared" si="158"/>
        <v>#VALUE!</v>
      </c>
      <c r="AP217" s="148" t="e">
        <f t="shared" si="159"/>
        <v>#VALUE!</v>
      </c>
      <c r="AQ217" s="148" t="e">
        <f t="shared" si="160"/>
        <v>#VALUE!</v>
      </c>
      <c r="AR217" s="17" t="e">
        <f t="shared" si="166"/>
        <v>#VALUE!</v>
      </c>
      <c r="AS217" s="148" t="e">
        <f t="shared" si="161"/>
        <v>#VALUE!</v>
      </c>
      <c r="AT217" s="181" t="e">
        <f>INDEX('stock fisico '!N:N, MATCH(B217, 'stock fisico '!B:B, 0))</f>
        <v>#N/A</v>
      </c>
      <c r="AU217" s="179" t="e">
        <f>INDEX('stock fisico '!D:D, MATCH(B217, 'stock fisico '!B:B, 0))</f>
        <v>#N/A</v>
      </c>
      <c r="AV217" s="177" t="e">
        <f>INDEX('stock fisico '!L:L, MATCH(B217, 'stock fisico '!B:B, 0))</f>
        <v>#N/A</v>
      </c>
    </row>
    <row r="218" spans="1:48" x14ac:dyDescent="0.25">
      <c r="A218" s="181" t="e">
        <f>INDEX('stock fisico '!M:M, MATCH(B218, 'stock fisico '!B:B, 0))</f>
        <v>#N/A</v>
      </c>
      <c r="C218" s="179" t="e">
        <f>INDEX('stock fisico '!C:C, MATCH(B218, 'stock fisico '!B:B, 0))</f>
        <v>#N/A</v>
      </c>
      <c r="D218" s="178" t="e">
        <f>INDEX('stock fisico '!I:I, MATCH(B218, 'stock fisico '!B:B, 0))</f>
        <v>#N/A</v>
      </c>
      <c r="E218" s="173" t="e">
        <f t="shared" si="167"/>
        <v>#VALUE!</v>
      </c>
      <c r="F218" s="148" t="e">
        <f t="shared" si="127"/>
        <v>#VALUE!</v>
      </c>
      <c r="G218" s="148" t="e">
        <f t="shared" si="128"/>
        <v>#VALUE!</v>
      </c>
      <c r="H218" s="148" t="e">
        <f t="shared" si="129"/>
        <v>#VALUE!</v>
      </c>
      <c r="I218" s="148" t="e">
        <f t="shared" si="130"/>
        <v>#VALUE!</v>
      </c>
      <c r="J218" s="148" t="e">
        <f t="shared" si="131"/>
        <v>#VALUE!</v>
      </c>
      <c r="K218" s="148" t="e">
        <f t="shared" si="132"/>
        <v>#VALUE!</v>
      </c>
      <c r="L218" s="175" t="e">
        <f t="shared" si="162"/>
        <v>#VALUE!</v>
      </c>
      <c r="M218" s="148" t="e">
        <f t="shared" si="133"/>
        <v>#VALUE!</v>
      </c>
      <c r="N218" s="148" t="e">
        <f t="shared" si="134"/>
        <v>#VALUE!</v>
      </c>
      <c r="O218" s="148" t="e">
        <f t="shared" si="135"/>
        <v>#VALUE!</v>
      </c>
      <c r="P218" s="148" t="e">
        <f t="shared" si="136"/>
        <v>#VALUE!</v>
      </c>
      <c r="Q218" s="148" t="e">
        <f t="shared" si="137"/>
        <v>#VALUE!</v>
      </c>
      <c r="R218" s="148" t="e">
        <f t="shared" si="138"/>
        <v>#VALUE!</v>
      </c>
      <c r="S218" s="148" t="e">
        <f t="shared" si="139"/>
        <v>#VALUE!</v>
      </c>
      <c r="T218" s="174" t="e">
        <f t="shared" si="163"/>
        <v>#VALUE!</v>
      </c>
      <c r="U218" s="148" t="e">
        <f t="shared" si="140"/>
        <v>#VALUE!</v>
      </c>
      <c r="V218" s="148" t="e">
        <f t="shared" si="141"/>
        <v>#VALUE!</v>
      </c>
      <c r="W218" s="148" t="e">
        <f t="shared" si="142"/>
        <v>#VALUE!</v>
      </c>
      <c r="X218" s="148" t="e">
        <f t="shared" si="143"/>
        <v>#VALUE!</v>
      </c>
      <c r="Y218" s="148" t="e">
        <f t="shared" si="144"/>
        <v>#VALUE!</v>
      </c>
      <c r="Z218" s="148" t="e">
        <f t="shared" si="145"/>
        <v>#VALUE!</v>
      </c>
      <c r="AA218" s="148" t="e">
        <f t="shared" si="146"/>
        <v>#VALUE!</v>
      </c>
      <c r="AB218" s="24" t="e">
        <f t="shared" si="164"/>
        <v>#VALUE!</v>
      </c>
      <c r="AC218" s="148" t="e">
        <f t="shared" si="147"/>
        <v>#VALUE!</v>
      </c>
      <c r="AD218" s="148" t="e">
        <f t="shared" si="148"/>
        <v>#VALUE!</v>
      </c>
      <c r="AE218" s="148" t="e">
        <f t="shared" si="149"/>
        <v>#VALUE!</v>
      </c>
      <c r="AF218" s="148" t="e">
        <f t="shared" si="150"/>
        <v>#VALUE!</v>
      </c>
      <c r="AG218" s="148" t="e">
        <f t="shared" si="151"/>
        <v>#VALUE!</v>
      </c>
      <c r="AH218" s="148" t="e">
        <f t="shared" si="152"/>
        <v>#VALUE!</v>
      </c>
      <c r="AI218" s="148" t="e">
        <f t="shared" si="153"/>
        <v>#VALUE!</v>
      </c>
      <c r="AJ218" s="20" t="e">
        <f t="shared" si="165"/>
        <v>#VALUE!</v>
      </c>
      <c r="AK218" s="148" t="e">
        <f t="shared" si="154"/>
        <v>#VALUE!</v>
      </c>
      <c r="AL218" s="148" t="e">
        <f t="shared" si="155"/>
        <v>#VALUE!</v>
      </c>
      <c r="AM218" s="148" t="e">
        <f t="shared" si="156"/>
        <v>#VALUE!</v>
      </c>
      <c r="AN218" s="148" t="e">
        <f t="shared" si="157"/>
        <v>#VALUE!</v>
      </c>
      <c r="AO218" s="148" t="e">
        <f t="shared" si="158"/>
        <v>#VALUE!</v>
      </c>
      <c r="AP218" s="148" t="e">
        <f t="shared" si="159"/>
        <v>#VALUE!</v>
      </c>
      <c r="AQ218" s="148" t="e">
        <f t="shared" si="160"/>
        <v>#VALUE!</v>
      </c>
      <c r="AR218" s="17" t="e">
        <f t="shared" si="166"/>
        <v>#VALUE!</v>
      </c>
      <c r="AS218" s="148" t="e">
        <f t="shared" si="161"/>
        <v>#VALUE!</v>
      </c>
      <c r="AT218" s="181" t="e">
        <f>INDEX('stock fisico '!N:N, MATCH(B218, 'stock fisico '!B:B, 0))</f>
        <v>#N/A</v>
      </c>
      <c r="AU218" s="179" t="e">
        <f>INDEX('stock fisico '!D:D, MATCH(B218, 'stock fisico '!B:B, 0))</f>
        <v>#N/A</v>
      </c>
      <c r="AV218" s="177" t="e">
        <f>INDEX('stock fisico '!L:L, MATCH(B218, 'stock fisico '!B:B, 0))</f>
        <v>#N/A</v>
      </c>
    </row>
    <row r="219" spans="1:48" x14ac:dyDescent="0.25">
      <c r="A219" s="181" t="e">
        <f>INDEX('stock fisico '!M:M, MATCH(B219, 'stock fisico '!B:B, 0))</f>
        <v>#N/A</v>
      </c>
      <c r="C219" s="179" t="e">
        <f>INDEX('stock fisico '!C:C, MATCH(B219, 'stock fisico '!B:B, 0))</f>
        <v>#N/A</v>
      </c>
      <c r="D219" s="178" t="e">
        <f>INDEX('stock fisico '!I:I, MATCH(B219, 'stock fisico '!B:B, 0))</f>
        <v>#N/A</v>
      </c>
      <c r="E219" s="173" t="e">
        <f t="shared" si="167"/>
        <v>#VALUE!</v>
      </c>
      <c r="F219" s="148" t="e">
        <f t="shared" si="127"/>
        <v>#VALUE!</v>
      </c>
      <c r="G219" s="148" t="e">
        <f t="shared" si="128"/>
        <v>#VALUE!</v>
      </c>
      <c r="H219" s="148" t="e">
        <f t="shared" si="129"/>
        <v>#VALUE!</v>
      </c>
      <c r="I219" s="148" t="e">
        <f t="shared" si="130"/>
        <v>#VALUE!</v>
      </c>
      <c r="J219" s="148" t="e">
        <f t="shared" si="131"/>
        <v>#VALUE!</v>
      </c>
      <c r="K219" s="148" t="e">
        <f t="shared" si="132"/>
        <v>#VALUE!</v>
      </c>
      <c r="L219" s="175" t="e">
        <f t="shared" si="162"/>
        <v>#VALUE!</v>
      </c>
      <c r="M219" s="148" t="e">
        <f t="shared" si="133"/>
        <v>#VALUE!</v>
      </c>
      <c r="N219" s="148" t="e">
        <f t="shared" si="134"/>
        <v>#VALUE!</v>
      </c>
      <c r="O219" s="148" t="e">
        <f t="shared" si="135"/>
        <v>#VALUE!</v>
      </c>
      <c r="P219" s="148" t="e">
        <f t="shared" si="136"/>
        <v>#VALUE!</v>
      </c>
      <c r="Q219" s="148" t="e">
        <f t="shared" si="137"/>
        <v>#VALUE!</v>
      </c>
      <c r="R219" s="148" t="e">
        <f t="shared" si="138"/>
        <v>#VALUE!</v>
      </c>
      <c r="S219" s="148" t="e">
        <f t="shared" si="139"/>
        <v>#VALUE!</v>
      </c>
      <c r="T219" s="174" t="e">
        <f t="shared" si="163"/>
        <v>#VALUE!</v>
      </c>
      <c r="U219" s="148" t="e">
        <f t="shared" si="140"/>
        <v>#VALUE!</v>
      </c>
      <c r="V219" s="148" t="e">
        <f t="shared" si="141"/>
        <v>#VALUE!</v>
      </c>
      <c r="W219" s="148" t="e">
        <f t="shared" si="142"/>
        <v>#VALUE!</v>
      </c>
      <c r="X219" s="148" t="e">
        <f t="shared" si="143"/>
        <v>#VALUE!</v>
      </c>
      <c r="Y219" s="148" t="e">
        <f t="shared" si="144"/>
        <v>#VALUE!</v>
      </c>
      <c r="Z219" s="148" t="e">
        <f t="shared" si="145"/>
        <v>#VALUE!</v>
      </c>
      <c r="AA219" s="148" t="e">
        <f t="shared" si="146"/>
        <v>#VALUE!</v>
      </c>
      <c r="AB219" s="24" t="e">
        <f t="shared" si="164"/>
        <v>#VALUE!</v>
      </c>
      <c r="AC219" s="148" t="e">
        <f t="shared" si="147"/>
        <v>#VALUE!</v>
      </c>
      <c r="AD219" s="148" t="e">
        <f t="shared" si="148"/>
        <v>#VALUE!</v>
      </c>
      <c r="AE219" s="148" t="e">
        <f t="shared" si="149"/>
        <v>#VALUE!</v>
      </c>
      <c r="AF219" s="148" t="e">
        <f t="shared" si="150"/>
        <v>#VALUE!</v>
      </c>
      <c r="AG219" s="148" t="e">
        <f t="shared" si="151"/>
        <v>#VALUE!</v>
      </c>
      <c r="AH219" s="148" t="e">
        <f t="shared" si="152"/>
        <v>#VALUE!</v>
      </c>
      <c r="AI219" s="148" t="e">
        <f t="shared" si="153"/>
        <v>#VALUE!</v>
      </c>
      <c r="AJ219" s="20" t="e">
        <f t="shared" si="165"/>
        <v>#VALUE!</v>
      </c>
      <c r="AK219" s="148" t="e">
        <f t="shared" si="154"/>
        <v>#VALUE!</v>
      </c>
      <c r="AL219" s="148" t="e">
        <f t="shared" si="155"/>
        <v>#VALUE!</v>
      </c>
      <c r="AM219" s="148" t="e">
        <f t="shared" si="156"/>
        <v>#VALUE!</v>
      </c>
      <c r="AN219" s="148" t="e">
        <f t="shared" si="157"/>
        <v>#VALUE!</v>
      </c>
      <c r="AO219" s="148" t="e">
        <f t="shared" si="158"/>
        <v>#VALUE!</v>
      </c>
      <c r="AP219" s="148" t="e">
        <f t="shared" si="159"/>
        <v>#VALUE!</v>
      </c>
      <c r="AQ219" s="148" t="e">
        <f t="shared" si="160"/>
        <v>#VALUE!</v>
      </c>
      <c r="AR219" s="17" t="e">
        <f t="shared" si="166"/>
        <v>#VALUE!</v>
      </c>
      <c r="AS219" s="148" t="e">
        <f t="shared" si="161"/>
        <v>#VALUE!</v>
      </c>
      <c r="AT219" s="181" t="e">
        <f>INDEX('stock fisico '!N:N, MATCH(B219, 'stock fisico '!B:B, 0))</f>
        <v>#N/A</v>
      </c>
      <c r="AU219" s="179" t="e">
        <f>INDEX('stock fisico '!D:D, MATCH(B219, 'stock fisico '!B:B, 0))</f>
        <v>#N/A</v>
      </c>
      <c r="AV219" s="177" t="e">
        <f>INDEX('stock fisico '!L:L, MATCH(B219, 'stock fisico '!B:B, 0))</f>
        <v>#N/A</v>
      </c>
    </row>
    <row r="220" spans="1:48" x14ac:dyDescent="0.25">
      <c r="A220" s="181" t="e">
        <f>INDEX('stock fisico '!M:M, MATCH(B220, 'stock fisico '!B:B, 0))</f>
        <v>#N/A</v>
      </c>
      <c r="C220" s="179" t="e">
        <f>INDEX('stock fisico '!C:C, MATCH(B220, 'stock fisico '!B:B, 0))</f>
        <v>#N/A</v>
      </c>
      <c r="D220" s="178" t="e">
        <f>INDEX('stock fisico '!I:I, MATCH(B220, 'stock fisico '!B:B, 0))</f>
        <v>#N/A</v>
      </c>
      <c r="E220" s="173" t="e">
        <f t="shared" si="167"/>
        <v>#VALUE!</v>
      </c>
      <c r="F220" s="148" t="e">
        <f t="shared" si="127"/>
        <v>#VALUE!</v>
      </c>
      <c r="G220" s="148" t="e">
        <f t="shared" si="128"/>
        <v>#VALUE!</v>
      </c>
      <c r="H220" s="148" t="e">
        <f t="shared" si="129"/>
        <v>#VALUE!</v>
      </c>
      <c r="I220" s="148" t="e">
        <f t="shared" si="130"/>
        <v>#VALUE!</v>
      </c>
      <c r="J220" s="148" t="e">
        <f t="shared" si="131"/>
        <v>#VALUE!</v>
      </c>
      <c r="K220" s="148" t="e">
        <f t="shared" si="132"/>
        <v>#VALUE!</v>
      </c>
      <c r="L220" s="175" t="e">
        <f t="shared" si="162"/>
        <v>#VALUE!</v>
      </c>
      <c r="M220" s="148" t="e">
        <f t="shared" si="133"/>
        <v>#VALUE!</v>
      </c>
      <c r="N220" s="148" t="e">
        <f t="shared" si="134"/>
        <v>#VALUE!</v>
      </c>
      <c r="O220" s="148" t="e">
        <f t="shared" si="135"/>
        <v>#VALUE!</v>
      </c>
      <c r="P220" s="148" t="e">
        <f t="shared" si="136"/>
        <v>#VALUE!</v>
      </c>
      <c r="Q220" s="148" t="e">
        <f t="shared" si="137"/>
        <v>#VALUE!</v>
      </c>
      <c r="R220" s="148" t="e">
        <f t="shared" si="138"/>
        <v>#VALUE!</v>
      </c>
      <c r="S220" s="148" t="e">
        <f t="shared" si="139"/>
        <v>#VALUE!</v>
      </c>
      <c r="T220" s="174" t="e">
        <f t="shared" si="163"/>
        <v>#VALUE!</v>
      </c>
      <c r="U220" s="148" t="e">
        <f t="shared" si="140"/>
        <v>#VALUE!</v>
      </c>
      <c r="V220" s="148" t="e">
        <f t="shared" si="141"/>
        <v>#VALUE!</v>
      </c>
      <c r="W220" s="148" t="e">
        <f t="shared" si="142"/>
        <v>#VALUE!</v>
      </c>
      <c r="X220" s="148" t="e">
        <f t="shared" si="143"/>
        <v>#VALUE!</v>
      </c>
      <c r="Y220" s="148" t="e">
        <f t="shared" si="144"/>
        <v>#VALUE!</v>
      </c>
      <c r="Z220" s="148" t="e">
        <f t="shared" si="145"/>
        <v>#VALUE!</v>
      </c>
      <c r="AA220" s="148" t="e">
        <f t="shared" si="146"/>
        <v>#VALUE!</v>
      </c>
      <c r="AB220" s="24" t="e">
        <f t="shared" si="164"/>
        <v>#VALUE!</v>
      </c>
      <c r="AC220" s="148" t="e">
        <f t="shared" si="147"/>
        <v>#VALUE!</v>
      </c>
      <c r="AD220" s="148" t="e">
        <f t="shared" si="148"/>
        <v>#VALUE!</v>
      </c>
      <c r="AE220" s="148" t="e">
        <f t="shared" si="149"/>
        <v>#VALUE!</v>
      </c>
      <c r="AF220" s="148" t="e">
        <f t="shared" si="150"/>
        <v>#VALUE!</v>
      </c>
      <c r="AG220" s="148" t="e">
        <f t="shared" si="151"/>
        <v>#VALUE!</v>
      </c>
      <c r="AH220" s="148" t="e">
        <f t="shared" si="152"/>
        <v>#VALUE!</v>
      </c>
      <c r="AI220" s="148" t="e">
        <f t="shared" si="153"/>
        <v>#VALUE!</v>
      </c>
      <c r="AJ220" s="20" t="e">
        <f t="shared" si="165"/>
        <v>#VALUE!</v>
      </c>
      <c r="AK220" s="148" t="e">
        <f t="shared" si="154"/>
        <v>#VALUE!</v>
      </c>
      <c r="AL220" s="148" t="e">
        <f t="shared" si="155"/>
        <v>#VALUE!</v>
      </c>
      <c r="AM220" s="148" t="e">
        <f t="shared" si="156"/>
        <v>#VALUE!</v>
      </c>
      <c r="AN220" s="148" t="e">
        <f t="shared" si="157"/>
        <v>#VALUE!</v>
      </c>
      <c r="AO220" s="148" t="e">
        <f t="shared" si="158"/>
        <v>#VALUE!</v>
      </c>
      <c r="AP220" s="148" t="e">
        <f t="shared" si="159"/>
        <v>#VALUE!</v>
      </c>
      <c r="AQ220" s="148" t="e">
        <f t="shared" si="160"/>
        <v>#VALUE!</v>
      </c>
      <c r="AR220" s="17" t="e">
        <f t="shared" si="166"/>
        <v>#VALUE!</v>
      </c>
      <c r="AS220" s="148" t="e">
        <f t="shared" si="161"/>
        <v>#VALUE!</v>
      </c>
      <c r="AT220" s="181" t="e">
        <f>INDEX('stock fisico '!N:N, MATCH(B220, 'stock fisico '!B:B, 0))</f>
        <v>#N/A</v>
      </c>
      <c r="AU220" s="179" t="e">
        <f>INDEX('stock fisico '!D:D, MATCH(B220, 'stock fisico '!B:B, 0))</f>
        <v>#N/A</v>
      </c>
      <c r="AV220" s="177" t="e">
        <f>INDEX('stock fisico '!L:L, MATCH(B220, 'stock fisico '!B:B, 0))</f>
        <v>#N/A</v>
      </c>
    </row>
    <row r="221" spans="1:48" x14ac:dyDescent="0.25">
      <c r="A221" s="181" t="e">
        <f>INDEX('stock fisico '!M:M, MATCH(B221, 'stock fisico '!B:B, 0))</f>
        <v>#N/A</v>
      </c>
      <c r="C221" s="179" t="e">
        <f>INDEX('stock fisico '!C:C, MATCH(B221, 'stock fisico '!B:B, 0))</f>
        <v>#N/A</v>
      </c>
      <c r="D221" s="178" t="e">
        <f>INDEX('stock fisico '!I:I, MATCH(B221, 'stock fisico '!B:B, 0))</f>
        <v>#N/A</v>
      </c>
      <c r="E221" s="173" t="e">
        <f t="shared" si="167"/>
        <v>#VALUE!</v>
      </c>
      <c r="F221" s="148" t="e">
        <f t="shared" si="127"/>
        <v>#VALUE!</v>
      </c>
      <c r="G221" s="148" t="e">
        <f t="shared" si="128"/>
        <v>#VALUE!</v>
      </c>
      <c r="H221" s="148" t="e">
        <f t="shared" si="129"/>
        <v>#VALUE!</v>
      </c>
      <c r="I221" s="148" t="e">
        <f t="shared" si="130"/>
        <v>#VALUE!</v>
      </c>
      <c r="J221" s="148" t="e">
        <f t="shared" si="131"/>
        <v>#VALUE!</v>
      </c>
      <c r="K221" s="148" t="e">
        <f t="shared" si="132"/>
        <v>#VALUE!</v>
      </c>
      <c r="L221" s="175" t="e">
        <f t="shared" si="162"/>
        <v>#VALUE!</v>
      </c>
      <c r="M221" s="148" t="e">
        <f t="shared" si="133"/>
        <v>#VALUE!</v>
      </c>
      <c r="N221" s="148" t="e">
        <f t="shared" si="134"/>
        <v>#VALUE!</v>
      </c>
      <c r="O221" s="148" t="e">
        <f t="shared" si="135"/>
        <v>#VALUE!</v>
      </c>
      <c r="P221" s="148" t="e">
        <f t="shared" si="136"/>
        <v>#VALUE!</v>
      </c>
      <c r="Q221" s="148" t="e">
        <f t="shared" si="137"/>
        <v>#VALUE!</v>
      </c>
      <c r="R221" s="148" t="e">
        <f t="shared" si="138"/>
        <v>#VALUE!</v>
      </c>
      <c r="S221" s="148" t="e">
        <f t="shared" si="139"/>
        <v>#VALUE!</v>
      </c>
      <c r="T221" s="174" t="e">
        <f t="shared" si="163"/>
        <v>#VALUE!</v>
      </c>
      <c r="U221" s="148" t="e">
        <f t="shared" si="140"/>
        <v>#VALUE!</v>
      </c>
      <c r="V221" s="148" t="e">
        <f t="shared" si="141"/>
        <v>#VALUE!</v>
      </c>
      <c r="W221" s="148" t="e">
        <f t="shared" si="142"/>
        <v>#VALUE!</v>
      </c>
      <c r="X221" s="148" t="e">
        <f t="shared" si="143"/>
        <v>#VALUE!</v>
      </c>
      <c r="Y221" s="148" t="e">
        <f t="shared" si="144"/>
        <v>#VALUE!</v>
      </c>
      <c r="Z221" s="148" t="e">
        <f t="shared" si="145"/>
        <v>#VALUE!</v>
      </c>
      <c r="AA221" s="148" t="e">
        <f t="shared" si="146"/>
        <v>#VALUE!</v>
      </c>
      <c r="AB221" s="24" t="e">
        <f t="shared" si="164"/>
        <v>#VALUE!</v>
      </c>
      <c r="AC221" s="148" t="e">
        <f t="shared" si="147"/>
        <v>#VALUE!</v>
      </c>
      <c r="AD221" s="148" t="e">
        <f t="shared" si="148"/>
        <v>#VALUE!</v>
      </c>
      <c r="AE221" s="148" t="e">
        <f t="shared" si="149"/>
        <v>#VALUE!</v>
      </c>
      <c r="AF221" s="148" t="e">
        <f t="shared" si="150"/>
        <v>#VALUE!</v>
      </c>
      <c r="AG221" s="148" t="e">
        <f t="shared" si="151"/>
        <v>#VALUE!</v>
      </c>
      <c r="AH221" s="148" t="e">
        <f t="shared" si="152"/>
        <v>#VALUE!</v>
      </c>
      <c r="AI221" s="148" t="e">
        <f t="shared" si="153"/>
        <v>#VALUE!</v>
      </c>
      <c r="AJ221" s="20" t="e">
        <f t="shared" si="165"/>
        <v>#VALUE!</v>
      </c>
      <c r="AK221" s="148" t="e">
        <f t="shared" si="154"/>
        <v>#VALUE!</v>
      </c>
      <c r="AL221" s="148" t="e">
        <f t="shared" si="155"/>
        <v>#VALUE!</v>
      </c>
      <c r="AM221" s="148" t="e">
        <f t="shared" si="156"/>
        <v>#VALUE!</v>
      </c>
      <c r="AN221" s="148" t="e">
        <f t="shared" si="157"/>
        <v>#VALUE!</v>
      </c>
      <c r="AO221" s="148" t="e">
        <f t="shared" si="158"/>
        <v>#VALUE!</v>
      </c>
      <c r="AP221" s="148" t="e">
        <f t="shared" si="159"/>
        <v>#VALUE!</v>
      </c>
      <c r="AQ221" s="148" t="e">
        <f t="shared" si="160"/>
        <v>#VALUE!</v>
      </c>
      <c r="AR221" s="17" t="e">
        <f t="shared" si="166"/>
        <v>#VALUE!</v>
      </c>
      <c r="AS221" s="148" t="e">
        <f t="shared" si="161"/>
        <v>#VALUE!</v>
      </c>
      <c r="AT221" s="181" t="e">
        <f>INDEX('stock fisico '!N:N, MATCH(B221, 'stock fisico '!B:B, 0))</f>
        <v>#N/A</v>
      </c>
      <c r="AU221" s="179" t="e">
        <f>INDEX('stock fisico '!D:D, MATCH(B221, 'stock fisico '!B:B, 0))</f>
        <v>#N/A</v>
      </c>
      <c r="AV221" s="177" t="e">
        <f>INDEX('stock fisico '!L:L, MATCH(B221, 'stock fisico '!B:B, 0))</f>
        <v>#N/A</v>
      </c>
    </row>
    <row r="222" spans="1:48" x14ac:dyDescent="0.25">
      <c r="A222" s="181" t="e">
        <f>INDEX('stock fisico '!M:M, MATCH(B222, 'stock fisico '!B:B, 0))</f>
        <v>#N/A</v>
      </c>
      <c r="C222" s="179" t="e">
        <f>INDEX('stock fisico '!C:C, MATCH(B222, 'stock fisico '!B:B, 0))</f>
        <v>#N/A</v>
      </c>
      <c r="D222" s="178" t="e">
        <f>INDEX('stock fisico '!I:I, MATCH(B222, 'stock fisico '!B:B, 0))</f>
        <v>#N/A</v>
      </c>
      <c r="E222" s="173" t="e">
        <f t="shared" si="167"/>
        <v>#VALUE!</v>
      </c>
      <c r="F222" s="148" t="e">
        <f t="shared" si="127"/>
        <v>#VALUE!</v>
      </c>
      <c r="G222" s="148" t="e">
        <f t="shared" si="128"/>
        <v>#VALUE!</v>
      </c>
      <c r="H222" s="148" t="e">
        <f t="shared" si="129"/>
        <v>#VALUE!</v>
      </c>
      <c r="I222" s="148" t="e">
        <f t="shared" si="130"/>
        <v>#VALUE!</v>
      </c>
      <c r="J222" s="148" t="e">
        <f t="shared" si="131"/>
        <v>#VALUE!</v>
      </c>
      <c r="K222" s="148" t="e">
        <f t="shared" si="132"/>
        <v>#VALUE!</v>
      </c>
      <c r="L222" s="175" t="e">
        <f t="shared" si="162"/>
        <v>#VALUE!</v>
      </c>
      <c r="M222" s="148" t="e">
        <f t="shared" si="133"/>
        <v>#VALUE!</v>
      </c>
      <c r="N222" s="148" t="e">
        <f t="shared" si="134"/>
        <v>#VALUE!</v>
      </c>
      <c r="O222" s="148" t="e">
        <f t="shared" si="135"/>
        <v>#VALUE!</v>
      </c>
      <c r="P222" s="148" t="e">
        <f t="shared" si="136"/>
        <v>#VALUE!</v>
      </c>
      <c r="Q222" s="148" t="e">
        <f t="shared" si="137"/>
        <v>#VALUE!</v>
      </c>
      <c r="R222" s="148" t="e">
        <f t="shared" si="138"/>
        <v>#VALUE!</v>
      </c>
      <c r="S222" s="148" t="e">
        <f t="shared" si="139"/>
        <v>#VALUE!</v>
      </c>
      <c r="T222" s="174" t="e">
        <f t="shared" si="163"/>
        <v>#VALUE!</v>
      </c>
      <c r="U222" s="148" t="e">
        <f t="shared" si="140"/>
        <v>#VALUE!</v>
      </c>
      <c r="V222" s="148" t="e">
        <f t="shared" si="141"/>
        <v>#VALUE!</v>
      </c>
      <c r="W222" s="148" t="e">
        <f t="shared" si="142"/>
        <v>#VALUE!</v>
      </c>
      <c r="X222" s="148" t="e">
        <f t="shared" si="143"/>
        <v>#VALUE!</v>
      </c>
      <c r="Y222" s="148" t="e">
        <f t="shared" si="144"/>
        <v>#VALUE!</v>
      </c>
      <c r="Z222" s="148" t="e">
        <f t="shared" si="145"/>
        <v>#VALUE!</v>
      </c>
      <c r="AA222" s="148" t="e">
        <f t="shared" si="146"/>
        <v>#VALUE!</v>
      </c>
      <c r="AB222" s="24" t="e">
        <f t="shared" si="164"/>
        <v>#VALUE!</v>
      </c>
      <c r="AC222" s="148" t="e">
        <f t="shared" si="147"/>
        <v>#VALUE!</v>
      </c>
      <c r="AD222" s="148" t="e">
        <f t="shared" si="148"/>
        <v>#VALUE!</v>
      </c>
      <c r="AE222" s="148" t="e">
        <f t="shared" si="149"/>
        <v>#VALUE!</v>
      </c>
      <c r="AF222" s="148" t="e">
        <f t="shared" si="150"/>
        <v>#VALUE!</v>
      </c>
      <c r="AG222" s="148" t="e">
        <f t="shared" si="151"/>
        <v>#VALUE!</v>
      </c>
      <c r="AH222" s="148" t="e">
        <f t="shared" si="152"/>
        <v>#VALUE!</v>
      </c>
      <c r="AI222" s="148" t="e">
        <f t="shared" si="153"/>
        <v>#VALUE!</v>
      </c>
      <c r="AJ222" s="20" t="e">
        <f t="shared" si="165"/>
        <v>#VALUE!</v>
      </c>
      <c r="AK222" s="148" t="e">
        <f t="shared" si="154"/>
        <v>#VALUE!</v>
      </c>
      <c r="AL222" s="148" t="e">
        <f t="shared" si="155"/>
        <v>#VALUE!</v>
      </c>
      <c r="AM222" s="148" t="e">
        <f t="shared" si="156"/>
        <v>#VALUE!</v>
      </c>
      <c r="AN222" s="148" t="e">
        <f t="shared" si="157"/>
        <v>#VALUE!</v>
      </c>
      <c r="AO222" s="148" t="e">
        <f t="shared" si="158"/>
        <v>#VALUE!</v>
      </c>
      <c r="AP222" s="148" t="e">
        <f t="shared" si="159"/>
        <v>#VALUE!</v>
      </c>
      <c r="AQ222" s="148" t="e">
        <f t="shared" si="160"/>
        <v>#VALUE!</v>
      </c>
      <c r="AR222" s="17" t="e">
        <f t="shared" si="166"/>
        <v>#VALUE!</v>
      </c>
      <c r="AS222" s="148" t="e">
        <f t="shared" si="161"/>
        <v>#VALUE!</v>
      </c>
      <c r="AT222" s="181" t="e">
        <f>INDEX('stock fisico '!N:N, MATCH(B222, 'stock fisico '!B:B, 0))</f>
        <v>#N/A</v>
      </c>
      <c r="AU222" s="179" t="e">
        <f>INDEX('stock fisico '!D:D, MATCH(B222, 'stock fisico '!B:B, 0))</f>
        <v>#N/A</v>
      </c>
      <c r="AV222" s="177" t="e">
        <f>INDEX('stock fisico '!L:L, MATCH(B222, 'stock fisico '!B:B, 0))</f>
        <v>#N/A</v>
      </c>
    </row>
    <row r="223" spans="1:48" x14ac:dyDescent="0.25">
      <c r="A223" s="181" t="e">
        <f>INDEX('stock fisico '!M:M, MATCH(B223, 'stock fisico '!B:B, 0))</f>
        <v>#N/A</v>
      </c>
      <c r="C223" s="179" t="e">
        <f>INDEX('stock fisico '!C:C, MATCH(B223, 'stock fisico '!B:B, 0))</f>
        <v>#N/A</v>
      </c>
      <c r="D223" s="178" t="e">
        <f>INDEX('stock fisico '!I:I, MATCH(B223, 'stock fisico '!B:B, 0))</f>
        <v>#N/A</v>
      </c>
      <c r="E223" s="173" t="e">
        <f t="shared" si="167"/>
        <v>#VALUE!</v>
      </c>
      <c r="F223" s="148" t="e">
        <f t="shared" si="127"/>
        <v>#VALUE!</v>
      </c>
      <c r="G223" s="148" t="e">
        <f t="shared" si="128"/>
        <v>#VALUE!</v>
      </c>
      <c r="H223" s="148" t="e">
        <f t="shared" si="129"/>
        <v>#VALUE!</v>
      </c>
      <c r="I223" s="148" t="e">
        <f t="shared" si="130"/>
        <v>#VALUE!</v>
      </c>
      <c r="J223" s="148" t="e">
        <f t="shared" si="131"/>
        <v>#VALUE!</v>
      </c>
      <c r="K223" s="148" t="e">
        <f t="shared" si="132"/>
        <v>#VALUE!</v>
      </c>
      <c r="L223" s="175" t="e">
        <f t="shared" si="162"/>
        <v>#VALUE!</v>
      </c>
      <c r="M223" s="148" t="e">
        <f t="shared" si="133"/>
        <v>#VALUE!</v>
      </c>
      <c r="N223" s="148" t="e">
        <f t="shared" si="134"/>
        <v>#VALUE!</v>
      </c>
      <c r="O223" s="148" t="e">
        <f t="shared" si="135"/>
        <v>#VALUE!</v>
      </c>
      <c r="P223" s="148" t="e">
        <f t="shared" si="136"/>
        <v>#VALUE!</v>
      </c>
      <c r="Q223" s="148" t="e">
        <f t="shared" si="137"/>
        <v>#VALUE!</v>
      </c>
      <c r="R223" s="148" t="e">
        <f t="shared" si="138"/>
        <v>#VALUE!</v>
      </c>
      <c r="S223" s="148" t="e">
        <f t="shared" si="139"/>
        <v>#VALUE!</v>
      </c>
      <c r="T223" s="174" t="e">
        <f t="shared" si="163"/>
        <v>#VALUE!</v>
      </c>
      <c r="U223" s="148" t="e">
        <f t="shared" si="140"/>
        <v>#VALUE!</v>
      </c>
      <c r="V223" s="148" t="e">
        <f t="shared" si="141"/>
        <v>#VALUE!</v>
      </c>
      <c r="W223" s="148" t="e">
        <f t="shared" si="142"/>
        <v>#VALUE!</v>
      </c>
      <c r="X223" s="148" t="e">
        <f t="shared" si="143"/>
        <v>#VALUE!</v>
      </c>
      <c r="Y223" s="148" t="e">
        <f t="shared" si="144"/>
        <v>#VALUE!</v>
      </c>
      <c r="Z223" s="148" t="e">
        <f t="shared" si="145"/>
        <v>#VALUE!</v>
      </c>
      <c r="AA223" s="148" t="e">
        <f t="shared" si="146"/>
        <v>#VALUE!</v>
      </c>
      <c r="AB223" s="24" t="e">
        <f t="shared" si="164"/>
        <v>#VALUE!</v>
      </c>
      <c r="AC223" s="148" t="e">
        <f t="shared" si="147"/>
        <v>#VALUE!</v>
      </c>
      <c r="AD223" s="148" t="e">
        <f t="shared" si="148"/>
        <v>#VALUE!</v>
      </c>
      <c r="AE223" s="148" t="e">
        <f t="shared" si="149"/>
        <v>#VALUE!</v>
      </c>
      <c r="AF223" s="148" t="e">
        <f t="shared" si="150"/>
        <v>#VALUE!</v>
      </c>
      <c r="AG223" s="148" t="e">
        <f t="shared" si="151"/>
        <v>#VALUE!</v>
      </c>
      <c r="AH223" s="148" t="e">
        <f t="shared" si="152"/>
        <v>#VALUE!</v>
      </c>
      <c r="AI223" s="148" t="e">
        <f t="shared" si="153"/>
        <v>#VALUE!</v>
      </c>
      <c r="AJ223" s="20" t="e">
        <f t="shared" si="165"/>
        <v>#VALUE!</v>
      </c>
      <c r="AK223" s="148" t="e">
        <f t="shared" si="154"/>
        <v>#VALUE!</v>
      </c>
      <c r="AL223" s="148" t="e">
        <f t="shared" si="155"/>
        <v>#VALUE!</v>
      </c>
      <c r="AM223" s="148" t="e">
        <f t="shared" si="156"/>
        <v>#VALUE!</v>
      </c>
      <c r="AN223" s="148" t="e">
        <f t="shared" si="157"/>
        <v>#VALUE!</v>
      </c>
      <c r="AO223" s="148" t="e">
        <f t="shared" si="158"/>
        <v>#VALUE!</v>
      </c>
      <c r="AP223" s="148" t="e">
        <f t="shared" si="159"/>
        <v>#VALUE!</v>
      </c>
      <c r="AQ223" s="148" t="e">
        <f t="shared" si="160"/>
        <v>#VALUE!</v>
      </c>
      <c r="AR223" s="17" t="e">
        <f t="shared" si="166"/>
        <v>#VALUE!</v>
      </c>
      <c r="AS223" s="148" t="e">
        <f t="shared" si="161"/>
        <v>#VALUE!</v>
      </c>
      <c r="AT223" s="181" t="e">
        <f>INDEX('stock fisico '!N:N, MATCH(B223, 'stock fisico '!B:B, 0))</f>
        <v>#N/A</v>
      </c>
      <c r="AU223" s="179" t="e">
        <f>INDEX('stock fisico '!D:D, MATCH(B223, 'stock fisico '!B:B, 0))</f>
        <v>#N/A</v>
      </c>
      <c r="AV223" s="177" t="e">
        <f>INDEX('stock fisico '!L:L, MATCH(B223, 'stock fisico '!B:B, 0))</f>
        <v>#N/A</v>
      </c>
    </row>
    <row r="224" spans="1:48" x14ac:dyDescent="0.25">
      <c r="A224" s="181" t="e">
        <f>INDEX('stock fisico '!M:M, MATCH(B224, 'stock fisico '!B:B, 0))</f>
        <v>#N/A</v>
      </c>
      <c r="C224" s="179" t="e">
        <f>INDEX('stock fisico '!C:C, MATCH(B224, 'stock fisico '!B:B, 0))</f>
        <v>#N/A</v>
      </c>
      <c r="D224" s="178" t="e">
        <f>INDEX('stock fisico '!I:I, MATCH(B224, 'stock fisico '!B:B, 0))</f>
        <v>#N/A</v>
      </c>
      <c r="E224" s="173" t="e">
        <f t="shared" si="167"/>
        <v>#VALUE!</v>
      </c>
      <c r="F224" s="148" t="e">
        <f t="shared" si="127"/>
        <v>#VALUE!</v>
      </c>
      <c r="G224" s="148" t="e">
        <f t="shared" si="128"/>
        <v>#VALUE!</v>
      </c>
      <c r="H224" s="148" t="e">
        <f t="shared" si="129"/>
        <v>#VALUE!</v>
      </c>
      <c r="I224" s="148" t="e">
        <f t="shared" si="130"/>
        <v>#VALUE!</v>
      </c>
      <c r="J224" s="148" t="e">
        <f t="shared" si="131"/>
        <v>#VALUE!</v>
      </c>
      <c r="K224" s="148" t="e">
        <f t="shared" si="132"/>
        <v>#VALUE!</v>
      </c>
      <c r="L224" s="175" t="e">
        <f t="shared" si="162"/>
        <v>#VALUE!</v>
      </c>
      <c r="M224" s="148" t="e">
        <f t="shared" si="133"/>
        <v>#VALUE!</v>
      </c>
      <c r="N224" s="148" t="e">
        <f t="shared" si="134"/>
        <v>#VALUE!</v>
      </c>
      <c r="O224" s="148" t="e">
        <f t="shared" si="135"/>
        <v>#VALUE!</v>
      </c>
      <c r="P224" s="148" t="e">
        <f t="shared" si="136"/>
        <v>#VALUE!</v>
      </c>
      <c r="Q224" s="148" t="e">
        <f t="shared" si="137"/>
        <v>#VALUE!</v>
      </c>
      <c r="R224" s="148" t="e">
        <f t="shared" si="138"/>
        <v>#VALUE!</v>
      </c>
      <c r="S224" s="148" t="e">
        <f t="shared" si="139"/>
        <v>#VALUE!</v>
      </c>
      <c r="T224" s="174" t="e">
        <f t="shared" si="163"/>
        <v>#VALUE!</v>
      </c>
      <c r="U224" s="148" t="e">
        <f t="shared" si="140"/>
        <v>#VALUE!</v>
      </c>
      <c r="V224" s="148" t="e">
        <f t="shared" si="141"/>
        <v>#VALUE!</v>
      </c>
      <c r="W224" s="148" t="e">
        <f t="shared" si="142"/>
        <v>#VALUE!</v>
      </c>
      <c r="X224" s="148" t="e">
        <f t="shared" si="143"/>
        <v>#VALUE!</v>
      </c>
      <c r="Y224" s="148" t="e">
        <f t="shared" si="144"/>
        <v>#VALUE!</v>
      </c>
      <c r="Z224" s="148" t="e">
        <f t="shared" si="145"/>
        <v>#VALUE!</v>
      </c>
      <c r="AA224" s="148" t="e">
        <f t="shared" si="146"/>
        <v>#VALUE!</v>
      </c>
      <c r="AB224" s="24" t="e">
        <f t="shared" si="164"/>
        <v>#VALUE!</v>
      </c>
      <c r="AC224" s="148" t="e">
        <f t="shared" si="147"/>
        <v>#VALUE!</v>
      </c>
      <c r="AD224" s="148" t="e">
        <f t="shared" si="148"/>
        <v>#VALUE!</v>
      </c>
      <c r="AE224" s="148" t="e">
        <f t="shared" si="149"/>
        <v>#VALUE!</v>
      </c>
      <c r="AF224" s="148" t="e">
        <f t="shared" si="150"/>
        <v>#VALUE!</v>
      </c>
      <c r="AG224" s="148" t="e">
        <f t="shared" si="151"/>
        <v>#VALUE!</v>
      </c>
      <c r="AH224" s="148" t="e">
        <f t="shared" si="152"/>
        <v>#VALUE!</v>
      </c>
      <c r="AI224" s="148" t="e">
        <f t="shared" si="153"/>
        <v>#VALUE!</v>
      </c>
      <c r="AJ224" s="20" t="e">
        <f t="shared" si="165"/>
        <v>#VALUE!</v>
      </c>
      <c r="AK224" s="148" t="e">
        <f t="shared" si="154"/>
        <v>#VALUE!</v>
      </c>
      <c r="AL224" s="148" t="e">
        <f t="shared" si="155"/>
        <v>#VALUE!</v>
      </c>
      <c r="AM224" s="148" t="e">
        <f t="shared" si="156"/>
        <v>#VALUE!</v>
      </c>
      <c r="AN224" s="148" t="e">
        <f t="shared" si="157"/>
        <v>#VALUE!</v>
      </c>
      <c r="AO224" s="148" t="e">
        <f t="shared" si="158"/>
        <v>#VALUE!</v>
      </c>
      <c r="AP224" s="148" t="e">
        <f t="shared" si="159"/>
        <v>#VALUE!</v>
      </c>
      <c r="AQ224" s="148" t="e">
        <f t="shared" si="160"/>
        <v>#VALUE!</v>
      </c>
      <c r="AR224" s="17" t="e">
        <f t="shared" si="166"/>
        <v>#VALUE!</v>
      </c>
      <c r="AS224" s="148" t="e">
        <f t="shared" si="161"/>
        <v>#VALUE!</v>
      </c>
      <c r="AT224" s="181" t="e">
        <f>INDEX('stock fisico '!N:N, MATCH(B224, 'stock fisico '!B:B, 0))</f>
        <v>#N/A</v>
      </c>
      <c r="AU224" s="179" t="e">
        <f>INDEX('stock fisico '!D:D, MATCH(B224, 'stock fisico '!B:B, 0))</f>
        <v>#N/A</v>
      </c>
      <c r="AV224" s="177" t="e">
        <f>INDEX('stock fisico '!L:L, MATCH(B224, 'stock fisico '!B:B, 0))</f>
        <v>#N/A</v>
      </c>
    </row>
    <row r="225" spans="1:48" x14ac:dyDescent="0.25">
      <c r="A225" s="181" t="e">
        <f>INDEX('stock fisico '!M:M, MATCH(B225, 'stock fisico '!B:B, 0))</f>
        <v>#N/A</v>
      </c>
      <c r="C225" s="179" t="e">
        <f>INDEX('stock fisico '!C:C, MATCH(B225, 'stock fisico '!B:B, 0))</f>
        <v>#N/A</v>
      </c>
      <c r="D225" s="178" t="e">
        <f>INDEX('stock fisico '!I:I, MATCH(B225, 'stock fisico '!B:B, 0))</f>
        <v>#N/A</v>
      </c>
      <c r="E225" s="173" t="e">
        <f t="shared" si="167"/>
        <v>#VALUE!</v>
      </c>
      <c r="F225" s="148" t="e">
        <f t="shared" si="127"/>
        <v>#VALUE!</v>
      </c>
      <c r="G225" s="148" t="e">
        <f t="shared" si="128"/>
        <v>#VALUE!</v>
      </c>
      <c r="H225" s="148" t="e">
        <f t="shared" si="129"/>
        <v>#VALUE!</v>
      </c>
      <c r="I225" s="148" t="e">
        <f t="shared" si="130"/>
        <v>#VALUE!</v>
      </c>
      <c r="J225" s="148" t="e">
        <f t="shared" si="131"/>
        <v>#VALUE!</v>
      </c>
      <c r="K225" s="148" t="e">
        <f t="shared" si="132"/>
        <v>#VALUE!</v>
      </c>
      <c r="L225" s="175" t="e">
        <f t="shared" si="162"/>
        <v>#VALUE!</v>
      </c>
      <c r="M225" s="148" t="e">
        <f t="shared" si="133"/>
        <v>#VALUE!</v>
      </c>
      <c r="N225" s="148" t="e">
        <f t="shared" si="134"/>
        <v>#VALUE!</v>
      </c>
      <c r="O225" s="148" t="e">
        <f t="shared" si="135"/>
        <v>#VALUE!</v>
      </c>
      <c r="P225" s="148" t="e">
        <f t="shared" si="136"/>
        <v>#VALUE!</v>
      </c>
      <c r="Q225" s="148" t="e">
        <f t="shared" si="137"/>
        <v>#VALUE!</v>
      </c>
      <c r="R225" s="148" t="e">
        <f t="shared" si="138"/>
        <v>#VALUE!</v>
      </c>
      <c r="S225" s="148" t="e">
        <f t="shared" si="139"/>
        <v>#VALUE!</v>
      </c>
      <c r="T225" s="174" t="e">
        <f t="shared" si="163"/>
        <v>#VALUE!</v>
      </c>
      <c r="U225" s="148" t="e">
        <f t="shared" si="140"/>
        <v>#VALUE!</v>
      </c>
      <c r="V225" s="148" t="e">
        <f t="shared" si="141"/>
        <v>#VALUE!</v>
      </c>
      <c r="W225" s="148" t="e">
        <f t="shared" si="142"/>
        <v>#VALUE!</v>
      </c>
      <c r="X225" s="148" t="e">
        <f t="shared" si="143"/>
        <v>#VALUE!</v>
      </c>
      <c r="Y225" s="148" t="e">
        <f t="shared" si="144"/>
        <v>#VALUE!</v>
      </c>
      <c r="Z225" s="148" t="e">
        <f t="shared" si="145"/>
        <v>#VALUE!</v>
      </c>
      <c r="AA225" s="148" t="e">
        <f t="shared" si="146"/>
        <v>#VALUE!</v>
      </c>
      <c r="AB225" s="24" t="e">
        <f t="shared" si="164"/>
        <v>#VALUE!</v>
      </c>
      <c r="AC225" s="148" t="e">
        <f t="shared" si="147"/>
        <v>#VALUE!</v>
      </c>
      <c r="AD225" s="148" t="e">
        <f t="shared" si="148"/>
        <v>#VALUE!</v>
      </c>
      <c r="AE225" s="148" t="e">
        <f t="shared" si="149"/>
        <v>#VALUE!</v>
      </c>
      <c r="AF225" s="148" t="e">
        <f t="shared" si="150"/>
        <v>#VALUE!</v>
      </c>
      <c r="AG225" s="148" t="e">
        <f t="shared" si="151"/>
        <v>#VALUE!</v>
      </c>
      <c r="AH225" s="148" t="e">
        <f t="shared" si="152"/>
        <v>#VALUE!</v>
      </c>
      <c r="AI225" s="148" t="e">
        <f t="shared" si="153"/>
        <v>#VALUE!</v>
      </c>
      <c r="AJ225" s="20" t="e">
        <f t="shared" si="165"/>
        <v>#VALUE!</v>
      </c>
      <c r="AK225" s="148" t="e">
        <f t="shared" si="154"/>
        <v>#VALUE!</v>
      </c>
      <c r="AL225" s="148" t="e">
        <f t="shared" si="155"/>
        <v>#VALUE!</v>
      </c>
      <c r="AM225" s="148" t="e">
        <f t="shared" si="156"/>
        <v>#VALUE!</v>
      </c>
      <c r="AN225" s="148" t="e">
        <f t="shared" si="157"/>
        <v>#VALUE!</v>
      </c>
      <c r="AO225" s="148" t="e">
        <f t="shared" si="158"/>
        <v>#VALUE!</v>
      </c>
      <c r="AP225" s="148" t="e">
        <f t="shared" si="159"/>
        <v>#VALUE!</v>
      </c>
      <c r="AQ225" s="148" t="e">
        <f t="shared" si="160"/>
        <v>#VALUE!</v>
      </c>
      <c r="AR225" s="17" t="e">
        <f t="shared" si="166"/>
        <v>#VALUE!</v>
      </c>
      <c r="AS225" s="148" t="e">
        <f t="shared" si="161"/>
        <v>#VALUE!</v>
      </c>
      <c r="AT225" s="181" t="e">
        <f>INDEX('stock fisico '!N:N, MATCH(B225, 'stock fisico '!B:B, 0))</f>
        <v>#N/A</v>
      </c>
      <c r="AU225" s="179" t="e">
        <f>INDEX('stock fisico '!D:D, MATCH(B225, 'stock fisico '!B:B, 0))</f>
        <v>#N/A</v>
      </c>
      <c r="AV225" s="177" t="e">
        <f>INDEX('stock fisico '!L:L, MATCH(B225, 'stock fisico '!B:B, 0))</f>
        <v>#N/A</v>
      </c>
    </row>
    <row r="226" spans="1:48" x14ac:dyDescent="0.25">
      <c r="A226" s="181" t="e">
        <f>INDEX('stock fisico '!M:M, MATCH(B226, 'stock fisico '!B:B, 0))</f>
        <v>#N/A</v>
      </c>
      <c r="C226" s="179" t="e">
        <f>INDEX('stock fisico '!C:C, MATCH(B226, 'stock fisico '!B:B, 0))</f>
        <v>#N/A</v>
      </c>
      <c r="D226" s="178" t="e">
        <f>INDEX('stock fisico '!I:I, MATCH(B226, 'stock fisico '!B:B, 0))</f>
        <v>#N/A</v>
      </c>
      <c r="E226" s="173" t="e">
        <f t="shared" si="167"/>
        <v>#VALUE!</v>
      </c>
      <c r="F226" s="148" t="e">
        <f t="shared" si="127"/>
        <v>#VALUE!</v>
      </c>
      <c r="G226" s="148" t="e">
        <f t="shared" si="128"/>
        <v>#VALUE!</v>
      </c>
      <c r="H226" s="148" t="e">
        <f t="shared" si="129"/>
        <v>#VALUE!</v>
      </c>
      <c r="I226" s="148" t="e">
        <f t="shared" si="130"/>
        <v>#VALUE!</v>
      </c>
      <c r="J226" s="148" t="e">
        <f t="shared" si="131"/>
        <v>#VALUE!</v>
      </c>
      <c r="K226" s="148" t="e">
        <f t="shared" si="132"/>
        <v>#VALUE!</v>
      </c>
      <c r="L226" s="175" t="e">
        <f t="shared" si="162"/>
        <v>#VALUE!</v>
      </c>
      <c r="M226" s="148" t="e">
        <f t="shared" si="133"/>
        <v>#VALUE!</v>
      </c>
      <c r="N226" s="148" t="e">
        <f t="shared" si="134"/>
        <v>#VALUE!</v>
      </c>
      <c r="O226" s="148" t="e">
        <f t="shared" si="135"/>
        <v>#VALUE!</v>
      </c>
      <c r="P226" s="148" t="e">
        <f t="shared" si="136"/>
        <v>#VALUE!</v>
      </c>
      <c r="Q226" s="148" t="e">
        <f t="shared" si="137"/>
        <v>#VALUE!</v>
      </c>
      <c r="R226" s="148" t="e">
        <f t="shared" si="138"/>
        <v>#VALUE!</v>
      </c>
      <c r="S226" s="148" t="e">
        <f t="shared" si="139"/>
        <v>#VALUE!</v>
      </c>
      <c r="T226" s="174" t="e">
        <f t="shared" si="163"/>
        <v>#VALUE!</v>
      </c>
      <c r="U226" s="148" t="e">
        <f t="shared" si="140"/>
        <v>#VALUE!</v>
      </c>
      <c r="V226" s="148" t="e">
        <f t="shared" si="141"/>
        <v>#VALUE!</v>
      </c>
      <c r="W226" s="148" t="e">
        <f t="shared" si="142"/>
        <v>#VALUE!</v>
      </c>
      <c r="X226" s="148" t="e">
        <f t="shared" si="143"/>
        <v>#VALUE!</v>
      </c>
      <c r="Y226" s="148" t="e">
        <f t="shared" si="144"/>
        <v>#VALUE!</v>
      </c>
      <c r="Z226" s="148" t="e">
        <f t="shared" si="145"/>
        <v>#VALUE!</v>
      </c>
      <c r="AA226" s="148" t="e">
        <f t="shared" si="146"/>
        <v>#VALUE!</v>
      </c>
      <c r="AB226" s="24" t="e">
        <f t="shared" si="164"/>
        <v>#VALUE!</v>
      </c>
      <c r="AC226" s="148" t="e">
        <f t="shared" si="147"/>
        <v>#VALUE!</v>
      </c>
      <c r="AD226" s="148" t="e">
        <f t="shared" si="148"/>
        <v>#VALUE!</v>
      </c>
      <c r="AE226" s="148" t="e">
        <f t="shared" si="149"/>
        <v>#VALUE!</v>
      </c>
      <c r="AF226" s="148" t="e">
        <f t="shared" si="150"/>
        <v>#VALUE!</v>
      </c>
      <c r="AG226" s="148" t="e">
        <f t="shared" si="151"/>
        <v>#VALUE!</v>
      </c>
      <c r="AH226" s="148" t="e">
        <f t="shared" si="152"/>
        <v>#VALUE!</v>
      </c>
      <c r="AI226" s="148" t="e">
        <f t="shared" si="153"/>
        <v>#VALUE!</v>
      </c>
      <c r="AJ226" s="20" t="e">
        <f t="shared" si="165"/>
        <v>#VALUE!</v>
      </c>
      <c r="AK226" s="148" t="e">
        <f t="shared" si="154"/>
        <v>#VALUE!</v>
      </c>
      <c r="AL226" s="148" t="e">
        <f t="shared" si="155"/>
        <v>#VALUE!</v>
      </c>
      <c r="AM226" s="148" t="e">
        <f t="shared" si="156"/>
        <v>#VALUE!</v>
      </c>
      <c r="AN226" s="148" t="e">
        <f t="shared" si="157"/>
        <v>#VALUE!</v>
      </c>
      <c r="AO226" s="148" t="e">
        <f t="shared" si="158"/>
        <v>#VALUE!</v>
      </c>
      <c r="AP226" s="148" t="e">
        <f t="shared" si="159"/>
        <v>#VALUE!</v>
      </c>
      <c r="AQ226" s="148" t="e">
        <f t="shared" si="160"/>
        <v>#VALUE!</v>
      </c>
      <c r="AR226" s="17" t="e">
        <f t="shared" si="166"/>
        <v>#VALUE!</v>
      </c>
      <c r="AS226" s="148" t="e">
        <f t="shared" si="161"/>
        <v>#VALUE!</v>
      </c>
      <c r="AT226" s="181" t="e">
        <f>INDEX('stock fisico '!N:N, MATCH(B226, 'stock fisico '!B:B, 0))</f>
        <v>#N/A</v>
      </c>
      <c r="AU226" s="179" t="e">
        <f>INDEX('stock fisico '!D:D, MATCH(B226, 'stock fisico '!B:B, 0))</f>
        <v>#N/A</v>
      </c>
      <c r="AV226" s="177" t="e">
        <f>INDEX('stock fisico '!L:L, MATCH(B226, 'stock fisico '!B:B, 0))</f>
        <v>#N/A</v>
      </c>
    </row>
    <row r="227" spans="1:48" x14ac:dyDescent="0.25">
      <c r="A227" s="181" t="e">
        <f>INDEX('stock fisico '!M:M, MATCH(B227, 'stock fisico '!B:B, 0))</f>
        <v>#N/A</v>
      </c>
      <c r="C227" s="179" t="e">
        <f>INDEX('stock fisico '!C:C, MATCH(B227, 'stock fisico '!B:B, 0))</f>
        <v>#N/A</v>
      </c>
      <c r="D227" s="178" t="e">
        <f>INDEX('stock fisico '!I:I, MATCH(B227, 'stock fisico '!B:B, 0))</f>
        <v>#N/A</v>
      </c>
      <c r="E227" s="173" t="e">
        <f t="shared" si="167"/>
        <v>#VALUE!</v>
      </c>
      <c r="F227" s="148" t="e">
        <f t="shared" si="127"/>
        <v>#VALUE!</v>
      </c>
      <c r="G227" s="148" t="e">
        <f t="shared" si="128"/>
        <v>#VALUE!</v>
      </c>
      <c r="H227" s="148" t="e">
        <f t="shared" si="129"/>
        <v>#VALUE!</v>
      </c>
      <c r="I227" s="148" t="e">
        <f t="shared" si="130"/>
        <v>#VALUE!</v>
      </c>
      <c r="J227" s="148" t="e">
        <f t="shared" si="131"/>
        <v>#VALUE!</v>
      </c>
      <c r="K227" s="148" t="e">
        <f t="shared" si="132"/>
        <v>#VALUE!</v>
      </c>
      <c r="L227" s="175" t="e">
        <f t="shared" si="162"/>
        <v>#VALUE!</v>
      </c>
      <c r="M227" s="148" t="e">
        <f t="shared" si="133"/>
        <v>#VALUE!</v>
      </c>
      <c r="N227" s="148" t="e">
        <f t="shared" si="134"/>
        <v>#VALUE!</v>
      </c>
      <c r="O227" s="148" t="e">
        <f t="shared" si="135"/>
        <v>#VALUE!</v>
      </c>
      <c r="P227" s="148" t="e">
        <f t="shared" si="136"/>
        <v>#VALUE!</v>
      </c>
      <c r="Q227" s="148" t="e">
        <f t="shared" si="137"/>
        <v>#VALUE!</v>
      </c>
      <c r="R227" s="148" t="e">
        <f t="shared" si="138"/>
        <v>#VALUE!</v>
      </c>
      <c r="S227" s="148" t="e">
        <f t="shared" si="139"/>
        <v>#VALUE!</v>
      </c>
      <c r="T227" s="174" t="e">
        <f t="shared" si="163"/>
        <v>#VALUE!</v>
      </c>
      <c r="U227" s="148" t="e">
        <f t="shared" si="140"/>
        <v>#VALUE!</v>
      </c>
      <c r="V227" s="148" t="e">
        <f t="shared" si="141"/>
        <v>#VALUE!</v>
      </c>
      <c r="W227" s="148" t="e">
        <f t="shared" si="142"/>
        <v>#VALUE!</v>
      </c>
      <c r="X227" s="148" t="e">
        <f t="shared" si="143"/>
        <v>#VALUE!</v>
      </c>
      <c r="Y227" s="148" t="e">
        <f t="shared" si="144"/>
        <v>#VALUE!</v>
      </c>
      <c r="Z227" s="148" t="e">
        <f t="shared" si="145"/>
        <v>#VALUE!</v>
      </c>
      <c r="AA227" s="148" t="e">
        <f t="shared" si="146"/>
        <v>#VALUE!</v>
      </c>
      <c r="AB227" s="24" t="e">
        <f t="shared" si="164"/>
        <v>#VALUE!</v>
      </c>
      <c r="AC227" s="148" t="e">
        <f t="shared" si="147"/>
        <v>#VALUE!</v>
      </c>
      <c r="AD227" s="148" t="e">
        <f t="shared" si="148"/>
        <v>#VALUE!</v>
      </c>
      <c r="AE227" s="148" t="e">
        <f t="shared" si="149"/>
        <v>#VALUE!</v>
      </c>
      <c r="AF227" s="148" t="e">
        <f t="shared" si="150"/>
        <v>#VALUE!</v>
      </c>
      <c r="AG227" s="148" t="e">
        <f t="shared" si="151"/>
        <v>#VALUE!</v>
      </c>
      <c r="AH227" s="148" t="e">
        <f t="shared" si="152"/>
        <v>#VALUE!</v>
      </c>
      <c r="AI227" s="148" t="e">
        <f t="shared" si="153"/>
        <v>#VALUE!</v>
      </c>
      <c r="AJ227" s="20" t="e">
        <f t="shared" si="165"/>
        <v>#VALUE!</v>
      </c>
      <c r="AK227" s="148" t="e">
        <f t="shared" si="154"/>
        <v>#VALUE!</v>
      </c>
      <c r="AL227" s="148" t="e">
        <f t="shared" si="155"/>
        <v>#VALUE!</v>
      </c>
      <c r="AM227" s="148" t="e">
        <f t="shared" si="156"/>
        <v>#VALUE!</v>
      </c>
      <c r="AN227" s="148" t="e">
        <f t="shared" si="157"/>
        <v>#VALUE!</v>
      </c>
      <c r="AO227" s="148" t="e">
        <f t="shared" si="158"/>
        <v>#VALUE!</v>
      </c>
      <c r="AP227" s="148" t="e">
        <f t="shared" si="159"/>
        <v>#VALUE!</v>
      </c>
      <c r="AQ227" s="148" t="e">
        <f t="shared" si="160"/>
        <v>#VALUE!</v>
      </c>
      <c r="AR227" s="17" t="e">
        <f t="shared" si="166"/>
        <v>#VALUE!</v>
      </c>
      <c r="AS227" s="148" t="e">
        <f t="shared" si="161"/>
        <v>#VALUE!</v>
      </c>
      <c r="AT227" s="181" t="e">
        <f>INDEX('stock fisico '!N:N, MATCH(B227, 'stock fisico '!B:B, 0))</f>
        <v>#N/A</v>
      </c>
      <c r="AU227" s="179" t="e">
        <f>INDEX('stock fisico '!D:D, MATCH(B227, 'stock fisico '!B:B, 0))</f>
        <v>#N/A</v>
      </c>
      <c r="AV227" s="177" t="e">
        <f>INDEX('stock fisico '!L:L, MATCH(B227, 'stock fisico '!B:B, 0))</f>
        <v>#N/A</v>
      </c>
    </row>
    <row r="228" spans="1:48" x14ac:dyDescent="0.25">
      <c r="A228" s="181" t="e">
        <f>INDEX('stock fisico '!M:M, MATCH(B228, 'stock fisico '!B:B, 0))</f>
        <v>#N/A</v>
      </c>
      <c r="C228" s="179" t="e">
        <f>INDEX('stock fisico '!C:C, MATCH(B228, 'stock fisico '!B:B, 0))</f>
        <v>#N/A</v>
      </c>
      <c r="D228" s="178" t="e">
        <f>INDEX('stock fisico '!I:I, MATCH(B228, 'stock fisico '!B:B, 0))</f>
        <v>#N/A</v>
      </c>
      <c r="E228" s="173" t="e">
        <f t="shared" si="167"/>
        <v>#VALUE!</v>
      </c>
      <c r="F228" s="148" t="e">
        <f t="shared" si="127"/>
        <v>#VALUE!</v>
      </c>
      <c r="G228" s="148" t="e">
        <f t="shared" si="128"/>
        <v>#VALUE!</v>
      </c>
      <c r="H228" s="148" t="e">
        <f t="shared" si="129"/>
        <v>#VALUE!</v>
      </c>
      <c r="I228" s="148" t="e">
        <f t="shared" si="130"/>
        <v>#VALUE!</v>
      </c>
      <c r="J228" s="148" t="e">
        <f t="shared" si="131"/>
        <v>#VALUE!</v>
      </c>
      <c r="K228" s="148" t="e">
        <f t="shared" si="132"/>
        <v>#VALUE!</v>
      </c>
      <c r="L228" s="175" t="e">
        <f t="shared" si="162"/>
        <v>#VALUE!</v>
      </c>
      <c r="M228" s="148" t="e">
        <f t="shared" si="133"/>
        <v>#VALUE!</v>
      </c>
      <c r="N228" s="148" t="e">
        <f t="shared" si="134"/>
        <v>#VALUE!</v>
      </c>
      <c r="O228" s="148" t="e">
        <f t="shared" si="135"/>
        <v>#VALUE!</v>
      </c>
      <c r="P228" s="148" t="e">
        <f t="shared" si="136"/>
        <v>#VALUE!</v>
      </c>
      <c r="Q228" s="148" t="e">
        <f t="shared" si="137"/>
        <v>#VALUE!</v>
      </c>
      <c r="R228" s="148" t="e">
        <f t="shared" si="138"/>
        <v>#VALUE!</v>
      </c>
      <c r="S228" s="148" t="e">
        <f t="shared" si="139"/>
        <v>#VALUE!</v>
      </c>
      <c r="T228" s="174" t="e">
        <f t="shared" si="163"/>
        <v>#VALUE!</v>
      </c>
      <c r="U228" s="148" t="e">
        <f t="shared" si="140"/>
        <v>#VALUE!</v>
      </c>
      <c r="V228" s="148" t="e">
        <f t="shared" si="141"/>
        <v>#VALUE!</v>
      </c>
      <c r="W228" s="148" t="e">
        <f t="shared" si="142"/>
        <v>#VALUE!</v>
      </c>
      <c r="X228" s="148" t="e">
        <f t="shared" si="143"/>
        <v>#VALUE!</v>
      </c>
      <c r="Y228" s="148" t="e">
        <f t="shared" si="144"/>
        <v>#VALUE!</v>
      </c>
      <c r="Z228" s="148" t="e">
        <f t="shared" si="145"/>
        <v>#VALUE!</v>
      </c>
      <c r="AA228" s="148" t="e">
        <f t="shared" si="146"/>
        <v>#VALUE!</v>
      </c>
      <c r="AB228" s="24" t="e">
        <f t="shared" si="164"/>
        <v>#VALUE!</v>
      </c>
      <c r="AC228" s="148" t="e">
        <f t="shared" si="147"/>
        <v>#VALUE!</v>
      </c>
      <c r="AD228" s="148" t="e">
        <f t="shared" si="148"/>
        <v>#VALUE!</v>
      </c>
      <c r="AE228" s="148" t="e">
        <f t="shared" si="149"/>
        <v>#VALUE!</v>
      </c>
      <c r="AF228" s="148" t="e">
        <f t="shared" si="150"/>
        <v>#VALUE!</v>
      </c>
      <c r="AG228" s="148" t="e">
        <f t="shared" si="151"/>
        <v>#VALUE!</v>
      </c>
      <c r="AH228" s="148" t="e">
        <f t="shared" si="152"/>
        <v>#VALUE!</v>
      </c>
      <c r="AI228" s="148" t="e">
        <f t="shared" si="153"/>
        <v>#VALUE!</v>
      </c>
      <c r="AJ228" s="20" t="e">
        <f t="shared" si="165"/>
        <v>#VALUE!</v>
      </c>
      <c r="AK228" s="148" t="e">
        <f t="shared" si="154"/>
        <v>#VALUE!</v>
      </c>
      <c r="AL228" s="148" t="e">
        <f t="shared" si="155"/>
        <v>#VALUE!</v>
      </c>
      <c r="AM228" s="148" t="e">
        <f t="shared" si="156"/>
        <v>#VALUE!</v>
      </c>
      <c r="AN228" s="148" t="e">
        <f t="shared" si="157"/>
        <v>#VALUE!</v>
      </c>
      <c r="AO228" s="148" t="e">
        <f t="shared" si="158"/>
        <v>#VALUE!</v>
      </c>
      <c r="AP228" s="148" t="e">
        <f t="shared" si="159"/>
        <v>#VALUE!</v>
      </c>
      <c r="AQ228" s="148" t="e">
        <f t="shared" si="160"/>
        <v>#VALUE!</v>
      </c>
      <c r="AR228" s="17" t="e">
        <f t="shared" si="166"/>
        <v>#VALUE!</v>
      </c>
      <c r="AS228" s="148" t="e">
        <f t="shared" si="161"/>
        <v>#VALUE!</v>
      </c>
      <c r="AT228" s="181" t="e">
        <f>INDEX('stock fisico '!N:N, MATCH(B228, 'stock fisico '!B:B, 0))</f>
        <v>#N/A</v>
      </c>
      <c r="AU228" s="179" t="e">
        <f>INDEX('stock fisico '!D:D, MATCH(B228, 'stock fisico '!B:B, 0))</f>
        <v>#N/A</v>
      </c>
      <c r="AV228" s="177" t="e">
        <f>INDEX('stock fisico '!L:L, MATCH(B228, 'stock fisico '!B:B, 0))</f>
        <v>#N/A</v>
      </c>
    </row>
    <row r="229" spans="1:48" x14ac:dyDescent="0.25">
      <c r="A229" s="181" t="e">
        <f>INDEX('stock fisico '!M:M, MATCH(B229, 'stock fisico '!B:B, 0))</f>
        <v>#N/A</v>
      </c>
      <c r="C229" s="179" t="e">
        <f>INDEX('stock fisico '!C:C, MATCH(B229, 'stock fisico '!B:B, 0))</f>
        <v>#N/A</v>
      </c>
      <c r="D229" s="178" t="e">
        <f>INDEX('stock fisico '!I:I, MATCH(B229, 'stock fisico '!B:B, 0))</f>
        <v>#N/A</v>
      </c>
      <c r="E229" s="173" t="e">
        <f t="shared" si="167"/>
        <v>#VALUE!</v>
      </c>
      <c r="F229" s="148" t="e">
        <f t="shared" si="127"/>
        <v>#VALUE!</v>
      </c>
      <c r="G229" s="148" t="e">
        <f t="shared" si="128"/>
        <v>#VALUE!</v>
      </c>
      <c r="H229" s="148" t="e">
        <f t="shared" si="129"/>
        <v>#VALUE!</v>
      </c>
      <c r="I229" s="148" t="e">
        <f t="shared" si="130"/>
        <v>#VALUE!</v>
      </c>
      <c r="J229" s="148" t="e">
        <f t="shared" si="131"/>
        <v>#VALUE!</v>
      </c>
      <c r="K229" s="148" t="e">
        <f t="shared" si="132"/>
        <v>#VALUE!</v>
      </c>
      <c r="L229" s="175" t="e">
        <f t="shared" si="162"/>
        <v>#VALUE!</v>
      </c>
      <c r="M229" s="148" t="e">
        <f t="shared" si="133"/>
        <v>#VALUE!</v>
      </c>
      <c r="N229" s="148" t="e">
        <f t="shared" si="134"/>
        <v>#VALUE!</v>
      </c>
      <c r="O229" s="148" t="e">
        <f t="shared" si="135"/>
        <v>#VALUE!</v>
      </c>
      <c r="P229" s="148" t="e">
        <f t="shared" si="136"/>
        <v>#VALUE!</v>
      </c>
      <c r="Q229" s="148" t="e">
        <f t="shared" si="137"/>
        <v>#VALUE!</v>
      </c>
      <c r="R229" s="148" t="e">
        <f t="shared" si="138"/>
        <v>#VALUE!</v>
      </c>
      <c r="S229" s="148" t="e">
        <f t="shared" si="139"/>
        <v>#VALUE!</v>
      </c>
      <c r="T229" s="174" t="e">
        <f t="shared" si="163"/>
        <v>#VALUE!</v>
      </c>
      <c r="U229" s="148" t="e">
        <f t="shared" si="140"/>
        <v>#VALUE!</v>
      </c>
      <c r="V229" s="148" t="e">
        <f t="shared" si="141"/>
        <v>#VALUE!</v>
      </c>
      <c r="W229" s="148" t="e">
        <f t="shared" si="142"/>
        <v>#VALUE!</v>
      </c>
      <c r="X229" s="148" t="e">
        <f t="shared" si="143"/>
        <v>#VALUE!</v>
      </c>
      <c r="Y229" s="148" t="e">
        <f t="shared" si="144"/>
        <v>#VALUE!</v>
      </c>
      <c r="Z229" s="148" t="e">
        <f t="shared" si="145"/>
        <v>#VALUE!</v>
      </c>
      <c r="AA229" s="148" t="e">
        <f t="shared" si="146"/>
        <v>#VALUE!</v>
      </c>
      <c r="AB229" s="24" t="e">
        <f t="shared" si="164"/>
        <v>#VALUE!</v>
      </c>
      <c r="AC229" s="148" t="e">
        <f t="shared" si="147"/>
        <v>#VALUE!</v>
      </c>
      <c r="AD229" s="148" t="e">
        <f t="shared" si="148"/>
        <v>#VALUE!</v>
      </c>
      <c r="AE229" s="148" t="e">
        <f t="shared" si="149"/>
        <v>#VALUE!</v>
      </c>
      <c r="AF229" s="148" t="e">
        <f t="shared" si="150"/>
        <v>#VALUE!</v>
      </c>
      <c r="AG229" s="148" t="e">
        <f t="shared" si="151"/>
        <v>#VALUE!</v>
      </c>
      <c r="AH229" s="148" t="e">
        <f t="shared" si="152"/>
        <v>#VALUE!</v>
      </c>
      <c r="AI229" s="148" t="e">
        <f t="shared" si="153"/>
        <v>#VALUE!</v>
      </c>
      <c r="AJ229" s="20" t="e">
        <f t="shared" si="165"/>
        <v>#VALUE!</v>
      </c>
      <c r="AK229" s="148" t="e">
        <f t="shared" si="154"/>
        <v>#VALUE!</v>
      </c>
      <c r="AL229" s="148" t="e">
        <f t="shared" si="155"/>
        <v>#VALUE!</v>
      </c>
      <c r="AM229" s="148" t="e">
        <f t="shared" si="156"/>
        <v>#VALUE!</v>
      </c>
      <c r="AN229" s="148" t="e">
        <f t="shared" si="157"/>
        <v>#VALUE!</v>
      </c>
      <c r="AO229" s="148" t="e">
        <f t="shared" si="158"/>
        <v>#VALUE!</v>
      </c>
      <c r="AP229" s="148" t="e">
        <f t="shared" si="159"/>
        <v>#VALUE!</v>
      </c>
      <c r="AQ229" s="148" t="e">
        <f t="shared" si="160"/>
        <v>#VALUE!</v>
      </c>
      <c r="AR229" s="17" t="e">
        <f t="shared" si="166"/>
        <v>#VALUE!</v>
      </c>
      <c r="AS229" s="148" t="e">
        <f t="shared" si="161"/>
        <v>#VALUE!</v>
      </c>
      <c r="AT229" s="181" t="e">
        <f>INDEX('stock fisico '!N:N, MATCH(B229, 'stock fisico '!B:B, 0))</f>
        <v>#N/A</v>
      </c>
      <c r="AU229" s="179" t="e">
        <f>INDEX('stock fisico '!D:D, MATCH(B229, 'stock fisico '!B:B, 0))</f>
        <v>#N/A</v>
      </c>
      <c r="AV229" s="177" t="e">
        <f>INDEX('stock fisico '!L:L, MATCH(B229, 'stock fisico '!B:B, 0))</f>
        <v>#N/A</v>
      </c>
    </row>
    <row r="230" spans="1:48" x14ac:dyDescent="0.25">
      <c r="A230" s="181" t="e">
        <f>INDEX('stock fisico '!M:M, MATCH(B230, 'stock fisico '!B:B, 0))</f>
        <v>#N/A</v>
      </c>
      <c r="C230" s="179" t="e">
        <f>INDEX('stock fisico '!C:C, MATCH(B230, 'stock fisico '!B:B, 0))</f>
        <v>#N/A</v>
      </c>
      <c r="D230" s="178" t="e">
        <f>INDEX('stock fisico '!I:I, MATCH(B230, 'stock fisico '!B:B, 0))</f>
        <v>#N/A</v>
      </c>
      <c r="E230" s="173" t="e">
        <f t="shared" si="167"/>
        <v>#VALUE!</v>
      </c>
      <c r="F230" s="148" t="e">
        <f t="shared" si="127"/>
        <v>#VALUE!</v>
      </c>
      <c r="G230" s="148" t="e">
        <f t="shared" si="128"/>
        <v>#VALUE!</v>
      </c>
      <c r="H230" s="148" t="e">
        <f t="shared" si="129"/>
        <v>#VALUE!</v>
      </c>
      <c r="I230" s="148" t="e">
        <f t="shared" si="130"/>
        <v>#VALUE!</v>
      </c>
      <c r="J230" s="148" t="e">
        <f t="shared" si="131"/>
        <v>#VALUE!</v>
      </c>
      <c r="K230" s="148" t="e">
        <f t="shared" si="132"/>
        <v>#VALUE!</v>
      </c>
      <c r="L230" s="175" t="e">
        <f t="shared" si="162"/>
        <v>#VALUE!</v>
      </c>
      <c r="M230" s="148" t="e">
        <f t="shared" si="133"/>
        <v>#VALUE!</v>
      </c>
      <c r="N230" s="148" t="e">
        <f t="shared" si="134"/>
        <v>#VALUE!</v>
      </c>
      <c r="O230" s="148" t="e">
        <f t="shared" si="135"/>
        <v>#VALUE!</v>
      </c>
      <c r="P230" s="148" t="e">
        <f t="shared" si="136"/>
        <v>#VALUE!</v>
      </c>
      <c r="Q230" s="148" t="e">
        <f t="shared" si="137"/>
        <v>#VALUE!</v>
      </c>
      <c r="R230" s="148" t="e">
        <f t="shared" si="138"/>
        <v>#VALUE!</v>
      </c>
      <c r="S230" s="148" t="e">
        <f t="shared" si="139"/>
        <v>#VALUE!</v>
      </c>
      <c r="T230" s="174" t="e">
        <f t="shared" si="163"/>
        <v>#VALUE!</v>
      </c>
      <c r="U230" s="148" t="e">
        <f t="shared" si="140"/>
        <v>#VALUE!</v>
      </c>
      <c r="V230" s="148" t="e">
        <f t="shared" si="141"/>
        <v>#VALUE!</v>
      </c>
      <c r="W230" s="148" t="e">
        <f t="shared" si="142"/>
        <v>#VALUE!</v>
      </c>
      <c r="X230" s="148" t="e">
        <f t="shared" si="143"/>
        <v>#VALUE!</v>
      </c>
      <c r="Y230" s="148" t="e">
        <f t="shared" si="144"/>
        <v>#VALUE!</v>
      </c>
      <c r="Z230" s="148" t="e">
        <f t="shared" si="145"/>
        <v>#VALUE!</v>
      </c>
      <c r="AA230" s="148" t="e">
        <f t="shared" si="146"/>
        <v>#VALUE!</v>
      </c>
      <c r="AB230" s="24" t="e">
        <f t="shared" si="164"/>
        <v>#VALUE!</v>
      </c>
      <c r="AC230" s="148" t="e">
        <f t="shared" si="147"/>
        <v>#VALUE!</v>
      </c>
      <c r="AD230" s="148" t="e">
        <f t="shared" si="148"/>
        <v>#VALUE!</v>
      </c>
      <c r="AE230" s="148" t="e">
        <f t="shared" si="149"/>
        <v>#VALUE!</v>
      </c>
      <c r="AF230" s="148" t="e">
        <f t="shared" si="150"/>
        <v>#VALUE!</v>
      </c>
      <c r="AG230" s="148" t="e">
        <f t="shared" si="151"/>
        <v>#VALUE!</v>
      </c>
      <c r="AH230" s="148" t="e">
        <f t="shared" si="152"/>
        <v>#VALUE!</v>
      </c>
      <c r="AI230" s="148" t="e">
        <f t="shared" si="153"/>
        <v>#VALUE!</v>
      </c>
      <c r="AJ230" s="20" t="e">
        <f t="shared" si="165"/>
        <v>#VALUE!</v>
      </c>
      <c r="AK230" s="148" t="e">
        <f t="shared" si="154"/>
        <v>#VALUE!</v>
      </c>
      <c r="AL230" s="148" t="e">
        <f t="shared" si="155"/>
        <v>#VALUE!</v>
      </c>
      <c r="AM230" s="148" t="e">
        <f t="shared" si="156"/>
        <v>#VALUE!</v>
      </c>
      <c r="AN230" s="148" t="e">
        <f t="shared" si="157"/>
        <v>#VALUE!</v>
      </c>
      <c r="AO230" s="148" t="e">
        <f t="shared" si="158"/>
        <v>#VALUE!</v>
      </c>
      <c r="AP230" s="148" t="e">
        <f t="shared" si="159"/>
        <v>#VALUE!</v>
      </c>
      <c r="AQ230" s="148" t="e">
        <f t="shared" si="160"/>
        <v>#VALUE!</v>
      </c>
      <c r="AR230" s="17" t="e">
        <f t="shared" si="166"/>
        <v>#VALUE!</v>
      </c>
      <c r="AS230" s="148" t="e">
        <f t="shared" si="161"/>
        <v>#VALUE!</v>
      </c>
      <c r="AT230" s="181" t="e">
        <f>INDEX('stock fisico '!N:N, MATCH(B230, 'stock fisico '!B:B, 0))</f>
        <v>#N/A</v>
      </c>
      <c r="AU230" s="179" t="e">
        <f>INDEX('stock fisico '!D:D, MATCH(B230, 'stock fisico '!B:B, 0))</f>
        <v>#N/A</v>
      </c>
      <c r="AV230" s="177" t="e">
        <f>INDEX('stock fisico '!L:L, MATCH(B230, 'stock fisico '!B:B, 0))</f>
        <v>#N/A</v>
      </c>
    </row>
    <row r="231" spans="1:48" x14ac:dyDescent="0.25">
      <c r="A231" s="181" t="e">
        <f>INDEX('stock fisico '!M:M, MATCH(B231, 'stock fisico '!B:B, 0))</f>
        <v>#N/A</v>
      </c>
      <c r="C231" s="179" t="e">
        <f>INDEX('stock fisico '!C:C, MATCH(B231, 'stock fisico '!B:B, 0))</f>
        <v>#N/A</v>
      </c>
      <c r="D231" s="178" t="e">
        <f>INDEX('stock fisico '!I:I, MATCH(B231, 'stock fisico '!B:B, 0))</f>
        <v>#N/A</v>
      </c>
      <c r="E231" s="173" t="e">
        <f t="shared" si="167"/>
        <v>#VALUE!</v>
      </c>
      <c r="F231" s="148" t="e">
        <f t="shared" si="127"/>
        <v>#VALUE!</v>
      </c>
      <c r="G231" s="148" t="e">
        <f t="shared" si="128"/>
        <v>#VALUE!</v>
      </c>
      <c r="H231" s="148" t="e">
        <f t="shared" si="129"/>
        <v>#VALUE!</v>
      </c>
      <c r="I231" s="148" t="e">
        <f t="shared" si="130"/>
        <v>#VALUE!</v>
      </c>
      <c r="J231" s="148" t="e">
        <f t="shared" si="131"/>
        <v>#VALUE!</v>
      </c>
      <c r="K231" s="148" t="e">
        <f t="shared" si="132"/>
        <v>#VALUE!</v>
      </c>
      <c r="L231" s="175" t="e">
        <f t="shared" si="162"/>
        <v>#VALUE!</v>
      </c>
      <c r="M231" s="148" t="e">
        <f t="shared" si="133"/>
        <v>#VALUE!</v>
      </c>
      <c r="N231" s="148" t="e">
        <f t="shared" si="134"/>
        <v>#VALUE!</v>
      </c>
      <c r="O231" s="148" t="e">
        <f t="shared" si="135"/>
        <v>#VALUE!</v>
      </c>
      <c r="P231" s="148" t="e">
        <f t="shared" si="136"/>
        <v>#VALUE!</v>
      </c>
      <c r="Q231" s="148" t="e">
        <f t="shared" si="137"/>
        <v>#VALUE!</v>
      </c>
      <c r="R231" s="148" t="e">
        <f t="shared" si="138"/>
        <v>#VALUE!</v>
      </c>
      <c r="S231" s="148" t="e">
        <f t="shared" si="139"/>
        <v>#VALUE!</v>
      </c>
      <c r="T231" s="174" t="e">
        <f t="shared" si="163"/>
        <v>#VALUE!</v>
      </c>
      <c r="U231" s="148" t="e">
        <f t="shared" si="140"/>
        <v>#VALUE!</v>
      </c>
      <c r="V231" s="148" t="e">
        <f t="shared" si="141"/>
        <v>#VALUE!</v>
      </c>
      <c r="W231" s="148" t="e">
        <f t="shared" si="142"/>
        <v>#VALUE!</v>
      </c>
      <c r="X231" s="148" t="e">
        <f t="shared" si="143"/>
        <v>#VALUE!</v>
      </c>
      <c r="Y231" s="148" t="e">
        <f t="shared" si="144"/>
        <v>#VALUE!</v>
      </c>
      <c r="Z231" s="148" t="e">
        <f t="shared" si="145"/>
        <v>#VALUE!</v>
      </c>
      <c r="AA231" s="148" t="e">
        <f t="shared" si="146"/>
        <v>#VALUE!</v>
      </c>
      <c r="AB231" s="24" t="e">
        <f t="shared" si="164"/>
        <v>#VALUE!</v>
      </c>
      <c r="AC231" s="148" t="e">
        <f t="shared" si="147"/>
        <v>#VALUE!</v>
      </c>
      <c r="AD231" s="148" t="e">
        <f t="shared" si="148"/>
        <v>#VALUE!</v>
      </c>
      <c r="AE231" s="148" t="e">
        <f t="shared" si="149"/>
        <v>#VALUE!</v>
      </c>
      <c r="AF231" s="148" t="e">
        <f t="shared" si="150"/>
        <v>#VALUE!</v>
      </c>
      <c r="AG231" s="148" t="e">
        <f t="shared" si="151"/>
        <v>#VALUE!</v>
      </c>
      <c r="AH231" s="148" t="e">
        <f t="shared" si="152"/>
        <v>#VALUE!</v>
      </c>
      <c r="AI231" s="148" t="e">
        <f t="shared" si="153"/>
        <v>#VALUE!</v>
      </c>
      <c r="AJ231" s="20" t="e">
        <f t="shared" si="165"/>
        <v>#VALUE!</v>
      </c>
      <c r="AK231" s="148" t="e">
        <f t="shared" si="154"/>
        <v>#VALUE!</v>
      </c>
      <c r="AL231" s="148" t="e">
        <f t="shared" si="155"/>
        <v>#VALUE!</v>
      </c>
      <c r="AM231" s="148" t="e">
        <f t="shared" si="156"/>
        <v>#VALUE!</v>
      </c>
      <c r="AN231" s="148" t="e">
        <f t="shared" si="157"/>
        <v>#VALUE!</v>
      </c>
      <c r="AO231" s="148" t="e">
        <f t="shared" si="158"/>
        <v>#VALUE!</v>
      </c>
      <c r="AP231" s="148" t="e">
        <f t="shared" si="159"/>
        <v>#VALUE!</v>
      </c>
      <c r="AQ231" s="148" t="e">
        <f t="shared" si="160"/>
        <v>#VALUE!</v>
      </c>
      <c r="AR231" s="17" t="e">
        <f t="shared" si="166"/>
        <v>#VALUE!</v>
      </c>
      <c r="AS231" s="148" t="e">
        <f t="shared" si="161"/>
        <v>#VALUE!</v>
      </c>
      <c r="AT231" s="181" t="e">
        <f>INDEX('stock fisico '!N:N, MATCH(B231, 'stock fisico '!B:B, 0))</f>
        <v>#N/A</v>
      </c>
      <c r="AU231" s="179" t="e">
        <f>INDEX('stock fisico '!D:D, MATCH(B231, 'stock fisico '!B:B, 0))</f>
        <v>#N/A</v>
      </c>
      <c r="AV231" s="177" t="e">
        <f>INDEX('stock fisico '!L:L, MATCH(B231, 'stock fisico '!B:B, 0))</f>
        <v>#N/A</v>
      </c>
    </row>
    <row r="232" spans="1:48" x14ac:dyDescent="0.25">
      <c r="A232" s="181" t="e">
        <f>INDEX('stock fisico '!M:M, MATCH(B232, 'stock fisico '!B:B, 0))</f>
        <v>#N/A</v>
      </c>
      <c r="C232" s="179" t="e">
        <f>INDEX('stock fisico '!C:C, MATCH(B232, 'stock fisico '!B:B, 0))</f>
        <v>#N/A</v>
      </c>
      <c r="D232" s="178" t="e">
        <f>INDEX('stock fisico '!I:I, MATCH(B232, 'stock fisico '!B:B, 0))</f>
        <v>#N/A</v>
      </c>
      <c r="E232" s="173" t="e">
        <f t="shared" si="167"/>
        <v>#VALUE!</v>
      </c>
      <c r="F232" s="148" t="e">
        <f t="shared" si="127"/>
        <v>#VALUE!</v>
      </c>
      <c r="G232" s="148" t="e">
        <f t="shared" si="128"/>
        <v>#VALUE!</v>
      </c>
      <c r="H232" s="148" t="e">
        <f t="shared" si="129"/>
        <v>#VALUE!</v>
      </c>
      <c r="I232" s="148" t="e">
        <f t="shared" si="130"/>
        <v>#VALUE!</v>
      </c>
      <c r="J232" s="148" t="e">
        <f t="shared" si="131"/>
        <v>#VALUE!</v>
      </c>
      <c r="K232" s="148" t="e">
        <f t="shared" si="132"/>
        <v>#VALUE!</v>
      </c>
      <c r="L232" s="175" t="e">
        <f t="shared" si="162"/>
        <v>#VALUE!</v>
      </c>
      <c r="M232" s="148" t="e">
        <f t="shared" si="133"/>
        <v>#VALUE!</v>
      </c>
      <c r="N232" s="148" t="e">
        <f t="shared" si="134"/>
        <v>#VALUE!</v>
      </c>
      <c r="O232" s="148" t="e">
        <f t="shared" si="135"/>
        <v>#VALUE!</v>
      </c>
      <c r="P232" s="148" t="e">
        <f t="shared" si="136"/>
        <v>#VALUE!</v>
      </c>
      <c r="Q232" s="148" t="e">
        <f t="shared" si="137"/>
        <v>#VALUE!</v>
      </c>
      <c r="R232" s="148" t="e">
        <f t="shared" si="138"/>
        <v>#VALUE!</v>
      </c>
      <c r="S232" s="148" t="e">
        <f t="shared" si="139"/>
        <v>#VALUE!</v>
      </c>
      <c r="T232" s="174" t="e">
        <f t="shared" si="163"/>
        <v>#VALUE!</v>
      </c>
      <c r="U232" s="148" t="e">
        <f t="shared" si="140"/>
        <v>#VALUE!</v>
      </c>
      <c r="V232" s="148" t="e">
        <f t="shared" si="141"/>
        <v>#VALUE!</v>
      </c>
      <c r="W232" s="148" t="e">
        <f t="shared" si="142"/>
        <v>#VALUE!</v>
      </c>
      <c r="X232" s="148" t="e">
        <f t="shared" si="143"/>
        <v>#VALUE!</v>
      </c>
      <c r="Y232" s="148" t="e">
        <f t="shared" si="144"/>
        <v>#VALUE!</v>
      </c>
      <c r="Z232" s="148" t="e">
        <f t="shared" si="145"/>
        <v>#VALUE!</v>
      </c>
      <c r="AA232" s="148" t="e">
        <f t="shared" si="146"/>
        <v>#VALUE!</v>
      </c>
      <c r="AB232" s="24" t="e">
        <f t="shared" si="164"/>
        <v>#VALUE!</v>
      </c>
      <c r="AC232" s="148" t="e">
        <f t="shared" si="147"/>
        <v>#VALUE!</v>
      </c>
      <c r="AD232" s="148" t="e">
        <f t="shared" si="148"/>
        <v>#VALUE!</v>
      </c>
      <c r="AE232" s="148" t="e">
        <f t="shared" si="149"/>
        <v>#VALUE!</v>
      </c>
      <c r="AF232" s="148" t="e">
        <f t="shared" si="150"/>
        <v>#VALUE!</v>
      </c>
      <c r="AG232" s="148" t="e">
        <f t="shared" si="151"/>
        <v>#VALUE!</v>
      </c>
      <c r="AH232" s="148" t="e">
        <f t="shared" si="152"/>
        <v>#VALUE!</v>
      </c>
      <c r="AI232" s="148" t="e">
        <f t="shared" si="153"/>
        <v>#VALUE!</v>
      </c>
      <c r="AJ232" s="20" t="e">
        <f t="shared" si="165"/>
        <v>#VALUE!</v>
      </c>
      <c r="AK232" s="148" t="e">
        <f t="shared" si="154"/>
        <v>#VALUE!</v>
      </c>
      <c r="AL232" s="148" t="e">
        <f t="shared" si="155"/>
        <v>#VALUE!</v>
      </c>
      <c r="AM232" s="148" t="e">
        <f t="shared" si="156"/>
        <v>#VALUE!</v>
      </c>
      <c r="AN232" s="148" t="e">
        <f t="shared" si="157"/>
        <v>#VALUE!</v>
      </c>
      <c r="AO232" s="148" t="e">
        <f t="shared" si="158"/>
        <v>#VALUE!</v>
      </c>
      <c r="AP232" s="148" t="e">
        <f t="shared" si="159"/>
        <v>#VALUE!</v>
      </c>
      <c r="AQ232" s="148" t="e">
        <f t="shared" si="160"/>
        <v>#VALUE!</v>
      </c>
      <c r="AR232" s="17" t="e">
        <f t="shared" si="166"/>
        <v>#VALUE!</v>
      </c>
      <c r="AS232" s="148" t="e">
        <f t="shared" si="161"/>
        <v>#VALUE!</v>
      </c>
      <c r="AT232" s="181" t="e">
        <f>INDEX('stock fisico '!N:N, MATCH(B232, 'stock fisico '!B:B, 0))</f>
        <v>#N/A</v>
      </c>
      <c r="AU232" s="179" t="e">
        <f>INDEX('stock fisico '!D:D, MATCH(B232, 'stock fisico '!B:B, 0))</f>
        <v>#N/A</v>
      </c>
      <c r="AV232" s="177" t="e">
        <f>INDEX('stock fisico '!L:L, MATCH(B232, 'stock fisico '!B:B, 0))</f>
        <v>#N/A</v>
      </c>
    </row>
    <row r="233" spans="1:48" x14ac:dyDescent="0.25">
      <c r="A233" s="181" t="e">
        <f>INDEX('stock fisico '!M:M, MATCH(B233, 'stock fisico '!B:B, 0))</f>
        <v>#N/A</v>
      </c>
      <c r="C233" s="179" t="e">
        <f>INDEX('stock fisico '!C:C, MATCH(B233, 'stock fisico '!B:B, 0))</f>
        <v>#N/A</v>
      </c>
      <c r="D233" s="178" t="e">
        <f>INDEX('stock fisico '!I:I, MATCH(B233, 'stock fisico '!B:B, 0))</f>
        <v>#N/A</v>
      </c>
      <c r="E233" s="173" t="e">
        <f t="shared" si="167"/>
        <v>#VALUE!</v>
      </c>
      <c r="F233" s="148" t="e">
        <f t="shared" si="127"/>
        <v>#VALUE!</v>
      </c>
      <c r="G233" s="148" t="e">
        <f t="shared" si="128"/>
        <v>#VALUE!</v>
      </c>
      <c r="H233" s="148" t="e">
        <f t="shared" si="129"/>
        <v>#VALUE!</v>
      </c>
      <c r="I233" s="148" t="e">
        <f t="shared" si="130"/>
        <v>#VALUE!</v>
      </c>
      <c r="J233" s="148" t="e">
        <f t="shared" si="131"/>
        <v>#VALUE!</v>
      </c>
      <c r="K233" s="148" t="e">
        <f t="shared" si="132"/>
        <v>#VALUE!</v>
      </c>
      <c r="L233" s="175" t="e">
        <f t="shared" si="162"/>
        <v>#VALUE!</v>
      </c>
      <c r="M233" s="148" t="e">
        <f t="shared" si="133"/>
        <v>#VALUE!</v>
      </c>
      <c r="N233" s="148" t="e">
        <f t="shared" si="134"/>
        <v>#VALUE!</v>
      </c>
      <c r="O233" s="148" t="e">
        <f t="shared" si="135"/>
        <v>#VALUE!</v>
      </c>
      <c r="P233" s="148" t="e">
        <f t="shared" si="136"/>
        <v>#VALUE!</v>
      </c>
      <c r="Q233" s="148" t="e">
        <f t="shared" si="137"/>
        <v>#VALUE!</v>
      </c>
      <c r="R233" s="148" t="e">
        <f t="shared" si="138"/>
        <v>#VALUE!</v>
      </c>
      <c r="S233" s="148" t="e">
        <f t="shared" si="139"/>
        <v>#VALUE!</v>
      </c>
      <c r="T233" s="174" t="e">
        <f t="shared" si="163"/>
        <v>#VALUE!</v>
      </c>
      <c r="U233" s="148" t="e">
        <f t="shared" si="140"/>
        <v>#VALUE!</v>
      </c>
      <c r="V233" s="148" t="e">
        <f t="shared" si="141"/>
        <v>#VALUE!</v>
      </c>
      <c r="W233" s="148" t="e">
        <f t="shared" si="142"/>
        <v>#VALUE!</v>
      </c>
      <c r="X233" s="148" t="e">
        <f t="shared" si="143"/>
        <v>#VALUE!</v>
      </c>
      <c r="Y233" s="148" t="e">
        <f t="shared" si="144"/>
        <v>#VALUE!</v>
      </c>
      <c r="Z233" s="148" t="e">
        <f t="shared" si="145"/>
        <v>#VALUE!</v>
      </c>
      <c r="AA233" s="148" t="e">
        <f t="shared" si="146"/>
        <v>#VALUE!</v>
      </c>
      <c r="AB233" s="24" t="e">
        <f t="shared" si="164"/>
        <v>#VALUE!</v>
      </c>
      <c r="AC233" s="148" t="e">
        <f t="shared" si="147"/>
        <v>#VALUE!</v>
      </c>
      <c r="AD233" s="148" t="e">
        <f t="shared" si="148"/>
        <v>#VALUE!</v>
      </c>
      <c r="AE233" s="148" t="e">
        <f t="shared" si="149"/>
        <v>#VALUE!</v>
      </c>
      <c r="AF233" s="148" t="e">
        <f t="shared" si="150"/>
        <v>#VALUE!</v>
      </c>
      <c r="AG233" s="148" t="e">
        <f t="shared" si="151"/>
        <v>#VALUE!</v>
      </c>
      <c r="AH233" s="148" t="e">
        <f t="shared" si="152"/>
        <v>#VALUE!</v>
      </c>
      <c r="AI233" s="148" t="e">
        <f t="shared" si="153"/>
        <v>#VALUE!</v>
      </c>
      <c r="AJ233" s="20" t="e">
        <f t="shared" si="165"/>
        <v>#VALUE!</v>
      </c>
      <c r="AK233" s="148" t="e">
        <f t="shared" si="154"/>
        <v>#VALUE!</v>
      </c>
      <c r="AL233" s="148" t="e">
        <f t="shared" si="155"/>
        <v>#VALUE!</v>
      </c>
      <c r="AM233" s="148" t="e">
        <f t="shared" si="156"/>
        <v>#VALUE!</v>
      </c>
      <c r="AN233" s="148" t="e">
        <f t="shared" si="157"/>
        <v>#VALUE!</v>
      </c>
      <c r="AO233" s="148" t="e">
        <f t="shared" si="158"/>
        <v>#VALUE!</v>
      </c>
      <c r="AP233" s="148" t="e">
        <f t="shared" si="159"/>
        <v>#VALUE!</v>
      </c>
      <c r="AQ233" s="148" t="e">
        <f t="shared" si="160"/>
        <v>#VALUE!</v>
      </c>
      <c r="AR233" s="17" t="e">
        <f t="shared" si="166"/>
        <v>#VALUE!</v>
      </c>
      <c r="AS233" s="148" t="e">
        <f t="shared" si="161"/>
        <v>#VALUE!</v>
      </c>
      <c r="AT233" s="181" t="e">
        <f>INDEX('stock fisico '!N:N, MATCH(B233, 'stock fisico '!B:B, 0))</f>
        <v>#N/A</v>
      </c>
      <c r="AU233" s="179" t="e">
        <f>INDEX('stock fisico '!D:D, MATCH(B233, 'stock fisico '!B:B, 0))</f>
        <v>#N/A</v>
      </c>
      <c r="AV233" s="177" t="e">
        <f>INDEX('stock fisico '!L:L, MATCH(B233, 'stock fisico '!B:B, 0))</f>
        <v>#N/A</v>
      </c>
    </row>
    <row r="234" spans="1:48" x14ac:dyDescent="0.25">
      <c r="A234" s="181" t="e">
        <f>INDEX('stock fisico '!M:M, MATCH(B234, 'stock fisico '!B:B, 0))</f>
        <v>#N/A</v>
      </c>
      <c r="C234" s="179" t="e">
        <f>INDEX('stock fisico '!C:C, MATCH(B234, 'stock fisico '!B:B, 0))</f>
        <v>#N/A</v>
      </c>
      <c r="D234" s="178" t="e">
        <f>INDEX('stock fisico '!I:I, MATCH(B234, 'stock fisico '!B:B, 0))</f>
        <v>#N/A</v>
      </c>
      <c r="E234" s="173" t="e">
        <f t="shared" si="167"/>
        <v>#VALUE!</v>
      </c>
      <c r="F234" s="148" t="e">
        <f t="shared" si="127"/>
        <v>#VALUE!</v>
      </c>
      <c r="G234" s="148" t="e">
        <f t="shared" si="128"/>
        <v>#VALUE!</v>
      </c>
      <c r="H234" s="148" t="e">
        <f t="shared" si="129"/>
        <v>#VALUE!</v>
      </c>
      <c r="I234" s="148" t="e">
        <f t="shared" si="130"/>
        <v>#VALUE!</v>
      </c>
      <c r="J234" s="148" t="e">
        <f t="shared" si="131"/>
        <v>#VALUE!</v>
      </c>
      <c r="K234" s="148" t="e">
        <f t="shared" si="132"/>
        <v>#VALUE!</v>
      </c>
      <c r="L234" s="175" t="e">
        <f t="shared" si="162"/>
        <v>#VALUE!</v>
      </c>
      <c r="M234" s="148" t="e">
        <f t="shared" si="133"/>
        <v>#VALUE!</v>
      </c>
      <c r="N234" s="148" t="e">
        <f t="shared" si="134"/>
        <v>#VALUE!</v>
      </c>
      <c r="O234" s="148" t="e">
        <f t="shared" si="135"/>
        <v>#VALUE!</v>
      </c>
      <c r="P234" s="148" t="e">
        <f t="shared" si="136"/>
        <v>#VALUE!</v>
      </c>
      <c r="Q234" s="148" t="e">
        <f t="shared" si="137"/>
        <v>#VALUE!</v>
      </c>
      <c r="R234" s="148" t="e">
        <f t="shared" si="138"/>
        <v>#VALUE!</v>
      </c>
      <c r="S234" s="148" t="e">
        <f t="shared" si="139"/>
        <v>#VALUE!</v>
      </c>
      <c r="T234" s="174" t="e">
        <f t="shared" si="163"/>
        <v>#VALUE!</v>
      </c>
      <c r="U234" s="148" t="e">
        <f t="shared" si="140"/>
        <v>#VALUE!</v>
      </c>
      <c r="V234" s="148" t="e">
        <f t="shared" si="141"/>
        <v>#VALUE!</v>
      </c>
      <c r="W234" s="148" t="e">
        <f t="shared" si="142"/>
        <v>#VALUE!</v>
      </c>
      <c r="X234" s="148" t="e">
        <f t="shared" si="143"/>
        <v>#VALUE!</v>
      </c>
      <c r="Y234" s="148" t="e">
        <f t="shared" si="144"/>
        <v>#VALUE!</v>
      </c>
      <c r="Z234" s="148" t="e">
        <f t="shared" si="145"/>
        <v>#VALUE!</v>
      </c>
      <c r="AA234" s="148" t="e">
        <f t="shared" si="146"/>
        <v>#VALUE!</v>
      </c>
      <c r="AB234" s="24" t="e">
        <f t="shared" si="164"/>
        <v>#VALUE!</v>
      </c>
      <c r="AC234" s="148" t="e">
        <f t="shared" si="147"/>
        <v>#VALUE!</v>
      </c>
      <c r="AD234" s="148" t="e">
        <f t="shared" si="148"/>
        <v>#VALUE!</v>
      </c>
      <c r="AE234" s="148" t="e">
        <f t="shared" si="149"/>
        <v>#VALUE!</v>
      </c>
      <c r="AF234" s="148" t="e">
        <f t="shared" si="150"/>
        <v>#VALUE!</v>
      </c>
      <c r="AG234" s="148" t="e">
        <f t="shared" si="151"/>
        <v>#VALUE!</v>
      </c>
      <c r="AH234" s="148" t="e">
        <f t="shared" si="152"/>
        <v>#VALUE!</v>
      </c>
      <c r="AI234" s="148" t="e">
        <f t="shared" si="153"/>
        <v>#VALUE!</v>
      </c>
      <c r="AJ234" s="20" t="e">
        <f t="shared" si="165"/>
        <v>#VALUE!</v>
      </c>
      <c r="AK234" s="148" t="e">
        <f t="shared" si="154"/>
        <v>#VALUE!</v>
      </c>
      <c r="AL234" s="148" t="e">
        <f t="shared" si="155"/>
        <v>#VALUE!</v>
      </c>
      <c r="AM234" s="148" t="e">
        <f t="shared" si="156"/>
        <v>#VALUE!</v>
      </c>
      <c r="AN234" s="148" t="e">
        <f t="shared" si="157"/>
        <v>#VALUE!</v>
      </c>
      <c r="AO234" s="148" t="e">
        <f t="shared" si="158"/>
        <v>#VALUE!</v>
      </c>
      <c r="AP234" s="148" t="e">
        <f t="shared" si="159"/>
        <v>#VALUE!</v>
      </c>
      <c r="AQ234" s="148" t="e">
        <f t="shared" si="160"/>
        <v>#VALUE!</v>
      </c>
      <c r="AR234" s="17" t="e">
        <f t="shared" si="166"/>
        <v>#VALUE!</v>
      </c>
      <c r="AS234" s="148" t="e">
        <f t="shared" si="161"/>
        <v>#VALUE!</v>
      </c>
      <c r="AT234" s="181" t="e">
        <f>INDEX('stock fisico '!N:N, MATCH(B234, 'stock fisico '!B:B, 0))</f>
        <v>#N/A</v>
      </c>
      <c r="AU234" s="179" t="e">
        <f>INDEX('stock fisico '!D:D, MATCH(B234, 'stock fisico '!B:B, 0))</f>
        <v>#N/A</v>
      </c>
      <c r="AV234" s="177" t="e">
        <f>INDEX('stock fisico '!L:L, MATCH(B234, 'stock fisico '!B:B, 0))</f>
        <v>#N/A</v>
      </c>
    </row>
    <row r="235" spans="1:48" x14ac:dyDescent="0.25">
      <c r="A235" s="181" t="e">
        <f>INDEX('stock fisico '!M:M, MATCH(B235, 'stock fisico '!B:B, 0))</f>
        <v>#N/A</v>
      </c>
      <c r="C235" s="179" t="e">
        <f>INDEX('stock fisico '!C:C, MATCH(B235, 'stock fisico '!B:B, 0))</f>
        <v>#N/A</v>
      </c>
      <c r="D235" s="178" t="e">
        <f>INDEX('stock fisico '!I:I, MATCH(B235, 'stock fisico '!B:B, 0))</f>
        <v>#N/A</v>
      </c>
      <c r="E235" s="173" t="e">
        <f t="shared" si="167"/>
        <v>#VALUE!</v>
      </c>
      <c r="F235" s="148" t="e">
        <f t="shared" si="127"/>
        <v>#VALUE!</v>
      </c>
      <c r="G235" s="148" t="e">
        <f t="shared" si="128"/>
        <v>#VALUE!</v>
      </c>
      <c r="H235" s="148" t="e">
        <f t="shared" si="129"/>
        <v>#VALUE!</v>
      </c>
      <c r="I235" s="148" t="e">
        <f t="shared" si="130"/>
        <v>#VALUE!</v>
      </c>
      <c r="J235" s="148" t="e">
        <f t="shared" si="131"/>
        <v>#VALUE!</v>
      </c>
      <c r="K235" s="148" t="e">
        <f t="shared" si="132"/>
        <v>#VALUE!</v>
      </c>
      <c r="L235" s="175" t="e">
        <f t="shared" si="162"/>
        <v>#VALUE!</v>
      </c>
      <c r="M235" s="148" t="e">
        <f t="shared" si="133"/>
        <v>#VALUE!</v>
      </c>
      <c r="N235" s="148" t="e">
        <f t="shared" si="134"/>
        <v>#VALUE!</v>
      </c>
      <c r="O235" s="148" t="e">
        <f t="shared" si="135"/>
        <v>#VALUE!</v>
      </c>
      <c r="P235" s="148" t="e">
        <f t="shared" si="136"/>
        <v>#VALUE!</v>
      </c>
      <c r="Q235" s="148" t="e">
        <f t="shared" si="137"/>
        <v>#VALUE!</v>
      </c>
      <c r="R235" s="148" t="e">
        <f t="shared" si="138"/>
        <v>#VALUE!</v>
      </c>
      <c r="S235" s="148" t="e">
        <f t="shared" si="139"/>
        <v>#VALUE!</v>
      </c>
      <c r="T235" s="174" t="e">
        <f t="shared" si="163"/>
        <v>#VALUE!</v>
      </c>
      <c r="U235" s="148" t="e">
        <f t="shared" si="140"/>
        <v>#VALUE!</v>
      </c>
      <c r="V235" s="148" t="e">
        <f t="shared" si="141"/>
        <v>#VALUE!</v>
      </c>
      <c r="W235" s="148" t="e">
        <f t="shared" si="142"/>
        <v>#VALUE!</v>
      </c>
      <c r="X235" s="148" t="e">
        <f t="shared" si="143"/>
        <v>#VALUE!</v>
      </c>
      <c r="Y235" s="148" t="e">
        <f t="shared" si="144"/>
        <v>#VALUE!</v>
      </c>
      <c r="Z235" s="148" t="e">
        <f t="shared" si="145"/>
        <v>#VALUE!</v>
      </c>
      <c r="AA235" s="148" t="e">
        <f t="shared" si="146"/>
        <v>#VALUE!</v>
      </c>
      <c r="AB235" s="24" t="e">
        <f t="shared" si="164"/>
        <v>#VALUE!</v>
      </c>
      <c r="AC235" s="148" t="e">
        <f t="shared" si="147"/>
        <v>#VALUE!</v>
      </c>
      <c r="AD235" s="148" t="e">
        <f t="shared" si="148"/>
        <v>#VALUE!</v>
      </c>
      <c r="AE235" s="148" t="e">
        <f t="shared" si="149"/>
        <v>#VALUE!</v>
      </c>
      <c r="AF235" s="148" t="e">
        <f t="shared" si="150"/>
        <v>#VALUE!</v>
      </c>
      <c r="AG235" s="148" t="e">
        <f t="shared" si="151"/>
        <v>#VALUE!</v>
      </c>
      <c r="AH235" s="148" t="e">
        <f t="shared" si="152"/>
        <v>#VALUE!</v>
      </c>
      <c r="AI235" s="148" t="e">
        <f t="shared" si="153"/>
        <v>#VALUE!</v>
      </c>
      <c r="AJ235" s="20" t="e">
        <f t="shared" si="165"/>
        <v>#VALUE!</v>
      </c>
      <c r="AK235" s="148" t="e">
        <f t="shared" si="154"/>
        <v>#VALUE!</v>
      </c>
      <c r="AL235" s="148" t="e">
        <f t="shared" si="155"/>
        <v>#VALUE!</v>
      </c>
      <c r="AM235" s="148" t="e">
        <f t="shared" si="156"/>
        <v>#VALUE!</v>
      </c>
      <c r="AN235" s="148" t="e">
        <f t="shared" si="157"/>
        <v>#VALUE!</v>
      </c>
      <c r="AO235" s="148" t="e">
        <f t="shared" si="158"/>
        <v>#VALUE!</v>
      </c>
      <c r="AP235" s="148" t="e">
        <f t="shared" si="159"/>
        <v>#VALUE!</v>
      </c>
      <c r="AQ235" s="148" t="e">
        <f t="shared" si="160"/>
        <v>#VALUE!</v>
      </c>
      <c r="AR235" s="17" t="e">
        <f t="shared" si="166"/>
        <v>#VALUE!</v>
      </c>
      <c r="AS235" s="148" t="e">
        <f t="shared" si="161"/>
        <v>#VALUE!</v>
      </c>
      <c r="AT235" s="181" t="e">
        <f>INDEX('stock fisico '!N:N, MATCH(B235, 'stock fisico '!B:B, 0))</f>
        <v>#N/A</v>
      </c>
      <c r="AU235" s="179" t="e">
        <f>INDEX('stock fisico '!D:D, MATCH(B235, 'stock fisico '!B:B, 0))</f>
        <v>#N/A</v>
      </c>
      <c r="AV235" s="177" t="e">
        <f>INDEX('stock fisico '!L:L, MATCH(B235, 'stock fisico '!B:B, 0))</f>
        <v>#N/A</v>
      </c>
    </row>
    <row r="236" spans="1:48" x14ac:dyDescent="0.25">
      <c r="A236" s="181" t="e">
        <f>INDEX('stock fisico '!M:M, MATCH(B236, 'stock fisico '!B:B, 0))</f>
        <v>#N/A</v>
      </c>
      <c r="C236" s="179" t="e">
        <f>INDEX('stock fisico '!C:C, MATCH(B236, 'stock fisico '!B:B, 0))</f>
        <v>#N/A</v>
      </c>
      <c r="D236" s="178" t="e">
        <f>INDEX('stock fisico '!I:I, MATCH(B236, 'stock fisico '!B:B, 0))</f>
        <v>#N/A</v>
      </c>
      <c r="E236" s="173" t="e">
        <f t="shared" si="167"/>
        <v>#VALUE!</v>
      </c>
      <c r="F236" s="148" t="e">
        <f t="shared" si="127"/>
        <v>#VALUE!</v>
      </c>
      <c r="G236" s="148" t="e">
        <f t="shared" si="128"/>
        <v>#VALUE!</v>
      </c>
      <c r="H236" s="148" t="e">
        <f t="shared" si="129"/>
        <v>#VALUE!</v>
      </c>
      <c r="I236" s="148" t="e">
        <f t="shared" si="130"/>
        <v>#VALUE!</v>
      </c>
      <c r="J236" s="148" t="e">
        <f t="shared" si="131"/>
        <v>#VALUE!</v>
      </c>
      <c r="K236" s="148" t="e">
        <f t="shared" si="132"/>
        <v>#VALUE!</v>
      </c>
      <c r="L236" s="175" t="e">
        <f t="shared" si="162"/>
        <v>#VALUE!</v>
      </c>
      <c r="M236" s="148" t="e">
        <f t="shared" si="133"/>
        <v>#VALUE!</v>
      </c>
      <c r="N236" s="148" t="e">
        <f t="shared" si="134"/>
        <v>#VALUE!</v>
      </c>
      <c r="O236" s="148" t="e">
        <f t="shared" si="135"/>
        <v>#VALUE!</v>
      </c>
      <c r="P236" s="148" t="e">
        <f t="shared" si="136"/>
        <v>#VALUE!</v>
      </c>
      <c r="Q236" s="148" t="e">
        <f t="shared" si="137"/>
        <v>#VALUE!</v>
      </c>
      <c r="R236" s="148" t="e">
        <f t="shared" si="138"/>
        <v>#VALUE!</v>
      </c>
      <c r="S236" s="148" t="e">
        <f t="shared" si="139"/>
        <v>#VALUE!</v>
      </c>
      <c r="T236" s="174" t="e">
        <f t="shared" si="163"/>
        <v>#VALUE!</v>
      </c>
      <c r="U236" s="148" t="e">
        <f t="shared" si="140"/>
        <v>#VALUE!</v>
      </c>
      <c r="V236" s="148" t="e">
        <f t="shared" si="141"/>
        <v>#VALUE!</v>
      </c>
      <c r="W236" s="148" t="e">
        <f t="shared" si="142"/>
        <v>#VALUE!</v>
      </c>
      <c r="X236" s="148" t="e">
        <f t="shared" si="143"/>
        <v>#VALUE!</v>
      </c>
      <c r="Y236" s="148" t="e">
        <f t="shared" si="144"/>
        <v>#VALUE!</v>
      </c>
      <c r="Z236" s="148" t="e">
        <f t="shared" si="145"/>
        <v>#VALUE!</v>
      </c>
      <c r="AA236" s="148" t="e">
        <f t="shared" si="146"/>
        <v>#VALUE!</v>
      </c>
      <c r="AB236" s="24" t="e">
        <f t="shared" si="164"/>
        <v>#VALUE!</v>
      </c>
      <c r="AC236" s="148" t="e">
        <f t="shared" si="147"/>
        <v>#VALUE!</v>
      </c>
      <c r="AD236" s="148" t="e">
        <f t="shared" si="148"/>
        <v>#VALUE!</v>
      </c>
      <c r="AE236" s="148" t="e">
        <f t="shared" si="149"/>
        <v>#VALUE!</v>
      </c>
      <c r="AF236" s="148" t="e">
        <f t="shared" si="150"/>
        <v>#VALUE!</v>
      </c>
      <c r="AG236" s="148" t="e">
        <f t="shared" si="151"/>
        <v>#VALUE!</v>
      </c>
      <c r="AH236" s="148" t="e">
        <f t="shared" si="152"/>
        <v>#VALUE!</v>
      </c>
      <c r="AI236" s="148" t="e">
        <f t="shared" si="153"/>
        <v>#VALUE!</v>
      </c>
      <c r="AJ236" s="20" t="e">
        <f t="shared" si="165"/>
        <v>#VALUE!</v>
      </c>
      <c r="AK236" s="148" t="e">
        <f t="shared" si="154"/>
        <v>#VALUE!</v>
      </c>
      <c r="AL236" s="148" t="e">
        <f t="shared" si="155"/>
        <v>#VALUE!</v>
      </c>
      <c r="AM236" s="148" t="e">
        <f t="shared" si="156"/>
        <v>#VALUE!</v>
      </c>
      <c r="AN236" s="148" t="e">
        <f t="shared" si="157"/>
        <v>#VALUE!</v>
      </c>
      <c r="AO236" s="148" t="e">
        <f t="shared" si="158"/>
        <v>#VALUE!</v>
      </c>
      <c r="AP236" s="148" t="e">
        <f t="shared" si="159"/>
        <v>#VALUE!</v>
      </c>
      <c r="AQ236" s="148" t="e">
        <f t="shared" si="160"/>
        <v>#VALUE!</v>
      </c>
      <c r="AR236" s="17" t="e">
        <f t="shared" si="166"/>
        <v>#VALUE!</v>
      </c>
      <c r="AS236" s="148" t="e">
        <f t="shared" si="161"/>
        <v>#VALUE!</v>
      </c>
      <c r="AT236" s="181" t="e">
        <f>INDEX('stock fisico '!N:N, MATCH(B236, 'stock fisico '!B:B, 0))</f>
        <v>#N/A</v>
      </c>
      <c r="AU236" s="179" t="e">
        <f>INDEX('stock fisico '!D:D, MATCH(B236, 'stock fisico '!B:B, 0))</f>
        <v>#N/A</v>
      </c>
      <c r="AV236" s="177" t="e">
        <f>INDEX('stock fisico '!L:L, MATCH(B236, 'stock fisico '!B:B, 0))</f>
        <v>#N/A</v>
      </c>
    </row>
    <row r="237" spans="1:48" x14ac:dyDescent="0.25">
      <c r="A237" s="181" t="e">
        <f>INDEX('stock fisico '!M:M, MATCH(B237, 'stock fisico '!B:B, 0))</f>
        <v>#N/A</v>
      </c>
      <c r="C237" s="179" t="e">
        <f>INDEX('stock fisico '!C:C, MATCH(B237, 'stock fisico '!B:B, 0))</f>
        <v>#N/A</v>
      </c>
      <c r="D237" s="178" t="e">
        <f>INDEX('stock fisico '!I:I, MATCH(B237, 'stock fisico '!B:B, 0))</f>
        <v>#N/A</v>
      </c>
      <c r="E237" s="173" t="e">
        <f t="shared" si="167"/>
        <v>#VALUE!</v>
      </c>
      <c r="F237" s="148" t="e">
        <f t="shared" si="127"/>
        <v>#VALUE!</v>
      </c>
      <c r="G237" s="148" t="e">
        <f t="shared" si="128"/>
        <v>#VALUE!</v>
      </c>
      <c r="H237" s="148" t="e">
        <f t="shared" si="129"/>
        <v>#VALUE!</v>
      </c>
      <c r="I237" s="148" t="e">
        <f t="shared" si="130"/>
        <v>#VALUE!</v>
      </c>
      <c r="J237" s="148" t="e">
        <f t="shared" si="131"/>
        <v>#VALUE!</v>
      </c>
      <c r="K237" s="148" t="e">
        <f t="shared" si="132"/>
        <v>#VALUE!</v>
      </c>
      <c r="L237" s="175" t="e">
        <f t="shared" si="162"/>
        <v>#VALUE!</v>
      </c>
      <c r="M237" s="148" t="e">
        <f t="shared" si="133"/>
        <v>#VALUE!</v>
      </c>
      <c r="N237" s="148" t="e">
        <f t="shared" si="134"/>
        <v>#VALUE!</v>
      </c>
      <c r="O237" s="148" t="e">
        <f t="shared" si="135"/>
        <v>#VALUE!</v>
      </c>
      <c r="P237" s="148" t="e">
        <f t="shared" si="136"/>
        <v>#VALUE!</v>
      </c>
      <c r="Q237" s="148" t="e">
        <f t="shared" si="137"/>
        <v>#VALUE!</v>
      </c>
      <c r="R237" s="148" t="e">
        <f t="shared" si="138"/>
        <v>#VALUE!</v>
      </c>
      <c r="S237" s="148" t="e">
        <f t="shared" si="139"/>
        <v>#VALUE!</v>
      </c>
      <c r="T237" s="174" t="e">
        <f t="shared" si="163"/>
        <v>#VALUE!</v>
      </c>
      <c r="U237" s="148" t="e">
        <f t="shared" si="140"/>
        <v>#VALUE!</v>
      </c>
      <c r="V237" s="148" t="e">
        <f t="shared" si="141"/>
        <v>#VALUE!</v>
      </c>
      <c r="W237" s="148" t="e">
        <f t="shared" si="142"/>
        <v>#VALUE!</v>
      </c>
      <c r="X237" s="148" t="e">
        <f t="shared" si="143"/>
        <v>#VALUE!</v>
      </c>
      <c r="Y237" s="148" t="e">
        <f t="shared" si="144"/>
        <v>#VALUE!</v>
      </c>
      <c r="Z237" s="148" t="e">
        <f t="shared" si="145"/>
        <v>#VALUE!</v>
      </c>
      <c r="AA237" s="148" t="e">
        <f t="shared" si="146"/>
        <v>#VALUE!</v>
      </c>
      <c r="AB237" s="24" t="e">
        <f t="shared" si="164"/>
        <v>#VALUE!</v>
      </c>
      <c r="AC237" s="148" t="e">
        <f t="shared" si="147"/>
        <v>#VALUE!</v>
      </c>
      <c r="AD237" s="148" t="e">
        <f t="shared" si="148"/>
        <v>#VALUE!</v>
      </c>
      <c r="AE237" s="148" t="e">
        <f t="shared" si="149"/>
        <v>#VALUE!</v>
      </c>
      <c r="AF237" s="148" t="e">
        <f t="shared" si="150"/>
        <v>#VALUE!</v>
      </c>
      <c r="AG237" s="148" t="e">
        <f t="shared" si="151"/>
        <v>#VALUE!</v>
      </c>
      <c r="AH237" s="148" t="e">
        <f t="shared" si="152"/>
        <v>#VALUE!</v>
      </c>
      <c r="AI237" s="148" t="e">
        <f t="shared" si="153"/>
        <v>#VALUE!</v>
      </c>
      <c r="AJ237" s="20" t="e">
        <f t="shared" si="165"/>
        <v>#VALUE!</v>
      </c>
      <c r="AK237" s="148" t="e">
        <f t="shared" si="154"/>
        <v>#VALUE!</v>
      </c>
      <c r="AL237" s="148" t="e">
        <f t="shared" si="155"/>
        <v>#VALUE!</v>
      </c>
      <c r="AM237" s="148" t="e">
        <f t="shared" si="156"/>
        <v>#VALUE!</v>
      </c>
      <c r="AN237" s="148" t="e">
        <f t="shared" si="157"/>
        <v>#VALUE!</v>
      </c>
      <c r="AO237" s="148" t="e">
        <f t="shared" si="158"/>
        <v>#VALUE!</v>
      </c>
      <c r="AP237" s="148" t="e">
        <f t="shared" si="159"/>
        <v>#VALUE!</v>
      </c>
      <c r="AQ237" s="148" t="e">
        <f t="shared" si="160"/>
        <v>#VALUE!</v>
      </c>
      <c r="AR237" s="17" t="e">
        <f t="shared" si="166"/>
        <v>#VALUE!</v>
      </c>
      <c r="AS237" s="148" t="e">
        <f t="shared" si="161"/>
        <v>#VALUE!</v>
      </c>
      <c r="AT237" s="181" t="e">
        <f>INDEX('stock fisico '!N:N, MATCH(B237, 'stock fisico '!B:B, 0))</f>
        <v>#N/A</v>
      </c>
      <c r="AU237" s="179" t="e">
        <f>INDEX('stock fisico '!D:D, MATCH(B237, 'stock fisico '!B:B, 0))</f>
        <v>#N/A</v>
      </c>
      <c r="AV237" s="177" t="e">
        <f>INDEX('stock fisico '!L:L, MATCH(B237, 'stock fisico '!B:B, 0))</f>
        <v>#N/A</v>
      </c>
    </row>
    <row r="238" spans="1:48" x14ac:dyDescent="0.25">
      <c r="A238" s="181" t="e">
        <f>INDEX('stock fisico '!M:M, MATCH(B238, 'stock fisico '!B:B, 0))</f>
        <v>#N/A</v>
      </c>
      <c r="C238" s="179" t="e">
        <f>INDEX('stock fisico '!C:C, MATCH(B238, 'stock fisico '!B:B, 0))</f>
        <v>#N/A</v>
      </c>
      <c r="D238" s="178" t="e">
        <f>INDEX('stock fisico '!I:I, MATCH(B238, 'stock fisico '!B:B, 0))</f>
        <v>#N/A</v>
      </c>
      <c r="E238" s="173" t="e">
        <f t="shared" si="167"/>
        <v>#VALUE!</v>
      </c>
      <c r="F238" s="148" t="e">
        <f t="shared" si="127"/>
        <v>#VALUE!</v>
      </c>
      <c r="G238" s="148" t="e">
        <f t="shared" si="128"/>
        <v>#VALUE!</v>
      </c>
      <c r="H238" s="148" t="e">
        <f t="shared" si="129"/>
        <v>#VALUE!</v>
      </c>
      <c r="I238" s="148" t="e">
        <f t="shared" si="130"/>
        <v>#VALUE!</v>
      </c>
      <c r="J238" s="148" t="e">
        <f t="shared" si="131"/>
        <v>#VALUE!</v>
      </c>
      <c r="K238" s="148" t="e">
        <f t="shared" si="132"/>
        <v>#VALUE!</v>
      </c>
      <c r="L238" s="175" t="e">
        <f t="shared" si="162"/>
        <v>#VALUE!</v>
      </c>
      <c r="M238" s="148" t="e">
        <f t="shared" si="133"/>
        <v>#VALUE!</v>
      </c>
      <c r="N238" s="148" t="e">
        <f t="shared" si="134"/>
        <v>#VALUE!</v>
      </c>
      <c r="O238" s="148" t="e">
        <f t="shared" si="135"/>
        <v>#VALUE!</v>
      </c>
      <c r="P238" s="148" t="e">
        <f t="shared" si="136"/>
        <v>#VALUE!</v>
      </c>
      <c r="Q238" s="148" t="e">
        <f t="shared" si="137"/>
        <v>#VALUE!</v>
      </c>
      <c r="R238" s="148" t="e">
        <f t="shared" si="138"/>
        <v>#VALUE!</v>
      </c>
      <c r="S238" s="148" t="e">
        <f t="shared" si="139"/>
        <v>#VALUE!</v>
      </c>
      <c r="T238" s="174" t="e">
        <f t="shared" si="163"/>
        <v>#VALUE!</v>
      </c>
      <c r="U238" s="148" t="e">
        <f t="shared" si="140"/>
        <v>#VALUE!</v>
      </c>
      <c r="V238" s="148" t="e">
        <f t="shared" si="141"/>
        <v>#VALUE!</v>
      </c>
      <c r="W238" s="148" t="e">
        <f t="shared" si="142"/>
        <v>#VALUE!</v>
      </c>
      <c r="X238" s="148" t="e">
        <f t="shared" si="143"/>
        <v>#VALUE!</v>
      </c>
      <c r="Y238" s="148" t="e">
        <f t="shared" si="144"/>
        <v>#VALUE!</v>
      </c>
      <c r="Z238" s="148" t="e">
        <f t="shared" si="145"/>
        <v>#VALUE!</v>
      </c>
      <c r="AA238" s="148" t="e">
        <f t="shared" si="146"/>
        <v>#VALUE!</v>
      </c>
      <c r="AB238" s="24" t="e">
        <f t="shared" si="164"/>
        <v>#VALUE!</v>
      </c>
      <c r="AC238" s="148" t="e">
        <f t="shared" si="147"/>
        <v>#VALUE!</v>
      </c>
      <c r="AD238" s="148" t="e">
        <f t="shared" si="148"/>
        <v>#VALUE!</v>
      </c>
      <c r="AE238" s="148" t="e">
        <f t="shared" si="149"/>
        <v>#VALUE!</v>
      </c>
      <c r="AF238" s="148" t="e">
        <f t="shared" si="150"/>
        <v>#VALUE!</v>
      </c>
      <c r="AG238" s="148" t="e">
        <f t="shared" si="151"/>
        <v>#VALUE!</v>
      </c>
      <c r="AH238" s="148" t="e">
        <f t="shared" si="152"/>
        <v>#VALUE!</v>
      </c>
      <c r="AI238" s="148" t="e">
        <f t="shared" si="153"/>
        <v>#VALUE!</v>
      </c>
      <c r="AJ238" s="20" t="e">
        <f t="shared" si="165"/>
        <v>#VALUE!</v>
      </c>
      <c r="AK238" s="148" t="e">
        <f t="shared" si="154"/>
        <v>#VALUE!</v>
      </c>
      <c r="AL238" s="148" t="e">
        <f t="shared" si="155"/>
        <v>#VALUE!</v>
      </c>
      <c r="AM238" s="148" t="e">
        <f t="shared" si="156"/>
        <v>#VALUE!</v>
      </c>
      <c r="AN238" s="148" t="e">
        <f t="shared" si="157"/>
        <v>#VALUE!</v>
      </c>
      <c r="AO238" s="148" t="e">
        <f t="shared" si="158"/>
        <v>#VALUE!</v>
      </c>
      <c r="AP238" s="148" t="e">
        <f t="shared" si="159"/>
        <v>#VALUE!</v>
      </c>
      <c r="AQ238" s="148" t="e">
        <f t="shared" si="160"/>
        <v>#VALUE!</v>
      </c>
      <c r="AR238" s="17" t="e">
        <f t="shared" si="166"/>
        <v>#VALUE!</v>
      </c>
      <c r="AS238" s="148" t="e">
        <f t="shared" si="161"/>
        <v>#VALUE!</v>
      </c>
      <c r="AT238" s="181" t="e">
        <f>INDEX('stock fisico '!N:N, MATCH(B238, 'stock fisico '!B:B, 0))</f>
        <v>#N/A</v>
      </c>
      <c r="AU238" s="179" t="e">
        <f>INDEX('stock fisico '!D:D, MATCH(B238, 'stock fisico '!B:B, 0))</f>
        <v>#N/A</v>
      </c>
      <c r="AV238" s="177" t="e">
        <f>INDEX('stock fisico '!L:L, MATCH(B238, 'stock fisico '!B:B, 0))</f>
        <v>#N/A</v>
      </c>
    </row>
    <row r="239" spans="1:48" x14ac:dyDescent="0.25">
      <c r="A239" s="181" t="e">
        <f>INDEX('stock fisico '!M:M, MATCH(B239, 'stock fisico '!B:B, 0))</f>
        <v>#N/A</v>
      </c>
      <c r="C239" s="179" t="e">
        <f>INDEX('stock fisico '!C:C, MATCH(B239, 'stock fisico '!B:B, 0))</f>
        <v>#N/A</v>
      </c>
      <c r="D239" s="178" t="e">
        <f>INDEX('stock fisico '!I:I, MATCH(B239, 'stock fisico '!B:B, 0))</f>
        <v>#N/A</v>
      </c>
      <c r="E239" s="173" t="e">
        <f t="shared" si="167"/>
        <v>#VALUE!</v>
      </c>
      <c r="F239" s="148" t="e">
        <f t="shared" si="127"/>
        <v>#VALUE!</v>
      </c>
      <c r="G239" s="148" t="e">
        <f t="shared" si="128"/>
        <v>#VALUE!</v>
      </c>
      <c r="H239" s="148" t="e">
        <f t="shared" si="129"/>
        <v>#VALUE!</v>
      </c>
      <c r="I239" s="148" t="e">
        <f t="shared" si="130"/>
        <v>#VALUE!</v>
      </c>
      <c r="J239" s="148" t="e">
        <f t="shared" si="131"/>
        <v>#VALUE!</v>
      </c>
      <c r="K239" s="148" t="e">
        <f t="shared" si="132"/>
        <v>#VALUE!</v>
      </c>
      <c r="L239" s="175" t="e">
        <f t="shared" si="162"/>
        <v>#VALUE!</v>
      </c>
      <c r="M239" s="148" t="e">
        <f t="shared" si="133"/>
        <v>#VALUE!</v>
      </c>
      <c r="N239" s="148" t="e">
        <f t="shared" si="134"/>
        <v>#VALUE!</v>
      </c>
      <c r="O239" s="148" t="e">
        <f t="shared" si="135"/>
        <v>#VALUE!</v>
      </c>
      <c r="P239" s="148" t="e">
        <f t="shared" si="136"/>
        <v>#VALUE!</v>
      </c>
      <c r="Q239" s="148" t="e">
        <f t="shared" si="137"/>
        <v>#VALUE!</v>
      </c>
      <c r="R239" s="148" t="e">
        <f t="shared" si="138"/>
        <v>#VALUE!</v>
      </c>
      <c r="S239" s="148" t="e">
        <f t="shared" si="139"/>
        <v>#VALUE!</v>
      </c>
      <c r="T239" s="174" t="e">
        <f t="shared" si="163"/>
        <v>#VALUE!</v>
      </c>
      <c r="U239" s="148" t="e">
        <f t="shared" si="140"/>
        <v>#VALUE!</v>
      </c>
      <c r="V239" s="148" t="e">
        <f t="shared" si="141"/>
        <v>#VALUE!</v>
      </c>
      <c r="W239" s="148" t="e">
        <f t="shared" si="142"/>
        <v>#VALUE!</v>
      </c>
      <c r="X239" s="148" t="e">
        <f t="shared" si="143"/>
        <v>#VALUE!</v>
      </c>
      <c r="Y239" s="148" t="e">
        <f t="shared" si="144"/>
        <v>#VALUE!</v>
      </c>
      <c r="Z239" s="148" t="e">
        <f t="shared" si="145"/>
        <v>#VALUE!</v>
      </c>
      <c r="AA239" s="148" t="e">
        <f t="shared" si="146"/>
        <v>#VALUE!</v>
      </c>
      <c r="AB239" s="24" t="e">
        <f t="shared" si="164"/>
        <v>#VALUE!</v>
      </c>
      <c r="AC239" s="148" t="e">
        <f t="shared" si="147"/>
        <v>#VALUE!</v>
      </c>
      <c r="AD239" s="148" t="e">
        <f t="shared" si="148"/>
        <v>#VALUE!</v>
      </c>
      <c r="AE239" s="148" t="e">
        <f t="shared" si="149"/>
        <v>#VALUE!</v>
      </c>
      <c r="AF239" s="148" t="e">
        <f t="shared" si="150"/>
        <v>#VALUE!</v>
      </c>
      <c r="AG239" s="148" t="e">
        <f t="shared" si="151"/>
        <v>#VALUE!</v>
      </c>
      <c r="AH239" s="148" t="e">
        <f t="shared" si="152"/>
        <v>#VALUE!</v>
      </c>
      <c r="AI239" s="148" t="e">
        <f t="shared" si="153"/>
        <v>#VALUE!</v>
      </c>
      <c r="AJ239" s="20" t="e">
        <f t="shared" si="165"/>
        <v>#VALUE!</v>
      </c>
      <c r="AK239" s="148" t="e">
        <f t="shared" si="154"/>
        <v>#VALUE!</v>
      </c>
      <c r="AL239" s="148" t="e">
        <f t="shared" si="155"/>
        <v>#VALUE!</v>
      </c>
      <c r="AM239" s="148" t="e">
        <f t="shared" si="156"/>
        <v>#VALUE!</v>
      </c>
      <c r="AN239" s="148" t="e">
        <f t="shared" si="157"/>
        <v>#VALUE!</v>
      </c>
      <c r="AO239" s="148" t="e">
        <f t="shared" si="158"/>
        <v>#VALUE!</v>
      </c>
      <c r="AP239" s="148" t="e">
        <f t="shared" si="159"/>
        <v>#VALUE!</v>
      </c>
      <c r="AQ239" s="148" t="e">
        <f t="shared" si="160"/>
        <v>#VALUE!</v>
      </c>
      <c r="AR239" s="17" t="e">
        <f t="shared" si="166"/>
        <v>#VALUE!</v>
      </c>
      <c r="AS239" s="148" t="e">
        <f t="shared" si="161"/>
        <v>#VALUE!</v>
      </c>
      <c r="AT239" s="181" t="e">
        <f>INDEX('stock fisico '!N:N, MATCH(B239, 'stock fisico '!B:B, 0))</f>
        <v>#N/A</v>
      </c>
      <c r="AU239" s="179" t="e">
        <f>INDEX('stock fisico '!D:D, MATCH(B239, 'stock fisico '!B:B, 0))</f>
        <v>#N/A</v>
      </c>
      <c r="AV239" s="177" t="e">
        <f>INDEX('stock fisico '!L:L, MATCH(B239, 'stock fisico '!B:B, 0))</f>
        <v>#N/A</v>
      </c>
    </row>
    <row r="240" spans="1:48" x14ac:dyDescent="0.25">
      <c r="A240" s="181" t="e">
        <f>INDEX('stock fisico '!M:M, MATCH(B240, 'stock fisico '!B:B, 0))</f>
        <v>#N/A</v>
      </c>
      <c r="C240" s="179" t="e">
        <f>INDEX('stock fisico '!C:C, MATCH(B240, 'stock fisico '!B:B, 0))</f>
        <v>#N/A</v>
      </c>
      <c r="D240" s="178" t="e">
        <f>INDEX('stock fisico '!I:I, MATCH(B240, 'stock fisico '!B:B, 0))</f>
        <v>#N/A</v>
      </c>
      <c r="E240" s="173" t="e">
        <f t="shared" si="167"/>
        <v>#VALUE!</v>
      </c>
      <c r="F240" s="148" t="e">
        <f t="shared" si="127"/>
        <v>#VALUE!</v>
      </c>
      <c r="G240" s="148" t="e">
        <f t="shared" si="128"/>
        <v>#VALUE!</v>
      </c>
      <c r="H240" s="148" t="e">
        <f t="shared" si="129"/>
        <v>#VALUE!</v>
      </c>
      <c r="I240" s="148" t="e">
        <f t="shared" si="130"/>
        <v>#VALUE!</v>
      </c>
      <c r="J240" s="148" t="e">
        <f t="shared" si="131"/>
        <v>#VALUE!</v>
      </c>
      <c r="K240" s="148" t="e">
        <f t="shared" si="132"/>
        <v>#VALUE!</v>
      </c>
      <c r="L240" s="175" t="e">
        <f t="shared" si="162"/>
        <v>#VALUE!</v>
      </c>
      <c r="M240" s="148" t="e">
        <f t="shared" si="133"/>
        <v>#VALUE!</v>
      </c>
      <c r="N240" s="148" t="e">
        <f t="shared" si="134"/>
        <v>#VALUE!</v>
      </c>
      <c r="O240" s="148" t="e">
        <f t="shared" si="135"/>
        <v>#VALUE!</v>
      </c>
      <c r="P240" s="148" t="e">
        <f t="shared" si="136"/>
        <v>#VALUE!</v>
      </c>
      <c r="Q240" s="148" t="e">
        <f t="shared" si="137"/>
        <v>#VALUE!</v>
      </c>
      <c r="R240" s="148" t="e">
        <f t="shared" si="138"/>
        <v>#VALUE!</v>
      </c>
      <c r="S240" s="148" t="e">
        <f t="shared" si="139"/>
        <v>#VALUE!</v>
      </c>
      <c r="T240" s="174" t="e">
        <f t="shared" si="163"/>
        <v>#VALUE!</v>
      </c>
      <c r="U240" s="148" t="e">
        <f t="shared" si="140"/>
        <v>#VALUE!</v>
      </c>
      <c r="V240" s="148" t="e">
        <f t="shared" si="141"/>
        <v>#VALUE!</v>
      </c>
      <c r="W240" s="148" t="e">
        <f t="shared" si="142"/>
        <v>#VALUE!</v>
      </c>
      <c r="X240" s="148" t="e">
        <f t="shared" si="143"/>
        <v>#VALUE!</v>
      </c>
      <c r="Y240" s="148" t="e">
        <f t="shared" si="144"/>
        <v>#VALUE!</v>
      </c>
      <c r="Z240" s="148" t="e">
        <f t="shared" si="145"/>
        <v>#VALUE!</v>
      </c>
      <c r="AA240" s="148" t="e">
        <f t="shared" si="146"/>
        <v>#VALUE!</v>
      </c>
      <c r="AB240" s="24" t="e">
        <f t="shared" si="164"/>
        <v>#VALUE!</v>
      </c>
      <c r="AC240" s="148" t="e">
        <f t="shared" si="147"/>
        <v>#VALUE!</v>
      </c>
      <c r="AD240" s="148" t="e">
        <f t="shared" si="148"/>
        <v>#VALUE!</v>
      </c>
      <c r="AE240" s="148" t="e">
        <f t="shared" si="149"/>
        <v>#VALUE!</v>
      </c>
      <c r="AF240" s="148" t="e">
        <f t="shared" si="150"/>
        <v>#VALUE!</v>
      </c>
      <c r="AG240" s="148" t="e">
        <f t="shared" si="151"/>
        <v>#VALUE!</v>
      </c>
      <c r="AH240" s="148" t="e">
        <f t="shared" si="152"/>
        <v>#VALUE!</v>
      </c>
      <c r="AI240" s="148" t="e">
        <f t="shared" si="153"/>
        <v>#VALUE!</v>
      </c>
      <c r="AJ240" s="20" t="e">
        <f t="shared" si="165"/>
        <v>#VALUE!</v>
      </c>
      <c r="AK240" s="148" t="e">
        <f t="shared" si="154"/>
        <v>#VALUE!</v>
      </c>
      <c r="AL240" s="148" t="e">
        <f t="shared" si="155"/>
        <v>#VALUE!</v>
      </c>
      <c r="AM240" s="148" t="e">
        <f t="shared" si="156"/>
        <v>#VALUE!</v>
      </c>
      <c r="AN240" s="148" t="e">
        <f t="shared" si="157"/>
        <v>#VALUE!</v>
      </c>
      <c r="AO240" s="148" t="e">
        <f t="shared" si="158"/>
        <v>#VALUE!</v>
      </c>
      <c r="AP240" s="148" t="e">
        <f t="shared" si="159"/>
        <v>#VALUE!</v>
      </c>
      <c r="AQ240" s="148" t="e">
        <f t="shared" si="160"/>
        <v>#VALUE!</v>
      </c>
      <c r="AR240" s="17" t="e">
        <f t="shared" si="166"/>
        <v>#VALUE!</v>
      </c>
      <c r="AS240" s="148" t="e">
        <f t="shared" si="161"/>
        <v>#VALUE!</v>
      </c>
      <c r="AT240" s="181" t="e">
        <f>INDEX('stock fisico '!N:N, MATCH(B240, 'stock fisico '!B:B, 0))</f>
        <v>#N/A</v>
      </c>
      <c r="AU240" s="179" t="e">
        <f>INDEX('stock fisico '!D:D, MATCH(B240, 'stock fisico '!B:B, 0))</f>
        <v>#N/A</v>
      </c>
      <c r="AV240" s="177" t="e">
        <f>INDEX('stock fisico '!L:L, MATCH(B240, 'stock fisico '!B:B, 0))</f>
        <v>#N/A</v>
      </c>
    </row>
    <row r="241" spans="1:48" x14ac:dyDescent="0.25">
      <c r="A241" s="181" t="e">
        <f>INDEX('stock fisico '!M:M, MATCH(B241, 'stock fisico '!B:B, 0))</f>
        <v>#N/A</v>
      </c>
      <c r="C241" s="179" t="e">
        <f>INDEX('stock fisico '!C:C, MATCH(B241, 'stock fisico '!B:B, 0))</f>
        <v>#N/A</v>
      </c>
      <c r="D241" s="178" t="e">
        <f>INDEX('stock fisico '!I:I, MATCH(B241, 'stock fisico '!B:B, 0))</f>
        <v>#N/A</v>
      </c>
      <c r="E241" s="173" t="e">
        <f t="shared" si="167"/>
        <v>#VALUE!</v>
      </c>
      <c r="F241" s="148" t="e">
        <f t="shared" si="127"/>
        <v>#VALUE!</v>
      </c>
      <c r="G241" s="148" t="e">
        <f t="shared" si="128"/>
        <v>#VALUE!</v>
      </c>
      <c r="H241" s="148" t="e">
        <f t="shared" si="129"/>
        <v>#VALUE!</v>
      </c>
      <c r="I241" s="148" t="e">
        <f t="shared" si="130"/>
        <v>#VALUE!</v>
      </c>
      <c r="J241" s="148" t="e">
        <f t="shared" si="131"/>
        <v>#VALUE!</v>
      </c>
      <c r="K241" s="148" t="e">
        <f t="shared" si="132"/>
        <v>#VALUE!</v>
      </c>
      <c r="L241" s="175" t="e">
        <f t="shared" si="162"/>
        <v>#VALUE!</v>
      </c>
      <c r="M241" s="148" t="e">
        <f t="shared" si="133"/>
        <v>#VALUE!</v>
      </c>
      <c r="N241" s="148" t="e">
        <f t="shared" si="134"/>
        <v>#VALUE!</v>
      </c>
      <c r="O241" s="148" t="e">
        <f t="shared" si="135"/>
        <v>#VALUE!</v>
      </c>
      <c r="P241" s="148" t="e">
        <f t="shared" si="136"/>
        <v>#VALUE!</v>
      </c>
      <c r="Q241" s="148" t="e">
        <f t="shared" si="137"/>
        <v>#VALUE!</v>
      </c>
      <c r="R241" s="148" t="e">
        <f t="shared" si="138"/>
        <v>#VALUE!</v>
      </c>
      <c r="S241" s="148" t="e">
        <f t="shared" si="139"/>
        <v>#VALUE!</v>
      </c>
      <c r="T241" s="174" t="e">
        <f t="shared" si="163"/>
        <v>#VALUE!</v>
      </c>
      <c r="U241" s="148" t="e">
        <f t="shared" si="140"/>
        <v>#VALUE!</v>
      </c>
      <c r="V241" s="148" t="e">
        <f t="shared" si="141"/>
        <v>#VALUE!</v>
      </c>
      <c r="W241" s="148" t="e">
        <f t="shared" si="142"/>
        <v>#VALUE!</v>
      </c>
      <c r="X241" s="148" t="e">
        <f t="shared" si="143"/>
        <v>#VALUE!</v>
      </c>
      <c r="Y241" s="148" t="e">
        <f t="shared" si="144"/>
        <v>#VALUE!</v>
      </c>
      <c r="Z241" s="148" t="e">
        <f t="shared" si="145"/>
        <v>#VALUE!</v>
      </c>
      <c r="AA241" s="148" t="e">
        <f t="shared" si="146"/>
        <v>#VALUE!</v>
      </c>
      <c r="AB241" s="24" t="e">
        <f t="shared" si="164"/>
        <v>#VALUE!</v>
      </c>
      <c r="AC241" s="148" t="e">
        <f t="shared" si="147"/>
        <v>#VALUE!</v>
      </c>
      <c r="AD241" s="148" t="e">
        <f t="shared" si="148"/>
        <v>#VALUE!</v>
      </c>
      <c r="AE241" s="148" t="e">
        <f t="shared" si="149"/>
        <v>#VALUE!</v>
      </c>
      <c r="AF241" s="148" t="e">
        <f t="shared" si="150"/>
        <v>#VALUE!</v>
      </c>
      <c r="AG241" s="148" t="e">
        <f t="shared" si="151"/>
        <v>#VALUE!</v>
      </c>
      <c r="AH241" s="148" t="e">
        <f t="shared" si="152"/>
        <v>#VALUE!</v>
      </c>
      <c r="AI241" s="148" t="e">
        <f t="shared" si="153"/>
        <v>#VALUE!</v>
      </c>
      <c r="AJ241" s="20" t="e">
        <f t="shared" si="165"/>
        <v>#VALUE!</v>
      </c>
      <c r="AK241" s="148" t="e">
        <f t="shared" si="154"/>
        <v>#VALUE!</v>
      </c>
      <c r="AL241" s="148" t="e">
        <f t="shared" si="155"/>
        <v>#VALUE!</v>
      </c>
      <c r="AM241" s="148" t="e">
        <f t="shared" si="156"/>
        <v>#VALUE!</v>
      </c>
      <c r="AN241" s="148" t="e">
        <f t="shared" si="157"/>
        <v>#VALUE!</v>
      </c>
      <c r="AO241" s="148" t="e">
        <f t="shared" si="158"/>
        <v>#VALUE!</v>
      </c>
      <c r="AP241" s="148" t="e">
        <f t="shared" si="159"/>
        <v>#VALUE!</v>
      </c>
      <c r="AQ241" s="148" t="e">
        <f t="shared" si="160"/>
        <v>#VALUE!</v>
      </c>
      <c r="AR241" s="17" t="e">
        <f t="shared" si="166"/>
        <v>#VALUE!</v>
      </c>
      <c r="AS241" s="148" t="e">
        <f t="shared" si="161"/>
        <v>#VALUE!</v>
      </c>
      <c r="AT241" s="181" t="e">
        <f>INDEX('stock fisico '!N:N, MATCH(B241, 'stock fisico '!B:B, 0))</f>
        <v>#N/A</v>
      </c>
      <c r="AU241" s="179" t="e">
        <f>INDEX('stock fisico '!D:D, MATCH(B241, 'stock fisico '!B:B, 0))</f>
        <v>#N/A</v>
      </c>
      <c r="AV241" s="177" t="e">
        <f>INDEX('stock fisico '!L:L, MATCH(B241, 'stock fisico '!B:B, 0))</f>
        <v>#N/A</v>
      </c>
    </row>
    <row r="242" spans="1:48" x14ac:dyDescent="0.25">
      <c r="A242" s="181" t="e">
        <f>INDEX('stock fisico '!M:M, MATCH(B242, 'stock fisico '!B:B, 0))</f>
        <v>#N/A</v>
      </c>
      <c r="C242" s="179" t="e">
        <f>INDEX('stock fisico '!C:C, MATCH(B242, 'stock fisico '!B:B, 0))</f>
        <v>#N/A</v>
      </c>
      <c r="D242" s="178" t="e">
        <f>INDEX('stock fisico '!I:I, MATCH(B242, 'stock fisico '!B:B, 0))</f>
        <v>#N/A</v>
      </c>
      <c r="E242" s="173" t="e">
        <f t="shared" si="167"/>
        <v>#VALUE!</v>
      </c>
      <c r="F242" s="148" t="e">
        <f t="shared" si="127"/>
        <v>#VALUE!</v>
      </c>
      <c r="G242" s="148" t="e">
        <f t="shared" si="128"/>
        <v>#VALUE!</v>
      </c>
      <c r="H242" s="148" t="e">
        <f t="shared" si="129"/>
        <v>#VALUE!</v>
      </c>
      <c r="I242" s="148" t="e">
        <f t="shared" si="130"/>
        <v>#VALUE!</v>
      </c>
      <c r="J242" s="148" t="e">
        <f t="shared" si="131"/>
        <v>#VALUE!</v>
      </c>
      <c r="K242" s="148" t="e">
        <f t="shared" si="132"/>
        <v>#VALUE!</v>
      </c>
      <c r="L242" s="175" t="e">
        <f t="shared" si="162"/>
        <v>#VALUE!</v>
      </c>
      <c r="M242" s="148" t="e">
        <f t="shared" si="133"/>
        <v>#VALUE!</v>
      </c>
      <c r="N242" s="148" t="e">
        <f t="shared" si="134"/>
        <v>#VALUE!</v>
      </c>
      <c r="O242" s="148" t="e">
        <f t="shared" si="135"/>
        <v>#VALUE!</v>
      </c>
      <c r="P242" s="148" t="e">
        <f t="shared" si="136"/>
        <v>#VALUE!</v>
      </c>
      <c r="Q242" s="148" t="e">
        <f t="shared" si="137"/>
        <v>#VALUE!</v>
      </c>
      <c r="R242" s="148" t="e">
        <f t="shared" si="138"/>
        <v>#VALUE!</v>
      </c>
      <c r="S242" s="148" t="e">
        <f t="shared" si="139"/>
        <v>#VALUE!</v>
      </c>
      <c r="T242" s="174" t="e">
        <f t="shared" si="163"/>
        <v>#VALUE!</v>
      </c>
      <c r="U242" s="148" t="e">
        <f t="shared" si="140"/>
        <v>#VALUE!</v>
      </c>
      <c r="V242" s="148" t="e">
        <f t="shared" si="141"/>
        <v>#VALUE!</v>
      </c>
      <c r="W242" s="148" t="e">
        <f t="shared" si="142"/>
        <v>#VALUE!</v>
      </c>
      <c r="X242" s="148" t="e">
        <f t="shared" si="143"/>
        <v>#VALUE!</v>
      </c>
      <c r="Y242" s="148" t="e">
        <f t="shared" si="144"/>
        <v>#VALUE!</v>
      </c>
      <c r="Z242" s="148" t="e">
        <f t="shared" si="145"/>
        <v>#VALUE!</v>
      </c>
      <c r="AA242" s="148" t="e">
        <f t="shared" si="146"/>
        <v>#VALUE!</v>
      </c>
      <c r="AB242" s="24" t="e">
        <f t="shared" si="164"/>
        <v>#VALUE!</v>
      </c>
      <c r="AC242" s="148" t="e">
        <f t="shared" si="147"/>
        <v>#VALUE!</v>
      </c>
      <c r="AD242" s="148" t="e">
        <f t="shared" si="148"/>
        <v>#VALUE!</v>
      </c>
      <c r="AE242" s="148" t="e">
        <f t="shared" si="149"/>
        <v>#VALUE!</v>
      </c>
      <c r="AF242" s="148" t="e">
        <f t="shared" si="150"/>
        <v>#VALUE!</v>
      </c>
      <c r="AG242" s="148" t="e">
        <f t="shared" si="151"/>
        <v>#VALUE!</v>
      </c>
      <c r="AH242" s="148" t="e">
        <f t="shared" si="152"/>
        <v>#VALUE!</v>
      </c>
      <c r="AI242" s="148" t="e">
        <f t="shared" si="153"/>
        <v>#VALUE!</v>
      </c>
      <c r="AJ242" s="20" t="e">
        <f t="shared" si="165"/>
        <v>#VALUE!</v>
      </c>
      <c r="AK242" s="148" t="e">
        <f t="shared" si="154"/>
        <v>#VALUE!</v>
      </c>
      <c r="AL242" s="148" t="e">
        <f t="shared" si="155"/>
        <v>#VALUE!</v>
      </c>
      <c r="AM242" s="148" t="e">
        <f t="shared" si="156"/>
        <v>#VALUE!</v>
      </c>
      <c r="AN242" s="148" t="e">
        <f t="shared" si="157"/>
        <v>#VALUE!</v>
      </c>
      <c r="AO242" s="148" t="e">
        <f t="shared" si="158"/>
        <v>#VALUE!</v>
      </c>
      <c r="AP242" s="148" t="e">
        <f t="shared" si="159"/>
        <v>#VALUE!</v>
      </c>
      <c r="AQ242" s="148" t="e">
        <f t="shared" si="160"/>
        <v>#VALUE!</v>
      </c>
      <c r="AR242" s="17" t="e">
        <f t="shared" si="166"/>
        <v>#VALUE!</v>
      </c>
      <c r="AS242" s="148" t="e">
        <f t="shared" si="161"/>
        <v>#VALUE!</v>
      </c>
      <c r="AT242" s="181" t="e">
        <f>INDEX('stock fisico '!N:N, MATCH(B242, 'stock fisico '!B:B, 0))</f>
        <v>#N/A</v>
      </c>
      <c r="AU242" s="179" t="e">
        <f>INDEX('stock fisico '!D:D, MATCH(B242, 'stock fisico '!B:B, 0))</f>
        <v>#N/A</v>
      </c>
      <c r="AV242" s="177" t="e">
        <f>INDEX('stock fisico '!L:L, MATCH(B242, 'stock fisico '!B:B, 0))</f>
        <v>#N/A</v>
      </c>
    </row>
    <row r="243" spans="1:48" x14ac:dyDescent="0.25">
      <c r="A243" s="181" t="e">
        <f>INDEX('stock fisico '!M:M, MATCH(B243, 'stock fisico '!B:B, 0))</f>
        <v>#N/A</v>
      </c>
      <c r="C243" s="179" t="e">
        <f>INDEX('stock fisico '!C:C, MATCH(B243, 'stock fisico '!B:B, 0))</f>
        <v>#N/A</v>
      </c>
      <c r="D243" s="178" t="e">
        <f>INDEX('stock fisico '!I:I, MATCH(B243, 'stock fisico '!B:B, 0))</f>
        <v>#N/A</v>
      </c>
      <c r="E243" s="173" t="e">
        <f t="shared" si="167"/>
        <v>#VALUE!</v>
      </c>
      <c r="F243" s="148" t="e">
        <f t="shared" si="127"/>
        <v>#VALUE!</v>
      </c>
      <c r="G243" s="148" t="e">
        <f t="shared" si="128"/>
        <v>#VALUE!</v>
      </c>
      <c r="H243" s="148" t="e">
        <f t="shared" si="129"/>
        <v>#VALUE!</v>
      </c>
      <c r="I243" s="148" t="e">
        <f t="shared" si="130"/>
        <v>#VALUE!</v>
      </c>
      <c r="J243" s="148" t="e">
        <f t="shared" si="131"/>
        <v>#VALUE!</v>
      </c>
      <c r="K243" s="148" t="e">
        <f t="shared" si="132"/>
        <v>#VALUE!</v>
      </c>
      <c r="L243" s="175" t="e">
        <f t="shared" si="162"/>
        <v>#VALUE!</v>
      </c>
      <c r="M243" s="148" t="e">
        <f t="shared" si="133"/>
        <v>#VALUE!</v>
      </c>
      <c r="N243" s="148" t="e">
        <f t="shared" si="134"/>
        <v>#VALUE!</v>
      </c>
      <c r="O243" s="148" t="e">
        <f t="shared" si="135"/>
        <v>#VALUE!</v>
      </c>
      <c r="P243" s="148" t="e">
        <f t="shared" si="136"/>
        <v>#VALUE!</v>
      </c>
      <c r="Q243" s="148" t="e">
        <f t="shared" si="137"/>
        <v>#VALUE!</v>
      </c>
      <c r="R243" s="148" t="e">
        <f t="shared" si="138"/>
        <v>#VALUE!</v>
      </c>
      <c r="S243" s="148" t="e">
        <f t="shared" si="139"/>
        <v>#VALUE!</v>
      </c>
      <c r="T243" s="174" t="e">
        <f t="shared" si="163"/>
        <v>#VALUE!</v>
      </c>
      <c r="U243" s="148" t="e">
        <f t="shared" si="140"/>
        <v>#VALUE!</v>
      </c>
      <c r="V243" s="148" t="e">
        <f t="shared" si="141"/>
        <v>#VALUE!</v>
      </c>
      <c r="W243" s="148" t="e">
        <f t="shared" si="142"/>
        <v>#VALUE!</v>
      </c>
      <c r="X243" s="148" t="e">
        <f t="shared" si="143"/>
        <v>#VALUE!</v>
      </c>
      <c r="Y243" s="148" t="e">
        <f t="shared" si="144"/>
        <v>#VALUE!</v>
      </c>
      <c r="Z243" s="148" t="e">
        <f t="shared" si="145"/>
        <v>#VALUE!</v>
      </c>
      <c r="AA243" s="148" t="e">
        <f t="shared" si="146"/>
        <v>#VALUE!</v>
      </c>
      <c r="AB243" s="24" t="e">
        <f t="shared" si="164"/>
        <v>#VALUE!</v>
      </c>
      <c r="AC243" s="148" t="e">
        <f t="shared" si="147"/>
        <v>#VALUE!</v>
      </c>
      <c r="AD243" s="148" t="e">
        <f t="shared" si="148"/>
        <v>#VALUE!</v>
      </c>
      <c r="AE243" s="148" t="e">
        <f t="shared" si="149"/>
        <v>#VALUE!</v>
      </c>
      <c r="AF243" s="148" t="e">
        <f t="shared" si="150"/>
        <v>#VALUE!</v>
      </c>
      <c r="AG243" s="148" t="e">
        <f t="shared" si="151"/>
        <v>#VALUE!</v>
      </c>
      <c r="AH243" s="148" t="e">
        <f t="shared" si="152"/>
        <v>#VALUE!</v>
      </c>
      <c r="AI243" s="148" t="e">
        <f t="shared" si="153"/>
        <v>#VALUE!</v>
      </c>
      <c r="AJ243" s="20" t="e">
        <f t="shared" si="165"/>
        <v>#VALUE!</v>
      </c>
      <c r="AK243" s="148" t="e">
        <f t="shared" si="154"/>
        <v>#VALUE!</v>
      </c>
      <c r="AL243" s="148" t="e">
        <f t="shared" si="155"/>
        <v>#VALUE!</v>
      </c>
      <c r="AM243" s="148" t="e">
        <f t="shared" si="156"/>
        <v>#VALUE!</v>
      </c>
      <c r="AN243" s="148" t="e">
        <f t="shared" si="157"/>
        <v>#VALUE!</v>
      </c>
      <c r="AO243" s="148" t="e">
        <f t="shared" si="158"/>
        <v>#VALUE!</v>
      </c>
      <c r="AP243" s="148" t="e">
        <f t="shared" si="159"/>
        <v>#VALUE!</v>
      </c>
      <c r="AQ243" s="148" t="e">
        <f t="shared" si="160"/>
        <v>#VALUE!</v>
      </c>
      <c r="AR243" s="17" t="e">
        <f t="shared" si="166"/>
        <v>#VALUE!</v>
      </c>
      <c r="AS243" s="148" t="e">
        <f t="shared" si="161"/>
        <v>#VALUE!</v>
      </c>
      <c r="AT243" s="181" t="e">
        <f>INDEX('stock fisico '!N:N, MATCH(B243, 'stock fisico '!B:B, 0))</f>
        <v>#N/A</v>
      </c>
      <c r="AU243" s="179" t="e">
        <f>INDEX('stock fisico '!D:D, MATCH(B243, 'stock fisico '!B:B, 0))</f>
        <v>#N/A</v>
      </c>
      <c r="AV243" s="177" t="e">
        <f>INDEX('stock fisico '!L:L, MATCH(B243, 'stock fisico '!B:B, 0))</f>
        <v>#N/A</v>
      </c>
    </row>
    <row r="244" spans="1:48" x14ac:dyDescent="0.25">
      <c r="A244" s="181" t="e">
        <f>INDEX('stock fisico '!M:M, MATCH(B244, 'stock fisico '!B:B, 0))</f>
        <v>#N/A</v>
      </c>
      <c r="C244" s="179" t="e">
        <f>INDEX('stock fisico '!C:C, MATCH(B244, 'stock fisico '!B:B, 0))</f>
        <v>#N/A</v>
      </c>
      <c r="D244" s="178" t="e">
        <f>INDEX('stock fisico '!I:I, MATCH(B244, 'stock fisico '!B:B, 0))</f>
        <v>#N/A</v>
      </c>
      <c r="E244" s="173" t="e">
        <f t="shared" si="167"/>
        <v>#VALUE!</v>
      </c>
      <c r="F244" s="148" t="e">
        <f t="shared" si="127"/>
        <v>#VALUE!</v>
      </c>
      <c r="G244" s="148" t="e">
        <f t="shared" si="128"/>
        <v>#VALUE!</v>
      </c>
      <c r="H244" s="148" t="e">
        <f t="shared" si="129"/>
        <v>#VALUE!</v>
      </c>
      <c r="I244" s="148" t="e">
        <f t="shared" si="130"/>
        <v>#VALUE!</v>
      </c>
      <c r="J244" s="148" t="e">
        <f t="shared" si="131"/>
        <v>#VALUE!</v>
      </c>
      <c r="K244" s="148" t="e">
        <f t="shared" si="132"/>
        <v>#VALUE!</v>
      </c>
      <c r="L244" s="175" t="e">
        <f t="shared" si="162"/>
        <v>#VALUE!</v>
      </c>
      <c r="M244" s="148" t="e">
        <f t="shared" si="133"/>
        <v>#VALUE!</v>
      </c>
      <c r="N244" s="148" t="e">
        <f t="shared" si="134"/>
        <v>#VALUE!</v>
      </c>
      <c r="O244" s="148" t="e">
        <f t="shared" si="135"/>
        <v>#VALUE!</v>
      </c>
      <c r="P244" s="148" t="e">
        <f t="shared" si="136"/>
        <v>#VALUE!</v>
      </c>
      <c r="Q244" s="148" t="e">
        <f t="shared" si="137"/>
        <v>#VALUE!</v>
      </c>
      <c r="R244" s="148" t="e">
        <f t="shared" si="138"/>
        <v>#VALUE!</v>
      </c>
      <c r="S244" s="148" t="e">
        <f t="shared" si="139"/>
        <v>#VALUE!</v>
      </c>
      <c r="T244" s="174" t="e">
        <f t="shared" si="163"/>
        <v>#VALUE!</v>
      </c>
      <c r="U244" s="148" t="e">
        <f t="shared" si="140"/>
        <v>#VALUE!</v>
      </c>
      <c r="V244" s="148" t="e">
        <f t="shared" si="141"/>
        <v>#VALUE!</v>
      </c>
      <c r="W244" s="148" t="e">
        <f t="shared" si="142"/>
        <v>#VALUE!</v>
      </c>
      <c r="X244" s="148" t="e">
        <f t="shared" si="143"/>
        <v>#VALUE!</v>
      </c>
      <c r="Y244" s="148" t="e">
        <f t="shared" si="144"/>
        <v>#VALUE!</v>
      </c>
      <c r="Z244" s="148" t="e">
        <f t="shared" si="145"/>
        <v>#VALUE!</v>
      </c>
      <c r="AA244" s="148" t="e">
        <f t="shared" si="146"/>
        <v>#VALUE!</v>
      </c>
      <c r="AB244" s="24" t="e">
        <f t="shared" si="164"/>
        <v>#VALUE!</v>
      </c>
      <c r="AC244" s="148" t="e">
        <f t="shared" si="147"/>
        <v>#VALUE!</v>
      </c>
      <c r="AD244" s="148" t="e">
        <f t="shared" si="148"/>
        <v>#VALUE!</v>
      </c>
      <c r="AE244" s="148" t="e">
        <f t="shared" si="149"/>
        <v>#VALUE!</v>
      </c>
      <c r="AF244" s="148" t="e">
        <f t="shared" si="150"/>
        <v>#VALUE!</v>
      </c>
      <c r="AG244" s="148" t="e">
        <f t="shared" si="151"/>
        <v>#VALUE!</v>
      </c>
      <c r="AH244" s="148" t="e">
        <f t="shared" si="152"/>
        <v>#VALUE!</v>
      </c>
      <c r="AI244" s="148" t="e">
        <f t="shared" si="153"/>
        <v>#VALUE!</v>
      </c>
      <c r="AJ244" s="20" t="e">
        <f t="shared" si="165"/>
        <v>#VALUE!</v>
      </c>
      <c r="AK244" s="148" t="e">
        <f t="shared" si="154"/>
        <v>#VALUE!</v>
      </c>
      <c r="AL244" s="148" t="e">
        <f t="shared" si="155"/>
        <v>#VALUE!</v>
      </c>
      <c r="AM244" s="148" t="e">
        <f t="shared" si="156"/>
        <v>#VALUE!</v>
      </c>
      <c r="AN244" s="148" t="e">
        <f t="shared" si="157"/>
        <v>#VALUE!</v>
      </c>
      <c r="AO244" s="148" t="e">
        <f t="shared" si="158"/>
        <v>#VALUE!</v>
      </c>
      <c r="AP244" s="148" t="e">
        <f t="shared" si="159"/>
        <v>#VALUE!</v>
      </c>
      <c r="AQ244" s="148" t="e">
        <f t="shared" si="160"/>
        <v>#VALUE!</v>
      </c>
      <c r="AR244" s="17" t="e">
        <f t="shared" si="166"/>
        <v>#VALUE!</v>
      </c>
      <c r="AS244" s="148" t="e">
        <f t="shared" si="161"/>
        <v>#VALUE!</v>
      </c>
      <c r="AT244" s="181" t="e">
        <f>INDEX('stock fisico '!N:N, MATCH(B244, 'stock fisico '!B:B, 0))</f>
        <v>#N/A</v>
      </c>
      <c r="AU244" s="179" t="e">
        <f>INDEX('stock fisico '!D:D, MATCH(B244, 'stock fisico '!B:B, 0))</f>
        <v>#N/A</v>
      </c>
      <c r="AV244" s="177" t="e">
        <f>INDEX('stock fisico '!L:L, MATCH(B244, 'stock fisico '!B:B, 0))</f>
        <v>#N/A</v>
      </c>
    </row>
    <row r="245" spans="1:48" x14ac:dyDescent="0.25">
      <c r="A245" s="181" t="e">
        <f>INDEX('stock fisico '!M:M, MATCH(B245, 'stock fisico '!B:B, 0))</f>
        <v>#N/A</v>
      </c>
      <c r="C245" s="179" t="e">
        <f>INDEX('stock fisico '!C:C, MATCH(B245, 'stock fisico '!B:B, 0))</f>
        <v>#N/A</v>
      </c>
      <c r="D245" s="178" t="e">
        <f>INDEX('stock fisico '!I:I, MATCH(B245, 'stock fisico '!B:B, 0))</f>
        <v>#N/A</v>
      </c>
      <c r="E245" s="173" t="e">
        <f t="shared" si="167"/>
        <v>#VALUE!</v>
      </c>
      <c r="F245" s="148" t="e">
        <f t="shared" si="127"/>
        <v>#VALUE!</v>
      </c>
      <c r="G245" s="148" t="e">
        <f t="shared" si="128"/>
        <v>#VALUE!</v>
      </c>
      <c r="H245" s="148" t="e">
        <f t="shared" si="129"/>
        <v>#VALUE!</v>
      </c>
      <c r="I245" s="148" t="e">
        <f t="shared" si="130"/>
        <v>#VALUE!</v>
      </c>
      <c r="J245" s="148" t="e">
        <f t="shared" si="131"/>
        <v>#VALUE!</v>
      </c>
      <c r="K245" s="148" t="e">
        <f t="shared" si="132"/>
        <v>#VALUE!</v>
      </c>
      <c r="L245" s="175" t="e">
        <f t="shared" si="162"/>
        <v>#VALUE!</v>
      </c>
      <c r="M245" s="148" t="e">
        <f t="shared" si="133"/>
        <v>#VALUE!</v>
      </c>
      <c r="N245" s="148" t="e">
        <f t="shared" si="134"/>
        <v>#VALUE!</v>
      </c>
      <c r="O245" s="148" t="e">
        <f t="shared" si="135"/>
        <v>#VALUE!</v>
      </c>
      <c r="P245" s="148" t="e">
        <f t="shared" si="136"/>
        <v>#VALUE!</v>
      </c>
      <c r="Q245" s="148" t="e">
        <f t="shared" si="137"/>
        <v>#VALUE!</v>
      </c>
      <c r="R245" s="148" t="e">
        <f t="shared" si="138"/>
        <v>#VALUE!</v>
      </c>
      <c r="S245" s="148" t="e">
        <f t="shared" si="139"/>
        <v>#VALUE!</v>
      </c>
      <c r="T245" s="174" t="e">
        <f t="shared" si="163"/>
        <v>#VALUE!</v>
      </c>
      <c r="U245" s="148" t="e">
        <f t="shared" si="140"/>
        <v>#VALUE!</v>
      </c>
      <c r="V245" s="148" t="e">
        <f t="shared" si="141"/>
        <v>#VALUE!</v>
      </c>
      <c r="W245" s="148" t="e">
        <f t="shared" si="142"/>
        <v>#VALUE!</v>
      </c>
      <c r="X245" s="148" t="e">
        <f t="shared" si="143"/>
        <v>#VALUE!</v>
      </c>
      <c r="Y245" s="148" t="e">
        <f t="shared" si="144"/>
        <v>#VALUE!</v>
      </c>
      <c r="Z245" s="148" t="e">
        <f t="shared" si="145"/>
        <v>#VALUE!</v>
      </c>
      <c r="AA245" s="148" t="e">
        <f t="shared" si="146"/>
        <v>#VALUE!</v>
      </c>
      <c r="AB245" s="24" t="e">
        <f t="shared" si="164"/>
        <v>#VALUE!</v>
      </c>
      <c r="AC245" s="148" t="e">
        <f t="shared" si="147"/>
        <v>#VALUE!</v>
      </c>
      <c r="AD245" s="148" t="e">
        <f t="shared" si="148"/>
        <v>#VALUE!</v>
      </c>
      <c r="AE245" s="148" t="e">
        <f t="shared" si="149"/>
        <v>#VALUE!</v>
      </c>
      <c r="AF245" s="148" t="e">
        <f t="shared" si="150"/>
        <v>#VALUE!</v>
      </c>
      <c r="AG245" s="148" t="e">
        <f t="shared" si="151"/>
        <v>#VALUE!</v>
      </c>
      <c r="AH245" s="148" t="e">
        <f t="shared" si="152"/>
        <v>#VALUE!</v>
      </c>
      <c r="AI245" s="148" t="e">
        <f t="shared" si="153"/>
        <v>#VALUE!</v>
      </c>
      <c r="AJ245" s="20" t="e">
        <f t="shared" si="165"/>
        <v>#VALUE!</v>
      </c>
      <c r="AK245" s="148" t="e">
        <f t="shared" si="154"/>
        <v>#VALUE!</v>
      </c>
      <c r="AL245" s="148" t="e">
        <f t="shared" si="155"/>
        <v>#VALUE!</v>
      </c>
      <c r="AM245" s="148" t="e">
        <f t="shared" si="156"/>
        <v>#VALUE!</v>
      </c>
      <c r="AN245" s="148" t="e">
        <f t="shared" si="157"/>
        <v>#VALUE!</v>
      </c>
      <c r="AO245" s="148" t="e">
        <f t="shared" si="158"/>
        <v>#VALUE!</v>
      </c>
      <c r="AP245" s="148" t="e">
        <f t="shared" si="159"/>
        <v>#VALUE!</v>
      </c>
      <c r="AQ245" s="148" t="e">
        <f t="shared" si="160"/>
        <v>#VALUE!</v>
      </c>
      <c r="AR245" s="17" t="e">
        <f t="shared" si="166"/>
        <v>#VALUE!</v>
      </c>
      <c r="AS245" s="148" t="e">
        <f t="shared" si="161"/>
        <v>#VALUE!</v>
      </c>
      <c r="AT245" s="181" t="e">
        <f>INDEX('stock fisico '!N:N, MATCH(B245, 'stock fisico '!B:B, 0))</f>
        <v>#N/A</v>
      </c>
      <c r="AU245" s="179" t="e">
        <f>INDEX('stock fisico '!D:D, MATCH(B245, 'stock fisico '!B:B, 0))</f>
        <v>#N/A</v>
      </c>
      <c r="AV245" s="177" t="e">
        <f>INDEX('stock fisico '!L:L, MATCH(B245, 'stock fisico '!B:B, 0))</f>
        <v>#N/A</v>
      </c>
    </row>
    <row r="246" spans="1:48" x14ac:dyDescent="0.25">
      <c r="A246" s="181" t="e">
        <f>INDEX('stock fisico '!M:M, MATCH(B246, 'stock fisico '!B:B, 0))</f>
        <v>#N/A</v>
      </c>
      <c r="C246" s="179" t="e">
        <f>INDEX('stock fisico '!C:C, MATCH(B246, 'stock fisico '!B:B, 0))</f>
        <v>#N/A</v>
      </c>
      <c r="D246" s="178" t="e">
        <f>INDEX('stock fisico '!I:I, MATCH(B246, 'stock fisico '!B:B, 0))</f>
        <v>#N/A</v>
      </c>
      <c r="E246" s="173" t="e">
        <f t="shared" si="167"/>
        <v>#VALUE!</v>
      </c>
      <c r="F246" s="148" t="e">
        <f t="shared" si="127"/>
        <v>#VALUE!</v>
      </c>
      <c r="G246" s="148" t="e">
        <f t="shared" si="128"/>
        <v>#VALUE!</v>
      </c>
      <c r="H246" s="148" t="e">
        <f t="shared" si="129"/>
        <v>#VALUE!</v>
      </c>
      <c r="I246" s="148" t="e">
        <f t="shared" si="130"/>
        <v>#VALUE!</v>
      </c>
      <c r="J246" s="148" t="e">
        <f t="shared" si="131"/>
        <v>#VALUE!</v>
      </c>
      <c r="K246" s="148" t="e">
        <f t="shared" si="132"/>
        <v>#VALUE!</v>
      </c>
      <c r="L246" s="175" t="e">
        <f t="shared" si="162"/>
        <v>#VALUE!</v>
      </c>
      <c r="M246" s="148" t="e">
        <f t="shared" si="133"/>
        <v>#VALUE!</v>
      </c>
      <c r="N246" s="148" t="e">
        <f t="shared" si="134"/>
        <v>#VALUE!</v>
      </c>
      <c r="O246" s="148" t="e">
        <f t="shared" si="135"/>
        <v>#VALUE!</v>
      </c>
      <c r="P246" s="148" t="e">
        <f t="shared" si="136"/>
        <v>#VALUE!</v>
      </c>
      <c r="Q246" s="148" t="e">
        <f t="shared" si="137"/>
        <v>#VALUE!</v>
      </c>
      <c r="R246" s="148" t="e">
        <f t="shared" si="138"/>
        <v>#VALUE!</v>
      </c>
      <c r="S246" s="148" t="e">
        <f t="shared" si="139"/>
        <v>#VALUE!</v>
      </c>
      <c r="T246" s="174" t="e">
        <f t="shared" si="163"/>
        <v>#VALUE!</v>
      </c>
      <c r="U246" s="148" t="e">
        <f t="shared" si="140"/>
        <v>#VALUE!</v>
      </c>
      <c r="V246" s="148" t="e">
        <f t="shared" si="141"/>
        <v>#VALUE!</v>
      </c>
      <c r="W246" s="148" t="e">
        <f t="shared" si="142"/>
        <v>#VALUE!</v>
      </c>
      <c r="X246" s="148" t="e">
        <f t="shared" si="143"/>
        <v>#VALUE!</v>
      </c>
      <c r="Y246" s="148" t="e">
        <f t="shared" si="144"/>
        <v>#VALUE!</v>
      </c>
      <c r="Z246" s="148" t="e">
        <f t="shared" si="145"/>
        <v>#VALUE!</v>
      </c>
      <c r="AA246" s="148" t="e">
        <f t="shared" si="146"/>
        <v>#VALUE!</v>
      </c>
      <c r="AB246" s="24" t="e">
        <f t="shared" si="164"/>
        <v>#VALUE!</v>
      </c>
      <c r="AC246" s="148" t="e">
        <f t="shared" si="147"/>
        <v>#VALUE!</v>
      </c>
      <c r="AD246" s="148" t="e">
        <f t="shared" si="148"/>
        <v>#VALUE!</v>
      </c>
      <c r="AE246" s="148" t="e">
        <f t="shared" si="149"/>
        <v>#VALUE!</v>
      </c>
      <c r="AF246" s="148" t="e">
        <f t="shared" si="150"/>
        <v>#VALUE!</v>
      </c>
      <c r="AG246" s="148" t="e">
        <f t="shared" si="151"/>
        <v>#VALUE!</v>
      </c>
      <c r="AH246" s="148" t="e">
        <f t="shared" si="152"/>
        <v>#VALUE!</v>
      </c>
      <c r="AI246" s="148" t="e">
        <f t="shared" si="153"/>
        <v>#VALUE!</v>
      </c>
      <c r="AJ246" s="20" t="e">
        <f t="shared" si="165"/>
        <v>#VALUE!</v>
      </c>
      <c r="AK246" s="148" t="e">
        <f t="shared" si="154"/>
        <v>#VALUE!</v>
      </c>
      <c r="AL246" s="148" t="e">
        <f t="shared" si="155"/>
        <v>#VALUE!</v>
      </c>
      <c r="AM246" s="148" t="e">
        <f t="shared" si="156"/>
        <v>#VALUE!</v>
      </c>
      <c r="AN246" s="148" t="e">
        <f t="shared" si="157"/>
        <v>#VALUE!</v>
      </c>
      <c r="AO246" s="148" t="e">
        <f t="shared" si="158"/>
        <v>#VALUE!</v>
      </c>
      <c r="AP246" s="148" t="e">
        <f t="shared" si="159"/>
        <v>#VALUE!</v>
      </c>
      <c r="AQ246" s="148" t="e">
        <f t="shared" si="160"/>
        <v>#VALUE!</v>
      </c>
      <c r="AR246" s="17" t="e">
        <f t="shared" si="166"/>
        <v>#VALUE!</v>
      </c>
      <c r="AS246" s="148" t="e">
        <f t="shared" si="161"/>
        <v>#VALUE!</v>
      </c>
      <c r="AT246" s="181" t="e">
        <f>INDEX('stock fisico '!N:N, MATCH(B246, 'stock fisico '!B:B, 0))</f>
        <v>#N/A</v>
      </c>
      <c r="AU246" s="179" t="e">
        <f>INDEX('stock fisico '!D:D, MATCH(B246, 'stock fisico '!B:B, 0))</f>
        <v>#N/A</v>
      </c>
      <c r="AV246" s="177" t="e">
        <f>INDEX('stock fisico '!L:L, MATCH(B246, 'stock fisico '!B:B, 0))</f>
        <v>#N/A</v>
      </c>
    </row>
    <row r="247" spans="1:48" x14ac:dyDescent="0.25">
      <c r="A247" s="181" t="e">
        <f>INDEX('stock fisico '!M:M, MATCH(B247, 'stock fisico '!B:B, 0))</f>
        <v>#N/A</v>
      </c>
      <c r="C247" s="179" t="e">
        <f>INDEX('stock fisico '!C:C, MATCH(B247, 'stock fisico '!B:B, 0))</f>
        <v>#N/A</v>
      </c>
      <c r="D247" s="178" t="e">
        <f>INDEX('stock fisico '!I:I, MATCH(B247, 'stock fisico '!B:B, 0))</f>
        <v>#N/A</v>
      </c>
      <c r="E247" s="173" t="e">
        <f t="shared" si="167"/>
        <v>#VALUE!</v>
      </c>
      <c r="F247" s="148" t="e">
        <f t="shared" si="127"/>
        <v>#VALUE!</v>
      </c>
      <c r="G247" s="148" t="e">
        <f t="shared" si="128"/>
        <v>#VALUE!</v>
      </c>
      <c r="H247" s="148" t="e">
        <f t="shared" si="129"/>
        <v>#VALUE!</v>
      </c>
      <c r="I247" s="148" t="e">
        <f t="shared" si="130"/>
        <v>#VALUE!</v>
      </c>
      <c r="J247" s="148" t="e">
        <f t="shared" si="131"/>
        <v>#VALUE!</v>
      </c>
      <c r="K247" s="148" t="e">
        <f t="shared" si="132"/>
        <v>#VALUE!</v>
      </c>
      <c r="L247" s="175" t="e">
        <f t="shared" si="162"/>
        <v>#VALUE!</v>
      </c>
      <c r="M247" s="148" t="e">
        <f t="shared" si="133"/>
        <v>#VALUE!</v>
      </c>
      <c r="N247" s="148" t="e">
        <f t="shared" si="134"/>
        <v>#VALUE!</v>
      </c>
      <c r="O247" s="148" t="e">
        <f t="shared" si="135"/>
        <v>#VALUE!</v>
      </c>
      <c r="P247" s="148" t="e">
        <f t="shared" si="136"/>
        <v>#VALUE!</v>
      </c>
      <c r="Q247" s="148" t="e">
        <f t="shared" si="137"/>
        <v>#VALUE!</v>
      </c>
      <c r="R247" s="148" t="e">
        <f t="shared" si="138"/>
        <v>#VALUE!</v>
      </c>
      <c r="S247" s="148" t="e">
        <f t="shared" si="139"/>
        <v>#VALUE!</v>
      </c>
      <c r="T247" s="174" t="e">
        <f t="shared" si="163"/>
        <v>#VALUE!</v>
      </c>
      <c r="U247" s="148" t="e">
        <f t="shared" si="140"/>
        <v>#VALUE!</v>
      </c>
      <c r="V247" s="148" t="e">
        <f t="shared" si="141"/>
        <v>#VALUE!</v>
      </c>
      <c r="W247" s="148" t="e">
        <f t="shared" si="142"/>
        <v>#VALUE!</v>
      </c>
      <c r="X247" s="148" t="e">
        <f t="shared" si="143"/>
        <v>#VALUE!</v>
      </c>
      <c r="Y247" s="148" t="e">
        <f t="shared" si="144"/>
        <v>#VALUE!</v>
      </c>
      <c r="Z247" s="148" t="e">
        <f t="shared" si="145"/>
        <v>#VALUE!</v>
      </c>
      <c r="AA247" s="148" t="e">
        <f t="shared" si="146"/>
        <v>#VALUE!</v>
      </c>
      <c r="AB247" s="24" t="e">
        <f t="shared" si="164"/>
        <v>#VALUE!</v>
      </c>
      <c r="AC247" s="148" t="e">
        <f t="shared" si="147"/>
        <v>#VALUE!</v>
      </c>
      <c r="AD247" s="148" t="e">
        <f t="shared" si="148"/>
        <v>#VALUE!</v>
      </c>
      <c r="AE247" s="148" t="e">
        <f t="shared" si="149"/>
        <v>#VALUE!</v>
      </c>
      <c r="AF247" s="148" t="e">
        <f t="shared" si="150"/>
        <v>#VALUE!</v>
      </c>
      <c r="AG247" s="148" t="e">
        <f t="shared" si="151"/>
        <v>#VALUE!</v>
      </c>
      <c r="AH247" s="148" t="e">
        <f t="shared" si="152"/>
        <v>#VALUE!</v>
      </c>
      <c r="AI247" s="148" t="e">
        <f t="shared" si="153"/>
        <v>#VALUE!</v>
      </c>
      <c r="AJ247" s="20" t="e">
        <f t="shared" si="165"/>
        <v>#VALUE!</v>
      </c>
      <c r="AK247" s="148" t="e">
        <f t="shared" si="154"/>
        <v>#VALUE!</v>
      </c>
      <c r="AL247" s="148" t="e">
        <f t="shared" si="155"/>
        <v>#VALUE!</v>
      </c>
      <c r="AM247" s="148" t="e">
        <f t="shared" si="156"/>
        <v>#VALUE!</v>
      </c>
      <c r="AN247" s="148" t="e">
        <f t="shared" si="157"/>
        <v>#VALUE!</v>
      </c>
      <c r="AO247" s="148" t="e">
        <f t="shared" si="158"/>
        <v>#VALUE!</v>
      </c>
      <c r="AP247" s="148" t="e">
        <f t="shared" si="159"/>
        <v>#VALUE!</v>
      </c>
      <c r="AQ247" s="148" t="e">
        <f t="shared" si="160"/>
        <v>#VALUE!</v>
      </c>
      <c r="AR247" s="17" t="e">
        <f t="shared" si="166"/>
        <v>#VALUE!</v>
      </c>
      <c r="AS247" s="148" t="e">
        <f t="shared" si="161"/>
        <v>#VALUE!</v>
      </c>
      <c r="AT247" s="181" t="e">
        <f>INDEX('stock fisico '!N:N, MATCH(B247, 'stock fisico '!B:B, 0))</f>
        <v>#N/A</v>
      </c>
      <c r="AU247" s="179" t="e">
        <f>INDEX('stock fisico '!D:D, MATCH(B247, 'stock fisico '!B:B, 0))</f>
        <v>#N/A</v>
      </c>
      <c r="AV247" s="177" t="e">
        <f>INDEX('stock fisico '!L:L, MATCH(B247, 'stock fisico '!B:B, 0))</f>
        <v>#N/A</v>
      </c>
    </row>
    <row r="248" spans="1:48" x14ac:dyDescent="0.25">
      <c r="A248" s="181" t="e">
        <f>INDEX('stock fisico '!M:M, MATCH(B248, 'stock fisico '!B:B, 0))</f>
        <v>#N/A</v>
      </c>
      <c r="C248" s="179" t="e">
        <f>INDEX('stock fisico '!C:C, MATCH(B248, 'stock fisico '!B:B, 0))</f>
        <v>#N/A</v>
      </c>
      <c r="D248" s="178" t="e">
        <f>INDEX('stock fisico '!I:I, MATCH(B248, 'stock fisico '!B:B, 0))</f>
        <v>#N/A</v>
      </c>
      <c r="E248" s="173" t="e">
        <f t="shared" si="167"/>
        <v>#VALUE!</v>
      </c>
      <c r="F248" s="148" t="e">
        <f t="shared" si="127"/>
        <v>#VALUE!</v>
      </c>
      <c r="G248" s="148" t="e">
        <f t="shared" si="128"/>
        <v>#VALUE!</v>
      </c>
      <c r="H248" s="148" t="e">
        <f t="shared" si="129"/>
        <v>#VALUE!</v>
      </c>
      <c r="I248" s="148" t="e">
        <f t="shared" si="130"/>
        <v>#VALUE!</v>
      </c>
      <c r="J248" s="148" t="e">
        <f t="shared" si="131"/>
        <v>#VALUE!</v>
      </c>
      <c r="K248" s="148" t="e">
        <f t="shared" si="132"/>
        <v>#VALUE!</v>
      </c>
      <c r="L248" s="175" t="e">
        <f t="shared" si="162"/>
        <v>#VALUE!</v>
      </c>
      <c r="M248" s="148" t="e">
        <f t="shared" si="133"/>
        <v>#VALUE!</v>
      </c>
      <c r="N248" s="148" t="e">
        <f t="shared" si="134"/>
        <v>#VALUE!</v>
      </c>
      <c r="O248" s="148" t="e">
        <f t="shared" si="135"/>
        <v>#VALUE!</v>
      </c>
      <c r="P248" s="148" t="e">
        <f t="shared" si="136"/>
        <v>#VALUE!</v>
      </c>
      <c r="Q248" s="148" t="e">
        <f t="shared" si="137"/>
        <v>#VALUE!</v>
      </c>
      <c r="R248" s="148" t="e">
        <f t="shared" si="138"/>
        <v>#VALUE!</v>
      </c>
      <c r="S248" s="148" t="e">
        <f t="shared" si="139"/>
        <v>#VALUE!</v>
      </c>
      <c r="T248" s="174" t="e">
        <f t="shared" si="163"/>
        <v>#VALUE!</v>
      </c>
      <c r="U248" s="148" t="e">
        <f t="shared" si="140"/>
        <v>#VALUE!</v>
      </c>
      <c r="V248" s="148" t="e">
        <f t="shared" si="141"/>
        <v>#VALUE!</v>
      </c>
      <c r="W248" s="148" t="e">
        <f t="shared" si="142"/>
        <v>#VALUE!</v>
      </c>
      <c r="X248" s="148" t="e">
        <f t="shared" si="143"/>
        <v>#VALUE!</v>
      </c>
      <c r="Y248" s="148" t="e">
        <f t="shared" si="144"/>
        <v>#VALUE!</v>
      </c>
      <c r="Z248" s="148" t="e">
        <f t="shared" si="145"/>
        <v>#VALUE!</v>
      </c>
      <c r="AA248" s="148" t="e">
        <f t="shared" si="146"/>
        <v>#VALUE!</v>
      </c>
      <c r="AB248" s="24" t="e">
        <f t="shared" si="164"/>
        <v>#VALUE!</v>
      </c>
      <c r="AC248" s="148" t="e">
        <f t="shared" si="147"/>
        <v>#VALUE!</v>
      </c>
      <c r="AD248" s="148" t="e">
        <f t="shared" si="148"/>
        <v>#VALUE!</v>
      </c>
      <c r="AE248" s="148" t="e">
        <f t="shared" si="149"/>
        <v>#VALUE!</v>
      </c>
      <c r="AF248" s="148" t="e">
        <f t="shared" si="150"/>
        <v>#VALUE!</v>
      </c>
      <c r="AG248" s="148" t="e">
        <f t="shared" si="151"/>
        <v>#VALUE!</v>
      </c>
      <c r="AH248" s="148" t="e">
        <f t="shared" si="152"/>
        <v>#VALUE!</v>
      </c>
      <c r="AI248" s="148" t="e">
        <f t="shared" si="153"/>
        <v>#VALUE!</v>
      </c>
      <c r="AJ248" s="20" t="e">
        <f t="shared" si="165"/>
        <v>#VALUE!</v>
      </c>
      <c r="AK248" s="148" t="e">
        <f t="shared" si="154"/>
        <v>#VALUE!</v>
      </c>
      <c r="AL248" s="148" t="e">
        <f t="shared" si="155"/>
        <v>#VALUE!</v>
      </c>
      <c r="AM248" s="148" t="e">
        <f t="shared" si="156"/>
        <v>#VALUE!</v>
      </c>
      <c r="AN248" s="148" t="e">
        <f t="shared" si="157"/>
        <v>#VALUE!</v>
      </c>
      <c r="AO248" s="148" t="e">
        <f t="shared" si="158"/>
        <v>#VALUE!</v>
      </c>
      <c r="AP248" s="148" t="e">
        <f t="shared" si="159"/>
        <v>#VALUE!</v>
      </c>
      <c r="AQ248" s="148" t="e">
        <f t="shared" si="160"/>
        <v>#VALUE!</v>
      </c>
      <c r="AR248" s="17" t="e">
        <f t="shared" si="166"/>
        <v>#VALUE!</v>
      </c>
      <c r="AS248" s="148" t="e">
        <f t="shared" si="161"/>
        <v>#VALUE!</v>
      </c>
      <c r="AT248" s="181" t="e">
        <f>INDEX('stock fisico '!N:N, MATCH(B248, 'stock fisico '!B:B, 0))</f>
        <v>#N/A</v>
      </c>
      <c r="AU248" s="179" t="e">
        <f>INDEX('stock fisico '!D:D, MATCH(B248, 'stock fisico '!B:B, 0))</f>
        <v>#N/A</v>
      </c>
      <c r="AV248" s="177" t="e">
        <f>INDEX('stock fisico '!L:L, MATCH(B248, 'stock fisico '!B:B, 0))</f>
        <v>#N/A</v>
      </c>
    </row>
    <row r="249" spans="1:48" x14ac:dyDescent="0.25">
      <c r="A249" s="181" t="e">
        <f>INDEX('stock fisico '!M:M, MATCH(B249, 'stock fisico '!B:B, 0))</f>
        <v>#N/A</v>
      </c>
      <c r="C249" s="179" t="e">
        <f>INDEX('stock fisico '!C:C, MATCH(B249, 'stock fisico '!B:B, 0))</f>
        <v>#N/A</v>
      </c>
      <c r="D249" s="178" t="e">
        <f>INDEX('stock fisico '!I:I, MATCH(B249, 'stock fisico '!B:B, 0))</f>
        <v>#N/A</v>
      </c>
      <c r="E249" s="173" t="e">
        <f t="shared" si="167"/>
        <v>#VALUE!</v>
      </c>
      <c r="F249" s="148" t="e">
        <f t="shared" si="127"/>
        <v>#VALUE!</v>
      </c>
      <c r="G249" s="148" t="e">
        <f t="shared" si="128"/>
        <v>#VALUE!</v>
      </c>
      <c r="H249" s="148" t="e">
        <f t="shared" si="129"/>
        <v>#VALUE!</v>
      </c>
      <c r="I249" s="148" t="e">
        <f t="shared" si="130"/>
        <v>#VALUE!</v>
      </c>
      <c r="J249" s="148" t="e">
        <f t="shared" si="131"/>
        <v>#VALUE!</v>
      </c>
      <c r="K249" s="148" t="e">
        <f t="shared" si="132"/>
        <v>#VALUE!</v>
      </c>
      <c r="L249" s="175" t="e">
        <f t="shared" si="162"/>
        <v>#VALUE!</v>
      </c>
      <c r="M249" s="148" t="e">
        <f t="shared" si="133"/>
        <v>#VALUE!</v>
      </c>
      <c r="N249" s="148" t="e">
        <f t="shared" si="134"/>
        <v>#VALUE!</v>
      </c>
      <c r="O249" s="148" t="e">
        <f t="shared" si="135"/>
        <v>#VALUE!</v>
      </c>
      <c r="P249" s="148" t="e">
        <f t="shared" si="136"/>
        <v>#VALUE!</v>
      </c>
      <c r="Q249" s="148" t="e">
        <f t="shared" si="137"/>
        <v>#VALUE!</v>
      </c>
      <c r="R249" s="148" t="e">
        <f t="shared" si="138"/>
        <v>#VALUE!</v>
      </c>
      <c r="S249" s="148" t="e">
        <f t="shared" si="139"/>
        <v>#VALUE!</v>
      </c>
      <c r="T249" s="174" t="e">
        <f t="shared" si="163"/>
        <v>#VALUE!</v>
      </c>
      <c r="U249" s="148" t="e">
        <f t="shared" si="140"/>
        <v>#VALUE!</v>
      </c>
      <c r="V249" s="148" t="e">
        <f t="shared" si="141"/>
        <v>#VALUE!</v>
      </c>
      <c r="W249" s="148" t="e">
        <f t="shared" si="142"/>
        <v>#VALUE!</v>
      </c>
      <c r="X249" s="148" t="e">
        <f t="shared" si="143"/>
        <v>#VALUE!</v>
      </c>
      <c r="Y249" s="148" t="e">
        <f t="shared" si="144"/>
        <v>#VALUE!</v>
      </c>
      <c r="Z249" s="148" t="e">
        <f t="shared" si="145"/>
        <v>#VALUE!</v>
      </c>
      <c r="AA249" s="148" t="e">
        <f t="shared" si="146"/>
        <v>#VALUE!</v>
      </c>
      <c r="AB249" s="24" t="e">
        <f t="shared" si="164"/>
        <v>#VALUE!</v>
      </c>
      <c r="AC249" s="148" t="e">
        <f t="shared" si="147"/>
        <v>#VALUE!</v>
      </c>
      <c r="AD249" s="148" t="e">
        <f t="shared" si="148"/>
        <v>#VALUE!</v>
      </c>
      <c r="AE249" s="148" t="e">
        <f t="shared" si="149"/>
        <v>#VALUE!</v>
      </c>
      <c r="AF249" s="148" t="e">
        <f t="shared" si="150"/>
        <v>#VALUE!</v>
      </c>
      <c r="AG249" s="148" t="e">
        <f t="shared" si="151"/>
        <v>#VALUE!</v>
      </c>
      <c r="AH249" s="148" t="e">
        <f t="shared" si="152"/>
        <v>#VALUE!</v>
      </c>
      <c r="AI249" s="148" t="e">
        <f t="shared" si="153"/>
        <v>#VALUE!</v>
      </c>
      <c r="AJ249" s="20" t="e">
        <f t="shared" si="165"/>
        <v>#VALUE!</v>
      </c>
      <c r="AK249" s="148" t="e">
        <f t="shared" si="154"/>
        <v>#VALUE!</v>
      </c>
      <c r="AL249" s="148" t="e">
        <f t="shared" si="155"/>
        <v>#VALUE!</v>
      </c>
      <c r="AM249" s="148" t="e">
        <f t="shared" si="156"/>
        <v>#VALUE!</v>
      </c>
      <c r="AN249" s="148" t="e">
        <f t="shared" si="157"/>
        <v>#VALUE!</v>
      </c>
      <c r="AO249" s="148" t="e">
        <f t="shared" si="158"/>
        <v>#VALUE!</v>
      </c>
      <c r="AP249" s="148" t="e">
        <f t="shared" si="159"/>
        <v>#VALUE!</v>
      </c>
      <c r="AQ249" s="148" t="e">
        <f t="shared" si="160"/>
        <v>#VALUE!</v>
      </c>
      <c r="AR249" s="17" t="e">
        <f t="shared" si="166"/>
        <v>#VALUE!</v>
      </c>
      <c r="AS249" s="148" t="e">
        <f t="shared" si="161"/>
        <v>#VALUE!</v>
      </c>
      <c r="AT249" s="181" t="e">
        <f>INDEX('stock fisico '!N:N, MATCH(B249, 'stock fisico '!B:B, 0))</f>
        <v>#N/A</v>
      </c>
      <c r="AU249" s="179" t="e">
        <f>INDEX('stock fisico '!D:D, MATCH(B249, 'stock fisico '!B:B, 0))</f>
        <v>#N/A</v>
      </c>
      <c r="AV249" s="177" t="e">
        <f>INDEX('stock fisico '!L:L, MATCH(B249, 'stock fisico '!B:B, 0))</f>
        <v>#N/A</v>
      </c>
    </row>
    <row r="250" spans="1:48" x14ac:dyDescent="0.25">
      <c r="A250" s="181" t="e">
        <f>INDEX('stock fisico '!M:M, MATCH(B250, 'stock fisico '!B:B, 0))</f>
        <v>#N/A</v>
      </c>
      <c r="C250" s="179" t="e">
        <f>INDEX('stock fisico '!C:C, MATCH(B250, 'stock fisico '!B:B, 0))</f>
        <v>#N/A</v>
      </c>
      <c r="D250" s="178" t="e">
        <f>INDEX('stock fisico '!I:I, MATCH(B250, 'stock fisico '!B:B, 0))</f>
        <v>#N/A</v>
      </c>
      <c r="E250" s="173" t="e">
        <f t="shared" si="167"/>
        <v>#VALUE!</v>
      </c>
      <c r="F250" s="148" t="e">
        <f t="shared" si="127"/>
        <v>#VALUE!</v>
      </c>
      <c r="G250" s="148" t="e">
        <f t="shared" si="128"/>
        <v>#VALUE!</v>
      </c>
      <c r="H250" s="148" t="e">
        <f t="shared" si="129"/>
        <v>#VALUE!</v>
      </c>
      <c r="I250" s="148" t="e">
        <f t="shared" si="130"/>
        <v>#VALUE!</v>
      </c>
      <c r="J250" s="148" t="e">
        <f t="shared" si="131"/>
        <v>#VALUE!</v>
      </c>
      <c r="K250" s="148" t="e">
        <f t="shared" si="132"/>
        <v>#VALUE!</v>
      </c>
      <c r="L250" s="175" t="e">
        <f t="shared" si="162"/>
        <v>#VALUE!</v>
      </c>
      <c r="M250" s="148" t="e">
        <f t="shared" si="133"/>
        <v>#VALUE!</v>
      </c>
      <c r="N250" s="148" t="e">
        <f t="shared" si="134"/>
        <v>#VALUE!</v>
      </c>
      <c r="O250" s="148" t="e">
        <f t="shared" si="135"/>
        <v>#VALUE!</v>
      </c>
      <c r="P250" s="148" t="e">
        <f t="shared" si="136"/>
        <v>#VALUE!</v>
      </c>
      <c r="Q250" s="148" t="e">
        <f t="shared" si="137"/>
        <v>#VALUE!</v>
      </c>
      <c r="R250" s="148" t="e">
        <f t="shared" si="138"/>
        <v>#VALUE!</v>
      </c>
      <c r="S250" s="148" t="e">
        <f t="shared" si="139"/>
        <v>#VALUE!</v>
      </c>
      <c r="T250" s="174" t="e">
        <f t="shared" si="163"/>
        <v>#VALUE!</v>
      </c>
      <c r="U250" s="148" t="e">
        <f t="shared" si="140"/>
        <v>#VALUE!</v>
      </c>
      <c r="V250" s="148" t="e">
        <f t="shared" si="141"/>
        <v>#VALUE!</v>
      </c>
      <c r="W250" s="148" t="e">
        <f t="shared" si="142"/>
        <v>#VALUE!</v>
      </c>
      <c r="X250" s="148" t="e">
        <f t="shared" si="143"/>
        <v>#VALUE!</v>
      </c>
      <c r="Y250" s="148" t="e">
        <f t="shared" si="144"/>
        <v>#VALUE!</v>
      </c>
      <c r="Z250" s="148" t="e">
        <f t="shared" si="145"/>
        <v>#VALUE!</v>
      </c>
      <c r="AA250" s="148" t="e">
        <f t="shared" si="146"/>
        <v>#VALUE!</v>
      </c>
      <c r="AB250" s="24" t="e">
        <f t="shared" si="164"/>
        <v>#VALUE!</v>
      </c>
      <c r="AC250" s="148" t="e">
        <f t="shared" si="147"/>
        <v>#VALUE!</v>
      </c>
      <c r="AD250" s="148" t="e">
        <f t="shared" si="148"/>
        <v>#VALUE!</v>
      </c>
      <c r="AE250" s="148" t="e">
        <f t="shared" si="149"/>
        <v>#VALUE!</v>
      </c>
      <c r="AF250" s="148" t="e">
        <f t="shared" si="150"/>
        <v>#VALUE!</v>
      </c>
      <c r="AG250" s="148" t="e">
        <f t="shared" si="151"/>
        <v>#VALUE!</v>
      </c>
      <c r="AH250" s="148" t="e">
        <f t="shared" si="152"/>
        <v>#VALUE!</v>
      </c>
      <c r="AI250" s="148" t="e">
        <f t="shared" si="153"/>
        <v>#VALUE!</v>
      </c>
      <c r="AJ250" s="20" t="e">
        <f t="shared" si="165"/>
        <v>#VALUE!</v>
      </c>
      <c r="AK250" s="148" t="e">
        <f t="shared" si="154"/>
        <v>#VALUE!</v>
      </c>
      <c r="AL250" s="148" t="e">
        <f t="shared" si="155"/>
        <v>#VALUE!</v>
      </c>
      <c r="AM250" s="148" t="e">
        <f t="shared" si="156"/>
        <v>#VALUE!</v>
      </c>
      <c r="AN250" s="148" t="e">
        <f t="shared" si="157"/>
        <v>#VALUE!</v>
      </c>
      <c r="AO250" s="148" t="e">
        <f t="shared" si="158"/>
        <v>#VALUE!</v>
      </c>
      <c r="AP250" s="148" t="e">
        <f t="shared" si="159"/>
        <v>#VALUE!</v>
      </c>
      <c r="AQ250" s="148" t="e">
        <f t="shared" si="160"/>
        <v>#VALUE!</v>
      </c>
      <c r="AR250" s="17" t="e">
        <f t="shared" si="166"/>
        <v>#VALUE!</v>
      </c>
      <c r="AS250" s="148" t="e">
        <f t="shared" si="161"/>
        <v>#VALUE!</v>
      </c>
      <c r="AT250" s="181" t="e">
        <f>INDEX('stock fisico '!N:N, MATCH(B250, 'stock fisico '!B:B, 0))</f>
        <v>#N/A</v>
      </c>
      <c r="AU250" s="179" t="e">
        <f>INDEX('stock fisico '!D:D, MATCH(B250, 'stock fisico '!B:B, 0))</f>
        <v>#N/A</v>
      </c>
      <c r="AV250" s="177" t="e">
        <f>INDEX('stock fisico '!L:L, MATCH(B250, 'stock fisico '!B:B, 0))</f>
        <v>#N/A</v>
      </c>
    </row>
    <row r="251" spans="1:48" x14ac:dyDescent="0.25">
      <c r="A251" s="181" t="e">
        <f>INDEX('stock fisico '!M:M, MATCH(B251, 'stock fisico '!B:B, 0))</f>
        <v>#N/A</v>
      </c>
      <c r="C251" s="179" t="e">
        <f>INDEX('stock fisico '!C:C, MATCH(B251, 'stock fisico '!B:B, 0))</f>
        <v>#N/A</v>
      </c>
      <c r="D251" s="178" t="e">
        <f>INDEX('stock fisico '!I:I, MATCH(B251, 'stock fisico '!B:B, 0))</f>
        <v>#N/A</v>
      </c>
      <c r="E251" s="173" t="e">
        <f t="shared" si="167"/>
        <v>#VALUE!</v>
      </c>
      <c r="F251" s="148" t="e">
        <f t="shared" si="127"/>
        <v>#VALUE!</v>
      </c>
      <c r="G251" s="148" t="e">
        <f t="shared" si="128"/>
        <v>#VALUE!</v>
      </c>
      <c r="H251" s="148" t="e">
        <f t="shared" si="129"/>
        <v>#VALUE!</v>
      </c>
      <c r="I251" s="148" t="e">
        <f t="shared" si="130"/>
        <v>#VALUE!</v>
      </c>
      <c r="J251" s="148" t="e">
        <f t="shared" si="131"/>
        <v>#VALUE!</v>
      </c>
      <c r="K251" s="148" t="e">
        <f t="shared" si="132"/>
        <v>#VALUE!</v>
      </c>
      <c r="L251" s="175" t="e">
        <f t="shared" si="162"/>
        <v>#VALUE!</v>
      </c>
      <c r="M251" s="148" t="e">
        <f t="shared" si="133"/>
        <v>#VALUE!</v>
      </c>
      <c r="N251" s="148" t="e">
        <f t="shared" si="134"/>
        <v>#VALUE!</v>
      </c>
      <c r="O251" s="148" t="e">
        <f t="shared" si="135"/>
        <v>#VALUE!</v>
      </c>
      <c r="P251" s="148" t="e">
        <f t="shared" si="136"/>
        <v>#VALUE!</v>
      </c>
      <c r="Q251" s="148" t="e">
        <f t="shared" si="137"/>
        <v>#VALUE!</v>
      </c>
      <c r="R251" s="148" t="e">
        <f t="shared" si="138"/>
        <v>#VALUE!</v>
      </c>
      <c r="S251" s="148" t="e">
        <f t="shared" si="139"/>
        <v>#VALUE!</v>
      </c>
      <c r="T251" s="174" t="e">
        <f t="shared" si="163"/>
        <v>#VALUE!</v>
      </c>
      <c r="U251" s="148" t="e">
        <f t="shared" si="140"/>
        <v>#VALUE!</v>
      </c>
      <c r="V251" s="148" t="e">
        <f t="shared" si="141"/>
        <v>#VALUE!</v>
      </c>
      <c r="W251" s="148" t="e">
        <f t="shared" si="142"/>
        <v>#VALUE!</v>
      </c>
      <c r="X251" s="148" t="e">
        <f t="shared" si="143"/>
        <v>#VALUE!</v>
      </c>
      <c r="Y251" s="148" t="e">
        <f t="shared" si="144"/>
        <v>#VALUE!</v>
      </c>
      <c r="Z251" s="148" t="e">
        <f t="shared" si="145"/>
        <v>#VALUE!</v>
      </c>
      <c r="AA251" s="148" t="e">
        <f t="shared" si="146"/>
        <v>#VALUE!</v>
      </c>
      <c r="AB251" s="24" t="e">
        <f t="shared" si="164"/>
        <v>#VALUE!</v>
      </c>
      <c r="AC251" s="148" t="e">
        <f t="shared" si="147"/>
        <v>#VALUE!</v>
      </c>
      <c r="AD251" s="148" t="e">
        <f t="shared" si="148"/>
        <v>#VALUE!</v>
      </c>
      <c r="AE251" s="148" t="e">
        <f t="shared" si="149"/>
        <v>#VALUE!</v>
      </c>
      <c r="AF251" s="148" t="e">
        <f t="shared" si="150"/>
        <v>#VALUE!</v>
      </c>
      <c r="AG251" s="148" t="e">
        <f t="shared" si="151"/>
        <v>#VALUE!</v>
      </c>
      <c r="AH251" s="148" t="e">
        <f t="shared" si="152"/>
        <v>#VALUE!</v>
      </c>
      <c r="AI251" s="148" t="e">
        <f t="shared" si="153"/>
        <v>#VALUE!</v>
      </c>
      <c r="AJ251" s="20" t="e">
        <f t="shared" si="165"/>
        <v>#VALUE!</v>
      </c>
      <c r="AK251" s="148" t="e">
        <f t="shared" si="154"/>
        <v>#VALUE!</v>
      </c>
      <c r="AL251" s="148" t="e">
        <f t="shared" si="155"/>
        <v>#VALUE!</v>
      </c>
      <c r="AM251" s="148" t="e">
        <f t="shared" si="156"/>
        <v>#VALUE!</v>
      </c>
      <c r="AN251" s="148" t="e">
        <f t="shared" si="157"/>
        <v>#VALUE!</v>
      </c>
      <c r="AO251" s="148" t="e">
        <f t="shared" si="158"/>
        <v>#VALUE!</v>
      </c>
      <c r="AP251" s="148" t="e">
        <f t="shared" si="159"/>
        <v>#VALUE!</v>
      </c>
      <c r="AQ251" s="148" t="e">
        <f t="shared" si="160"/>
        <v>#VALUE!</v>
      </c>
      <c r="AR251" s="17" t="e">
        <f t="shared" si="166"/>
        <v>#VALUE!</v>
      </c>
      <c r="AS251" s="148" t="e">
        <f t="shared" si="161"/>
        <v>#VALUE!</v>
      </c>
      <c r="AT251" s="181" t="e">
        <f>INDEX('stock fisico '!N:N, MATCH(B251, 'stock fisico '!B:B, 0))</f>
        <v>#N/A</v>
      </c>
      <c r="AU251" s="179" t="e">
        <f>INDEX('stock fisico '!D:D, MATCH(B251, 'stock fisico '!B:B, 0))</f>
        <v>#N/A</v>
      </c>
      <c r="AV251" s="177" t="e">
        <f>INDEX('stock fisico '!L:L, MATCH(B251, 'stock fisico '!B:B, 0))</f>
        <v>#N/A</v>
      </c>
    </row>
    <row r="252" spans="1:48" x14ac:dyDescent="0.25">
      <c r="A252" s="181" t="e">
        <f>INDEX('stock fisico '!M:M, MATCH(B252, 'stock fisico '!B:B, 0))</f>
        <v>#N/A</v>
      </c>
      <c r="C252" s="179" t="e">
        <f>INDEX('stock fisico '!C:C, MATCH(B252, 'stock fisico '!B:B, 0))</f>
        <v>#N/A</v>
      </c>
      <c r="D252" s="178" t="e">
        <f>INDEX('stock fisico '!I:I, MATCH(B252, 'stock fisico '!B:B, 0))</f>
        <v>#N/A</v>
      </c>
      <c r="E252" s="173" t="e">
        <f t="shared" si="167"/>
        <v>#VALUE!</v>
      </c>
      <c r="F252" s="148" t="e">
        <f t="shared" si="127"/>
        <v>#VALUE!</v>
      </c>
      <c r="G252" s="148" t="e">
        <f t="shared" si="128"/>
        <v>#VALUE!</v>
      </c>
      <c r="H252" s="148" t="e">
        <f t="shared" si="129"/>
        <v>#VALUE!</v>
      </c>
      <c r="I252" s="148" t="e">
        <f t="shared" si="130"/>
        <v>#VALUE!</v>
      </c>
      <c r="J252" s="148" t="e">
        <f t="shared" si="131"/>
        <v>#VALUE!</v>
      </c>
      <c r="K252" s="148" t="e">
        <f t="shared" si="132"/>
        <v>#VALUE!</v>
      </c>
      <c r="L252" s="175" t="e">
        <f t="shared" si="162"/>
        <v>#VALUE!</v>
      </c>
      <c r="M252" s="148" t="e">
        <f t="shared" si="133"/>
        <v>#VALUE!</v>
      </c>
      <c r="N252" s="148" t="e">
        <f t="shared" si="134"/>
        <v>#VALUE!</v>
      </c>
      <c r="O252" s="148" t="e">
        <f t="shared" si="135"/>
        <v>#VALUE!</v>
      </c>
      <c r="P252" s="148" t="e">
        <f t="shared" si="136"/>
        <v>#VALUE!</v>
      </c>
      <c r="Q252" s="148" t="e">
        <f t="shared" si="137"/>
        <v>#VALUE!</v>
      </c>
      <c r="R252" s="148" t="e">
        <f t="shared" si="138"/>
        <v>#VALUE!</v>
      </c>
      <c r="S252" s="148" t="e">
        <f t="shared" si="139"/>
        <v>#VALUE!</v>
      </c>
      <c r="T252" s="174" t="e">
        <f t="shared" si="163"/>
        <v>#VALUE!</v>
      </c>
      <c r="U252" s="148" t="e">
        <f t="shared" si="140"/>
        <v>#VALUE!</v>
      </c>
      <c r="V252" s="148" t="e">
        <f t="shared" si="141"/>
        <v>#VALUE!</v>
      </c>
      <c r="W252" s="148" t="e">
        <f t="shared" si="142"/>
        <v>#VALUE!</v>
      </c>
      <c r="X252" s="148" t="e">
        <f t="shared" si="143"/>
        <v>#VALUE!</v>
      </c>
      <c r="Y252" s="148" t="e">
        <f t="shared" si="144"/>
        <v>#VALUE!</v>
      </c>
      <c r="Z252" s="148" t="e">
        <f t="shared" si="145"/>
        <v>#VALUE!</v>
      </c>
      <c r="AA252" s="148" t="e">
        <f t="shared" si="146"/>
        <v>#VALUE!</v>
      </c>
      <c r="AB252" s="24" t="e">
        <f t="shared" si="164"/>
        <v>#VALUE!</v>
      </c>
      <c r="AC252" s="148" t="e">
        <f t="shared" si="147"/>
        <v>#VALUE!</v>
      </c>
      <c r="AD252" s="148" t="e">
        <f t="shared" si="148"/>
        <v>#VALUE!</v>
      </c>
      <c r="AE252" s="148" t="e">
        <f t="shared" si="149"/>
        <v>#VALUE!</v>
      </c>
      <c r="AF252" s="148" t="e">
        <f t="shared" si="150"/>
        <v>#VALUE!</v>
      </c>
      <c r="AG252" s="148" t="e">
        <f t="shared" si="151"/>
        <v>#VALUE!</v>
      </c>
      <c r="AH252" s="148" t="e">
        <f t="shared" si="152"/>
        <v>#VALUE!</v>
      </c>
      <c r="AI252" s="148" t="e">
        <f t="shared" si="153"/>
        <v>#VALUE!</v>
      </c>
      <c r="AJ252" s="20" t="e">
        <f t="shared" si="165"/>
        <v>#VALUE!</v>
      </c>
      <c r="AK252" s="148" t="e">
        <f t="shared" si="154"/>
        <v>#VALUE!</v>
      </c>
      <c r="AL252" s="148" t="e">
        <f t="shared" si="155"/>
        <v>#VALUE!</v>
      </c>
      <c r="AM252" s="148" t="e">
        <f t="shared" si="156"/>
        <v>#VALUE!</v>
      </c>
      <c r="AN252" s="148" t="e">
        <f t="shared" si="157"/>
        <v>#VALUE!</v>
      </c>
      <c r="AO252" s="148" t="e">
        <f t="shared" si="158"/>
        <v>#VALUE!</v>
      </c>
      <c r="AP252" s="148" t="e">
        <f t="shared" si="159"/>
        <v>#VALUE!</v>
      </c>
      <c r="AQ252" s="148" t="e">
        <f t="shared" si="160"/>
        <v>#VALUE!</v>
      </c>
      <c r="AR252" s="17" t="e">
        <f t="shared" si="166"/>
        <v>#VALUE!</v>
      </c>
      <c r="AS252" s="148" t="e">
        <f t="shared" si="161"/>
        <v>#VALUE!</v>
      </c>
      <c r="AT252" s="181" t="e">
        <f>INDEX('stock fisico '!N:N, MATCH(B252, 'stock fisico '!B:B, 0))</f>
        <v>#N/A</v>
      </c>
      <c r="AU252" s="179" t="e">
        <f>INDEX('stock fisico '!D:D, MATCH(B252, 'stock fisico '!B:B, 0))</f>
        <v>#N/A</v>
      </c>
      <c r="AV252" s="177" t="e">
        <f>INDEX('stock fisico '!L:L, MATCH(B252, 'stock fisico '!B:B, 0))</f>
        <v>#N/A</v>
      </c>
    </row>
    <row r="253" spans="1:48" x14ac:dyDescent="0.25">
      <c r="A253" s="181" t="e">
        <f>INDEX('stock fisico '!M:M, MATCH(B253, 'stock fisico '!B:B, 0))</f>
        <v>#N/A</v>
      </c>
      <c r="C253" s="179" t="e">
        <f>INDEX('stock fisico '!C:C, MATCH(B253, 'stock fisico '!B:B, 0))</f>
        <v>#N/A</v>
      </c>
      <c r="D253" s="178" t="e">
        <f>INDEX('stock fisico '!I:I, MATCH(B253, 'stock fisico '!B:B, 0))</f>
        <v>#N/A</v>
      </c>
      <c r="E253" s="173" t="e">
        <f t="shared" si="167"/>
        <v>#VALUE!</v>
      </c>
      <c r="F253" s="148" t="e">
        <f t="shared" si="127"/>
        <v>#VALUE!</v>
      </c>
      <c r="G253" s="148" t="e">
        <f t="shared" si="128"/>
        <v>#VALUE!</v>
      </c>
      <c r="H253" s="148" t="e">
        <f t="shared" si="129"/>
        <v>#VALUE!</v>
      </c>
      <c r="I253" s="148" t="e">
        <f t="shared" si="130"/>
        <v>#VALUE!</v>
      </c>
      <c r="J253" s="148" t="e">
        <f t="shared" si="131"/>
        <v>#VALUE!</v>
      </c>
      <c r="K253" s="148" t="e">
        <f t="shared" si="132"/>
        <v>#VALUE!</v>
      </c>
      <c r="L253" s="175" t="e">
        <f t="shared" si="162"/>
        <v>#VALUE!</v>
      </c>
      <c r="M253" s="148" t="e">
        <f t="shared" si="133"/>
        <v>#VALUE!</v>
      </c>
      <c r="N253" s="148" t="e">
        <f t="shared" si="134"/>
        <v>#VALUE!</v>
      </c>
      <c r="O253" s="148" t="e">
        <f t="shared" si="135"/>
        <v>#VALUE!</v>
      </c>
      <c r="P253" s="148" t="e">
        <f t="shared" si="136"/>
        <v>#VALUE!</v>
      </c>
      <c r="Q253" s="148" t="e">
        <f t="shared" si="137"/>
        <v>#VALUE!</v>
      </c>
      <c r="R253" s="148" t="e">
        <f t="shared" si="138"/>
        <v>#VALUE!</v>
      </c>
      <c r="S253" s="148" t="e">
        <f t="shared" si="139"/>
        <v>#VALUE!</v>
      </c>
      <c r="T253" s="174" t="e">
        <f t="shared" si="163"/>
        <v>#VALUE!</v>
      </c>
      <c r="U253" s="148" t="e">
        <f t="shared" si="140"/>
        <v>#VALUE!</v>
      </c>
      <c r="V253" s="148" t="e">
        <f t="shared" si="141"/>
        <v>#VALUE!</v>
      </c>
      <c r="W253" s="148" t="e">
        <f t="shared" si="142"/>
        <v>#VALUE!</v>
      </c>
      <c r="X253" s="148" t="e">
        <f t="shared" si="143"/>
        <v>#VALUE!</v>
      </c>
      <c r="Y253" s="148" t="e">
        <f t="shared" si="144"/>
        <v>#VALUE!</v>
      </c>
      <c r="Z253" s="148" t="e">
        <f t="shared" si="145"/>
        <v>#VALUE!</v>
      </c>
      <c r="AA253" s="148" t="e">
        <f t="shared" si="146"/>
        <v>#VALUE!</v>
      </c>
      <c r="AB253" s="24" t="e">
        <f t="shared" si="164"/>
        <v>#VALUE!</v>
      </c>
      <c r="AC253" s="148" t="e">
        <f t="shared" si="147"/>
        <v>#VALUE!</v>
      </c>
      <c r="AD253" s="148" t="e">
        <f t="shared" si="148"/>
        <v>#VALUE!</v>
      </c>
      <c r="AE253" s="148" t="e">
        <f t="shared" si="149"/>
        <v>#VALUE!</v>
      </c>
      <c r="AF253" s="148" t="e">
        <f t="shared" si="150"/>
        <v>#VALUE!</v>
      </c>
      <c r="AG253" s="148" t="e">
        <f t="shared" si="151"/>
        <v>#VALUE!</v>
      </c>
      <c r="AH253" s="148" t="e">
        <f t="shared" si="152"/>
        <v>#VALUE!</v>
      </c>
      <c r="AI253" s="148" t="e">
        <f t="shared" si="153"/>
        <v>#VALUE!</v>
      </c>
      <c r="AJ253" s="20" t="e">
        <f t="shared" si="165"/>
        <v>#VALUE!</v>
      </c>
      <c r="AK253" s="148" t="e">
        <f t="shared" si="154"/>
        <v>#VALUE!</v>
      </c>
      <c r="AL253" s="148" t="e">
        <f t="shared" si="155"/>
        <v>#VALUE!</v>
      </c>
      <c r="AM253" s="148" t="e">
        <f t="shared" si="156"/>
        <v>#VALUE!</v>
      </c>
      <c r="AN253" s="148" t="e">
        <f t="shared" si="157"/>
        <v>#VALUE!</v>
      </c>
      <c r="AO253" s="148" t="e">
        <f t="shared" si="158"/>
        <v>#VALUE!</v>
      </c>
      <c r="AP253" s="148" t="e">
        <f t="shared" si="159"/>
        <v>#VALUE!</v>
      </c>
      <c r="AQ253" s="148" t="e">
        <f t="shared" si="160"/>
        <v>#VALUE!</v>
      </c>
      <c r="AR253" s="17" t="e">
        <f t="shared" si="166"/>
        <v>#VALUE!</v>
      </c>
      <c r="AS253" s="148" t="e">
        <f t="shared" si="161"/>
        <v>#VALUE!</v>
      </c>
      <c r="AT253" s="181" t="e">
        <f>INDEX('stock fisico '!N:N, MATCH(B253, 'stock fisico '!B:B, 0))</f>
        <v>#N/A</v>
      </c>
      <c r="AU253" s="179" t="e">
        <f>INDEX('stock fisico '!D:D, MATCH(B253, 'stock fisico '!B:B, 0))</f>
        <v>#N/A</v>
      </c>
      <c r="AV253" s="177" t="e">
        <f>INDEX('stock fisico '!L:L, MATCH(B253, 'stock fisico '!B:B, 0))</f>
        <v>#N/A</v>
      </c>
    </row>
    <row r="254" spans="1:48" x14ac:dyDescent="0.25">
      <c r="A254" s="181" t="e">
        <f>INDEX('stock fisico '!M:M, MATCH(B254, 'stock fisico '!B:B, 0))</f>
        <v>#N/A</v>
      </c>
      <c r="C254" s="179" t="e">
        <f>INDEX('stock fisico '!C:C, MATCH(B254, 'stock fisico '!B:B, 0))</f>
        <v>#N/A</v>
      </c>
      <c r="D254" s="178" t="e">
        <f>INDEX('stock fisico '!I:I, MATCH(B254, 'stock fisico '!B:B, 0))</f>
        <v>#N/A</v>
      </c>
      <c r="E254" s="173" t="e">
        <f t="shared" si="167"/>
        <v>#VALUE!</v>
      </c>
      <c r="F254" s="148" t="e">
        <f t="shared" si="127"/>
        <v>#VALUE!</v>
      </c>
      <c r="G254" s="148" t="e">
        <f t="shared" si="128"/>
        <v>#VALUE!</v>
      </c>
      <c r="H254" s="148" t="e">
        <f t="shared" si="129"/>
        <v>#VALUE!</v>
      </c>
      <c r="I254" s="148" t="e">
        <f t="shared" si="130"/>
        <v>#VALUE!</v>
      </c>
      <c r="J254" s="148" t="e">
        <f t="shared" si="131"/>
        <v>#VALUE!</v>
      </c>
      <c r="K254" s="148" t="e">
        <f t="shared" si="132"/>
        <v>#VALUE!</v>
      </c>
      <c r="L254" s="175" t="e">
        <f t="shared" si="162"/>
        <v>#VALUE!</v>
      </c>
      <c r="M254" s="148" t="e">
        <f t="shared" si="133"/>
        <v>#VALUE!</v>
      </c>
      <c r="N254" s="148" t="e">
        <f t="shared" si="134"/>
        <v>#VALUE!</v>
      </c>
      <c r="O254" s="148" t="e">
        <f t="shared" si="135"/>
        <v>#VALUE!</v>
      </c>
      <c r="P254" s="148" t="e">
        <f t="shared" si="136"/>
        <v>#VALUE!</v>
      </c>
      <c r="Q254" s="148" t="e">
        <f t="shared" si="137"/>
        <v>#VALUE!</v>
      </c>
      <c r="R254" s="148" t="e">
        <f t="shared" si="138"/>
        <v>#VALUE!</v>
      </c>
      <c r="S254" s="148" t="e">
        <f t="shared" si="139"/>
        <v>#VALUE!</v>
      </c>
      <c r="T254" s="174" t="e">
        <f t="shared" si="163"/>
        <v>#VALUE!</v>
      </c>
      <c r="U254" s="148" t="e">
        <f t="shared" si="140"/>
        <v>#VALUE!</v>
      </c>
      <c r="V254" s="148" t="e">
        <f t="shared" si="141"/>
        <v>#VALUE!</v>
      </c>
      <c r="W254" s="148" t="e">
        <f t="shared" si="142"/>
        <v>#VALUE!</v>
      </c>
      <c r="X254" s="148" t="e">
        <f t="shared" si="143"/>
        <v>#VALUE!</v>
      </c>
      <c r="Y254" s="148" t="e">
        <f t="shared" si="144"/>
        <v>#VALUE!</v>
      </c>
      <c r="Z254" s="148" t="e">
        <f t="shared" si="145"/>
        <v>#VALUE!</v>
      </c>
      <c r="AA254" s="148" t="e">
        <f t="shared" si="146"/>
        <v>#VALUE!</v>
      </c>
      <c r="AB254" s="24" t="e">
        <f t="shared" si="164"/>
        <v>#VALUE!</v>
      </c>
      <c r="AC254" s="148" t="e">
        <f t="shared" si="147"/>
        <v>#VALUE!</v>
      </c>
      <c r="AD254" s="148" t="e">
        <f t="shared" si="148"/>
        <v>#VALUE!</v>
      </c>
      <c r="AE254" s="148" t="e">
        <f t="shared" si="149"/>
        <v>#VALUE!</v>
      </c>
      <c r="AF254" s="148" t="e">
        <f t="shared" si="150"/>
        <v>#VALUE!</v>
      </c>
      <c r="AG254" s="148" t="e">
        <f t="shared" si="151"/>
        <v>#VALUE!</v>
      </c>
      <c r="AH254" s="148" t="e">
        <f t="shared" si="152"/>
        <v>#VALUE!</v>
      </c>
      <c r="AI254" s="148" t="e">
        <f t="shared" si="153"/>
        <v>#VALUE!</v>
      </c>
      <c r="AJ254" s="20" t="e">
        <f t="shared" si="165"/>
        <v>#VALUE!</v>
      </c>
      <c r="AK254" s="148" t="e">
        <f t="shared" si="154"/>
        <v>#VALUE!</v>
      </c>
      <c r="AL254" s="148" t="e">
        <f t="shared" si="155"/>
        <v>#VALUE!</v>
      </c>
      <c r="AM254" s="148" t="e">
        <f t="shared" si="156"/>
        <v>#VALUE!</v>
      </c>
      <c r="AN254" s="148" t="e">
        <f t="shared" si="157"/>
        <v>#VALUE!</v>
      </c>
      <c r="AO254" s="148" t="e">
        <f t="shared" si="158"/>
        <v>#VALUE!</v>
      </c>
      <c r="AP254" s="148" t="e">
        <f t="shared" si="159"/>
        <v>#VALUE!</v>
      </c>
      <c r="AQ254" s="148" t="e">
        <f t="shared" si="160"/>
        <v>#VALUE!</v>
      </c>
      <c r="AR254" s="17" t="e">
        <f t="shared" si="166"/>
        <v>#VALUE!</v>
      </c>
      <c r="AS254" s="148" t="e">
        <f t="shared" si="161"/>
        <v>#VALUE!</v>
      </c>
      <c r="AT254" s="181" t="e">
        <f>INDEX('stock fisico '!N:N, MATCH(B254, 'stock fisico '!B:B, 0))</f>
        <v>#N/A</v>
      </c>
      <c r="AU254" s="179" t="e">
        <f>INDEX('stock fisico '!D:D, MATCH(B254, 'stock fisico '!B:B, 0))</f>
        <v>#N/A</v>
      </c>
      <c r="AV254" s="177" t="e">
        <f>INDEX('stock fisico '!L:L, MATCH(B254, 'stock fisico '!B:B, 0))</f>
        <v>#N/A</v>
      </c>
    </row>
    <row r="255" spans="1:48" x14ac:dyDescent="0.25">
      <c r="A255" s="181" t="e">
        <f>INDEX('stock fisico '!M:M, MATCH(B255, 'stock fisico '!B:B, 0))</f>
        <v>#N/A</v>
      </c>
      <c r="C255" s="179" t="e">
        <f>INDEX('stock fisico '!C:C, MATCH(B255, 'stock fisico '!B:B, 0))</f>
        <v>#N/A</v>
      </c>
      <c r="D255" s="178" t="e">
        <f>INDEX('stock fisico '!I:I, MATCH(B255, 'stock fisico '!B:B, 0))</f>
        <v>#N/A</v>
      </c>
      <c r="E255" s="173" t="e">
        <f t="shared" si="167"/>
        <v>#VALUE!</v>
      </c>
      <c r="F255" s="148" t="e">
        <f t="shared" si="127"/>
        <v>#VALUE!</v>
      </c>
      <c r="G255" s="148" t="e">
        <f t="shared" si="128"/>
        <v>#VALUE!</v>
      </c>
      <c r="H255" s="148" t="e">
        <f t="shared" si="129"/>
        <v>#VALUE!</v>
      </c>
      <c r="I255" s="148" t="e">
        <f t="shared" si="130"/>
        <v>#VALUE!</v>
      </c>
      <c r="J255" s="148" t="e">
        <f t="shared" si="131"/>
        <v>#VALUE!</v>
      </c>
      <c r="K255" s="148" t="e">
        <f t="shared" si="132"/>
        <v>#VALUE!</v>
      </c>
      <c r="L255" s="175" t="e">
        <f t="shared" si="162"/>
        <v>#VALUE!</v>
      </c>
      <c r="M255" s="148" t="e">
        <f t="shared" si="133"/>
        <v>#VALUE!</v>
      </c>
      <c r="N255" s="148" t="e">
        <f t="shared" si="134"/>
        <v>#VALUE!</v>
      </c>
      <c r="O255" s="148" t="e">
        <f t="shared" si="135"/>
        <v>#VALUE!</v>
      </c>
      <c r="P255" s="148" t="e">
        <f t="shared" si="136"/>
        <v>#VALUE!</v>
      </c>
      <c r="Q255" s="148" t="e">
        <f t="shared" si="137"/>
        <v>#VALUE!</v>
      </c>
      <c r="R255" s="148" t="e">
        <f t="shared" si="138"/>
        <v>#VALUE!</v>
      </c>
      <c r="S255" s="148" t="e">
        <f t="shared" si="139"/>
        <v>#VALUE!</v>
      </c>
      <c r="T255" s="174" t="e">
        <f t="shared" si="163"/>
        <v>#VALUE!</v>
      </c>
      <c r="U255" s="148" t="e">
        <f t="shared" si="140"/>
        <v>#VALUE!</v>
      </c>
      <c r="V255" s="148" t="e">
        <f t="shared" si="141"/>
        <v>#VALUE!</v>
      </c>
      <c r="W255" s="148" t="e">
        <f t="shared" si="142"/>
        <v>#VALUE!</v>
      </c>
      <c r="X255" s="148" t="e">
        <f t="shared" si="143"/>
        <v>#VALUE!</v>
      </c>
      <c r="Y255" s="148" t="e">
        <f t="shared" si="144"/>
        <v>#VALUE!</v>
      </c>
      <c r="Z255" s="148" t="e">
        <f t="shared" si="145"/>
        <v>#VALUE!</v>
      </c>
      <c r="AA255" s="148" t="e">
        <f t="shared" si="146"/>
        <v>#VALUE!</v>
      </c>
      <c r="AB255" s="24" t="e">
        <f t="shared" si="164"/>
        <v>#VALUE!</v>
      </c>
      <c r="AC255" s="148" t="e">
        <f t="shared" si="147"/>
        <v>#VALUE!</v>
      </c>
      <c r="AD255" s="148" t="e">
        <f t="shared" si="148"/>
        <v>#VALUE!</v>
      </c>
      <c r="AE255" s="148" t="e">
        <f t="shared" si="149"/>
        <v>#VALUE!</v>
      </c>
      <c r="AF255" s="148" t="e">
        <f t="shared" si="150"/>
        <v>#VALUE!</v>
      </c>
      <c r="AG255" s="148" t="e">
        <f t="shared" si="151"/>
        <v>#VALUE!</v>
      </c>
      <c r="AH255" s="148" t="e">
        <f t="shared" si="152"/>
        <v>#VALUE!</v>
      </c>
      <c r="AI255" s="148" t="e">
        <f t="shared" si="153"/>
        <v>#VALUE!</v>
      </c>
      <c r="AJ255" s="20" t="e">
        <f t="shared" si="165"/>
        <v>#VALUE!</v>
      </c>
      <c r="AK255" s="148" t="e">
        <f t="shared" si="154"/>
        <v>#VALUE!</v>
      </c>
      <c r="AL255" s="148" t="e">
        <f t="shared" si="155"/>
        <v>#VALUE!</v>
      </c>
      <c r="AM255" s="148" t="e">
        <f t="shared" si="156"/>
        <v>#VALUE!</v>
      </c>
      <c r="AN255" s="148" t="e">
        <f t="shared" si="157"/>
        <v>#VALUE!</v>
      </c>
      <c r="AO255" s="148" t="e">
        <f t="shared" si="158"/>
        <v>#VALUE!</v>
      </c>
      <c r="AP255" s="148" t="e">
        <f t="shared" si="159"/>
        <v>#VALUE!</v>
      </c>
      <c r="AQ255" s="148" t="e">
        <f t="shared" si="160"/>
        <v>#VALUE!</v>
      </c>
      <c r="AR255" s="17" t="e">
        <f t="shared" si="166"/>
        <v>#VALUE!</v>
      </c>
      <c r="AS255" s="148" t="e">
        <f t="shared" si="161"/>
        <v>#VALUE!</v>
      </c>
      <c r="AT255" s="181" t="e">
        <f>INDEX('stock fisico '!N:N, MATCH(B255, 'stock fisico '!B:B, 0))</f>
        <v>#N/A</v>
      </c>
      <c r="AU255" s="179" t="e">
        <f>INDEX('stock fisico '!D:D, MATCH(B255, 'stock fisico '!B:B, 0))</f>
        <v>#N/A</v>
      </c>
      <c r="AV255" s="177" t="e">
        <f>INDEX('stock fisico '!L:L, MATCH(B255, 'stock fisico '!B:B, 0))</f>
        <v>#N/A</v>
      </c>
    </row>
    <row r="256" spans="1:48" x14ac:dyDescent="0.25">
      <c r="A256" s="181" t="e">
        <f>INDEX('stock fisico '!M:M, MATCH(B256, 'stock fisico '!B:B, 0))</f>
        <v>#N/A</v>
      </c>
      <c r="C256" s="179" t="e">
        <f>INDEX('stock fisico '!C:C, MATCH(B256, 'stock fisico '!B:B, 0))</f>
        <v>#N/A</v>
      </c>
      <c r="D256" s="178" t="e">
        <f>INDEX('stock fisico '!I:I, MATCH(B256, 'stock fisico '!B:B, 0))</f>
        <v>#N/A</v>
      </c>
      <c r="E256" s="173" t="e">
        <f t="shared" si="167"/>
        <v>#VALUE!</v>
      </c>
      <c r="F256" s="148" t="e">
        <f t="shared" si="127"/>
        <v>#VALUE!</v>
      </c>
      <c r="G256" s="148" t="e">
        <f t="shared" si="128"/>
        <v>#VALUE!</v>
      </c>
      <c r="H256" s="148" t="e">
        <f t="shared" si="129"/>
        <v>#VALUE!</v>
      </c>
      <c r="I256" s="148" t="e">
        <f t="shared" si="130"/>
        <v>#VALUE!</v>
      </c>
      <c r="J256" s="148" t="e">
        <f t="shared" si="131"/>
        <v>#VALUE!</v>
      </c>
      <c r="K256" s="148" t="e">
        <f t="shared" si="132"/>
        <v>#VALUE!</v>
      </c>
      <c r="L256" s="175" t="e">
        <f t="shared" si="162"/>
        <v>#VALUE!</v>
      </c>
      <c r="M256" s="148" t="e">
        <f t="shared" si="133"/>
        <v>#VALUE!</v>
      </c>
      <c r="N256" s="148" t="e">
        <f t="shared" si="134"/>
        <v>#VALUE!</v>
      </c>
      <c r="O256" s="148" t="e">
        <f t="shared" si="135"/>
        <v>#VALUE!</v>
      </c>
      <c r="P256" s="148" t="e">
        <f t="shared" si="136"/>
        <v>#VALUE!</v>
      </c>
      <c r="Q256" s="148" t="e">
        <f t="shared" si="137"/>
        <v>#VALUE!</v>
      </c>
      <c r="R256" s="148" t="e">
        <f t="shared" si="138"/>
        <v>#VALUE!</v>
      </c>
      <c r="S256" s="148" t="e">
        <f t="shared" si="139"/>
        <v>#VALUE!</v>
      </c>
      <c r="T256" s="174" t="e">
        <f t="shared" si="163"/>
        <v>#VALUE!</v>
      </c>
      <c r="U256" s="148" t="e">
        <f t="shared" si="140"/>
        <v>#VALUE!</v>
      </c>
      <c r="V256" s="148" t="e">
        <f t="shared" si="141"/>
        <v>#VALUE!</v>
      </c>
      <c r="W256" s="148" t="e">
        <f t="shared" si="142"/>
        <v>#VALUE!</v>
      </c>
      <c r="X256" s="148" t="e">
        <f t="shared" si="143"/>
        <v>#VALUE!</v>
      </c>
      <c r="Y256" s="148" t="e">
        <f t="shared" si="144"/>
        <v>#VALUE!</v>
      </c>
      <c r="Z256" s="148" t="e">
        <f t="shared" si="145"/>
        <v>#VALUE!</v>
      </c>
      <c r="AA256" s="148" t="e">
        <f t="shared" si="146"/>
        <v>#VALUE!</v>
      </c>
      <c r="AB256" s="24" t="e">
        <f t="shared" si="164"/>
        <v>#VALUE!</v>
      </c>
      <c r="AC256" s="148" t="e">
        <f t="shared" si="147"/>
        <v>#VALUE!</v>
      </c>
      <c r="AD256" s="148" t="e">
        <f t="shared" si="148"/>
        <v>#VALUE!</v>
      </c>
      <c r="AE256" s="148" t="e">
        <f t="shared" si="149"/>
        <v>#VALUE!</v>
      </c>
      <c r="AF256" s="148" t="e">
        <f t="shared" si="150"/>
        <v>#VALUE!</v>
      </c>
      <c r="AG256" s="148" t="e">
        <f t="shared" si="151"/>
        <v>#VALUE!</v>
      </c>
      <c r="AH256" s="148" t="e">
        <f t="shared" si="152"/>
        <v>#VALUE!</v>
      </c>
      <c r="AI256" s="148" t="e">
        <f t="shared" si="153"/>
        <v>#VALUE!</v>
      </c>
      <c r="AJ256" s="20" t="e">
        <f t="shared" si="165"/>
        <v>#VALUE!</v>
      </c>
      <c r="AK256" s="148" t="e">
        <f t="shared" si="154"/>
        <v>#VALUE!</v>
      </c>
      <c r="AL256" s="148" t="e">
        <f t="shared" si="155"/>
        <v>#VALUE!</v>
      </c>
      <c r="AM256" s="148" t="e">
        <f t="shared" si="156"/>
        <v>#VALUE!</v>
      </c>
      <c r="AN256" s="148" t="e">
        <f t="shared" si="157"/>
        <v>#VALUE!</v>
      </c>
      <c r="AO256" s="148" t="e">
        <f t="shared" si="158"/>
        <v>#VALUE!</v>
      </c>
      <c r="AP256" s="148" t="e">
        <f t="shared" si="159"/>
        <v>#VALUE!</v>
      </c>
      <c r="AQ256" s="148" t="e">
        <f t="shared" si="160"/>
        <v>#VALUE!</v>
      </c>
      <c r="AR256" s="17" t="e">
        <f t="shared" si="166"/>
        <v>#VALUE!</v>
      </c>
      <c r="AS256" s="148" t="e">
        <f t="shared" si="161"/>
        <v>#VALUE!</v>
      </c>
      <c r="AT256" s="181" t="e">
        <f>INDEX('stock fisico '!N:N, MATCH(B256, 'stock fisico '!B:B, 0))</f>
        <v>#N/A</v>
      </c>
      <c r="AU256" s="179" t="e">
        <f>INDEX('stock fisico '!D:D, MATCH(B256, 'stock fisico '!B:B, 0))</f>
        <v>#N/A</v>
      </c>
      <c r="AV256" s="177" t="e">
        <f>INDEX('stock fisico '!L:L, MATCH(B256, 'stock fisico '!B:B, 0))</f>
        <v>#N/A</v>
      </c>
    </row>
    <row r="257" spans="1:48" x14ac:dyDescent="0.25">
      <c r="A257" s="181" t="e">
        <f>INDEX('stock fisico '!M:M, MATCH(B257, 'stock fisico '!B:B, 0))</f>
        <v>#N/A</v>
      </c>
      <c r="C257" s="179" t="e">
        <f>INDEX('stock fisico '!C:C, MATCH(B257, 'stock fisico '!B:B, 0))</f>
        <v>#N/A</v>
      </c>
      <c r="D257" s="178" t="e">
        <f>INDEX('stock fisico '!I:I, MATCH(B257, 'stock fisico '!B:B, 0))</f>
        <v>#N/A</v>
      </c>
      <c r="E257" s="173" t="e">
        <f t="shared" si="167"/>
        <v>#VALUE!</v>
      </c>
      <c r="F257" s="148" t="e">
        <f t="shared" si="127"/>
        <v>#VALUE!</v>
      </c>
      <c r="G257" s="148" t="e">
        <f t="shared" si="128"/>
        <v>#VALUE!</v>
      </c>
      <c r="H257" s="148" t="e">
        <f t="shared" si="129"/>
        <v>#VALUE!</v>
      </c>
      <c r="I257" s="148" t="e">
        <f t="shared" si="130"/>
        <v>#VALUE!</v>
      </c>
      <c r="J257" s="148" t="e">
        <f t="shared" si="131"/>
        <v>#VALUE!</v>
      </c>
      <c r="K257" s="148" t="e">
        <f t="shared" si="132"/>
        <v>#VALUE!</v>
      </c>
      <c r="L257" s="175" t="e">
        <f t="shared" si="162"/>
        <v>#VALUE!</v>
      </c>
      <c r="M257" s="148" t="e">
        <f t="shared" si="133"/>
        <v>#VALUE!</v>
      </c>
      <c r="N257" s="148" t="e">
        <f t="shared" si="134"/>
        <v>#VALUE!</v>
      </c>
      <c r="O257" s="148" t="e">
        <f t="shared" si="135"/>
        <v>#VALUE!</v>
      </c>
      <c r="P257" s="148" t="e">
        <f t="shared" si="136"/>
        <v>#VALUE!</v>
      </c>
      <c r="Q257" s="148" t="e">
        <f t="shared" si="137"/>
        <v>#VALUE!</v>
      </c>
      <c r="R257" s="148" t="e">
        <f t="shared" si="138"/>
        <v>#VALUE!</v>
      </c>
      <c r="S257" s="148" t="e">
        <f t="shared" si="139"/>
        <v>#VALUE!</v>
      </c>
      <c r="T257" s="174" t="e">
        <f t="shared" si="163"/>
        <v>#VALUE!</v>
      </c>
      <c r="U257" s="148" t="e">
        <f t="shared" si="140"/>
        <v>#VALUE!</v>
      </c>
      <c r="V257" s="148" t="e">
        <f t="shared" si="141"/>
        <v>#VALUE!</v>
      </c>
      <c r="W257" s="148" t="e">
        <f t="shared" si="142"/>
        <v>#VALUE!</v>
      </c>
      <c r="X257" s="148" t="e">
        <f t="shared" si="143"/>
        <v>#VALUE!</v>
      </c>
      <c r="Y257" s="148" t="e">
        <f t="shared" si="144"/>
        <v>#VALUE!</v>
      </c>
      <c r="Z257" s="148" t="e">
        <f t="shared" si="145"/>
        <v>#VALUE!</v>
      </c>
      <c r="AA257" s="148" t="e">
        <f t="shared" si="146"/>
        <v>#VALUE!</v>
      </c>
      <c r="AB257" s="24" t="e">
        <f t="shared" si="164"/>
        <v>#VALUE!</v>
      </c>
      <c r="AC257" s="148" t="e">
        <f t="shared" si="147"/>
        <v>#VALUE!</v>
      </c>
      <c r="AD257" s="148" t="e">
        <f t="shared" si="148"/>
        <v>#VALUE!</v>
      </c>
      <c r="AE257" s="148" t="e">
        <f t="shared" si="149"/>
        <v>#VALUE!</v>
      </c>
      <c r="AF257" s="148" t="e">
        <f t="shared" si="150"/>
        <v>#VALUE!</v>
      </c>
      <c r="AG257" s="148" t="e">
        <f t="shared" si="151"/>
        <v>#VALUE!</v>
      </c>
      <c r="AH257" s="148" t="e">
        <f t="shared" si="152"/>
        <v>#VALUE!</v>
      </c>
      <c r="AI257" s="148" t="e">
        <f t="shared" si="153"/>
        <v>#VALUE!</v>
      </c>
      <c r="AJ257" s="20" t="e">
        <f t="shared" si="165"/>
        <v>#VALUE!</v>
      </c>
      <c r="AK257" s="148" t="e">
        <f t="shared" si="154"/>
        <v>#VALUE!</v>
      </c>
      <c r="AL257" s="148" t="e">
        <f t="shared" si="155"/>
        <v>#VALUE!</v>
      </c>
      <c r="AM257" s="148" t="e">
        <f t="shared" si="156"/>
        <v>#VALUE!</v>
      </c>
      <c r="AN257" s="148" t="e">
        <f t="shared" si="157"/>
        <v>#VALUE!</v>
      </c>
      <c r="AO257" s="148" t="e">
        <f t="shared" si="158"/>
        <v>#VALUE!</v>
      </c>
      <c r="AP257" s="148" t="e">
        <f t="shared" si="159"/>
        <v>#VALUE!</v>
      </c>
      <c r="AQ257" s="148" t="e">
        <f t="shared" si="160"/>
        <v>#VALUE!</v>
      </c>
      <c r="AR257" s="17" t="e">
        <f t="shared" si="166"/>
        <v>#VALUE!</v>
      </c>
      <c r="AS257" s="148" t="e">
        <f t="shared" si="161"/>
        <v>#VALUE!</v>
      </c>
      <c r="AT257" s="181" t="e">
        <f>INDEX('stock fisico '!N:N, MATCH(B257, 'stock fisico '!B:B, 0))</f>
        <v>#N/A</v>
      </c>
      <c r="AU257" s="179" t="e">
        <f>INDEX('stock fisico '!D:D, MATCH(B257, 'stock fisico '!B:B, 0))</f>
        <v>#N/A</v>
      </c>
      <c r="AV257" s="177" t="e">
        <f>INDEX('stock fisico '!L:L, MATCH(B257, 'stock fisico '!B:B, 0))</f>
        <v>#N/A</v>
      </c>
    </row>
    <row r="258" spans="1:48" x14ac:dyDescent="0.25">
      <c r="A258" s="181" t="e">
        <f>INDEX('stock fisico '!M:M, MATCH(B258, 'stock fisico '!B:B, 0))</f>
        <v>#N/A</v>
      </c>
      <c r="C258" s="179" t="e">
        <f>INDEX('stock fisico '!C:C, MATCH(B258, 'stock fisico '!B:B, 0))</f>
        <v>#N/A</v>
      </c>
      <c r="D258" s="178" t="e">
        <f>INDEX('stock fisico '!I:I, MATCH(B258, 'stock fisico '!B:B, 0))</f>
        <v>#N/A</v>
      </c>
      <c r="E258" s="173" t="e">
        <f t="shared" si="167"/>
        <v>#VALUE!</v>
      </c>
      <c r="F258" s="148" t="e">
        <f t="shared" si="127"/>
        <v>#VALUE!</v>
      </c>
      <c r="G258" s="148" t="e">
        <f t="shared" si="128"/>
        <v>#VALUE!</v>
      </c>
      <c r="H258" s="148" t="e">
        <f t="shared" si="129"/>
        <v>#VALUE!</v>
      </c>
      <c r="I258" s="148" t="e">
        <f t="shared" si="130"/>
        <v>#VALUE!</v>
      </c>
      <c r="J258" s="148" t="e">
        <f t="shared" si="131"/>
        <v>#VALUE!</v>
      </c>
      <c r="K258" s="148" t="e">
        <f t="shared" si="132"/>
        <v>#VALUE!</v>
      </c>
      <c r="L258" s="175" t="e">
        <f t="shared" si="162"/>
        <v>#VALUE!</v>
      </c>
      <c r="M258" s="148" t="e">
        <f t="shared" si="133"/>
        <v>#VALUE!</v>
      </c>
      <c r="N258" s="148" t="e">
        <f t="shared" si="134"/>
        <v>#VALUE!</v>
      </c>
      <c r="O258" s="148" t="e">
        <f t="shared" si="135"/>
        <v>#VALUE!</v>
      </c>
      <c r="P258" s="148" t="e">
        <f t="shared" si="136"/>
        <v>#VALUE!</v>
      </c>
      <c r="Q258" s="148" t="e">
        <f t="shared" si="137"/>
        <v>#VALUE!</v>
      </c>
      <c r="R258" s="148" t="e">
        <f t="shared" si="138"/>
        <v>#VALUE!</v>
      </c>
      <c r="S258" s="148" t="e">
        <f t="shared" si="139"/>
        <v>#VALUE!</v>
      </c>
      <c r="T258" s="174" t="e">
        <f t="shared" si="163"/>
        <v>#VALUE!</v>
      </c>
      <c r="U258" s="148" t="e">
        <f t="shared" si="140"/>
        <v>#VALUE!</v>
      </c>
      <c r="V258" s="148" t="e">
        <f t="shared" si="141"/>
        <v>#VALUE!</v>
      </c>
      <c r="W258" s="148" t="e">
        <f t="shared" si="142"/>
        <v>#VALUE!</v>
      </c>
      <c r="X258" s="148" t="e">
        <f t="shared" si="143"/>
        <v>#VALUE!</v>
      </c>
      <c r="Y258" s="148" t="e">
        <f t="shared" si="144"/>
        <v>#VALUE!</v>
      </c>
      <c r="Z258" s="148" t="e">
        <f t="shared" si="145"/>
        <v>#VALUE!</v>
      </c>
      <c r="AA258" s="148" t="e">
        <f t="shared" si="146"/>
        <v>#VALUE!</v>
      </c>
      <c r="AB258" s="24" t="e">
        <f t="shared" si="164"/>
        <v>#VALUE!</v>
      </c>
      <c r="AC258" s="148" t="e">
        <f t="shared" si="147"/>
        <v>#VALUE!</v>
      </c>
      <c r="AD258" s="148" t="e">
        <f t="shared" si="148"/>
        <v>#VALUE!</v>
      </c>
      <c r="AE258" s="148" t="e">
        <f t="shared" si="149"/>
        <v>#VALUE!</v>
      </c>
      <c r="AF258" s="148" t="e">
        <f t="shared" si="150"/>
        <v>#VALUE!</v>
      </c>
      <c r="AG258" s="148" t="e">
        <f t="shared" si="151"/>
        <v>#VALUE!</v>
      </c>
      <c r="AH258" s="148" t="e">
        <f t="shared" si="152"/>
        <v>#VALUE!</v>
      </c>
      <c r="AI258" s="148" t="e">
        <f t="shared" si="153"/>
        <v>#VALUE!</v>
      </c>
      <c r="AJ258" s="20" t="e">
        <f t="shared" si="165"/>
        <v>#VALUE!</v>
      </c>
      <c r="AK258" s="148" t="e">
        <f t="shared" si="154"/>
        <v>#VALUE!</v>
      </c>
      <c r="AL258" s="148" t="e">
        <f t="shared" si="155"/>
        <v>#VALUE!</v>
      </c>
      <c r="AM258" s="148" t="e">
        <f t="shared" si="156"/>
        <v>#VALUE!</v>
      </c>
      <c r="AN258" s="148" t="e">
        <f t="shared" si="157"/>
        <v>#VALUE!</v>
      </c>
      <c r="AO258" s="148" t="e">
        <f t="shared" si="158"/>
        <v>#VALUE!</v>
      </c>
      <c r="AP258" s="148" t="e">
        <f t="shared" si="159"/>
        <v>#VALUE!</v>
      </c>
      <c r="AQ258" s="148" t="e">
        <f t="shared" si="160"/>
        <v>#VALUE!</v>
      </c>
      <c r="AR258" s="17" t="e">
        <f t="shared" si="166"/>
        <v>#VALUE!</v>
      </c>
      <c r="AS258" s="148" t="e">
        <f t="shared" si="161"/>
        <v>#VALUE!</v>
      </c>
      <c r="AT258" s="181" t="e">
        <f>INDEX('stock fisico '!N:N, MATCH(B258, 'stock fisico '!B:B, 0))</f>
        <v>#N/A</v>
      </c>
      <c r="AU258" s="179" t="e">
        <f>INDEX('stock fisico '!D:D, MATCH(B258, 'stock fisico '!B:B, 0))</f>
        <v>#N/A</v>
      </c>
      <c r="AV258" s="177" t="e">
        <f>INDEX('stock fisico '!L:L, MATCH(B258, 'stock fisico '!B:B, 0))</f>
        <v>#N/A</v>
      </c>
    </row>
    <row r="259" spans="1:48" x14ac:dyDescent="0.25">
      <c r="A259" s="181" t="e">
        <f>INDEX('stock fisico '!M:M, MATCH(B259, 'stock fisico '!B:B, 0))</f>
        <v>#N/A</v>
      </c>
      <c r="C259" s="179" t="e">
        <f>INDEX('stock fisico '!C:C, MATCH(B259, 'stock fisico '!B:B, 0))</f>
        <v>#N/A</v>
      </c>
      <c r="D259" s="178" t="e">
        <f>INDEX('stock fisico '!I:I, MATCH(B259, 'stock fisico '!B:B, 0))</f>
        <v>#N/A</v>
      </c>
      <c r="E259" s="173" t="e">
        <f t="shared" si="167"/>
        <v>#VALUE!</v>
      </c>
      <c r="F259" s="148" t="e">
        <f t="shared" si="127"/>
        <v>#VALUE!</v>
      </c>
      <c r="G259" s="148" t="e">
        <f t="shared" si="128"/>
        <v>#VALUE!</v>
      </c>
      <c r="H259" s="148" t="e">
        <f t="shared" si="129"/>
        <v>#VALUE!</v>
      </c>
      <c r="I259" s="148" t="e">
        <f t="shared" si="130"/>
        <v>#VALUE!</v>
      </c>
      <c r="J259" s="148" t="e">
        <f t="shared" si="131"/>
        <v>#VALUE!</v>
      </c>
      <c r="K259" s="148" t="e">
        <f t="shared" si="132"/>
        <v>#VALUE!</v>
      </c>
      <c r="L259" s="175" t="e">
        <f t="shared" si="162"/>
        <v>#VALUE!</v>
      </c>
      <c r="M259" s="148" t="e">
        <f t="shared" si="133"/>
        <v>#VALUE!</v>
      </c>
      <c r="N259" s="148" t="e">
        <f t="shared" si="134"/>
        <v>#VALUE!</v>
      </c>
      <c r="O259" s="148" t="e">
        <f t="shared" si="135"/>
        <v>#VALUE!</v>
      </c>
      <c r="P259" s="148" t="e">
        <f t="shared" si="136"/>
        <v>#VALUE!</v>
      </c>
      <c r="Q259" s="148" t="e">
        <f t="shared" si="137"/>
        <v>#VALUE!</v>
      </c>
      <c r="R259" s="148" t="e">
        <f t="shared" si="138"/>
        <v>#VALUE!</v>
      </c>
      <c r="S259" s="148" t="e">
        <f t="shared" si="139"/>
        <v>#VALUE!</v>
      </c>
      <c r="T259" s="174" t="e">
        <f t="shared" si="163"/>
        <v>#VALUE!</v>
      </c>
      <c r="U259" s="148" t="e">
        <f t="shared" si="140"/>
        <v>#VALUE!</v>
      </c>
      <c r="V259" s="148" t="e">
        <f t="shared" si="141"/>
        <v>#VALUE!</v>
      </c>
      <c r="W259" s="148" t="e">
        <f t="shared" si="142"/>
        <v>#VALUE!</v>
      </c>
      <c r="X259" s="148" t="e">
        <f t="shared" si="143"/>
        <v>#VALUE!</v>
      </c>
      <c r="Y259" s="148" t="e">
        <f t="shared" si="144"/>
        <v>#VALUE!</v>
      </c>
      <c r="Z259" s="148" t="e">
        <f t="shared" si="145"/>
        <v>#VALUE!</v>
      </c>
      <c r="AA259" s="148" t="e">
        <f t="shared" si="146"/>
        <v>#VALUE!</v>
      </c>
      <c r="AB259" s="24" t="e">
        <f t="shared" si="164"/>
        <v>#VALUE!</v>
      </c>
      <c r="AC259" s="148" t="e">
        <f t="shared" si="147"/>
        <v>#VALUE!</v>
      </c>
      <c r="AD259" s="148" t="e">
        <f t="shared" si="148"/>
        <v>#VALUE!</v>
      </c>
      <c r="AE259" s="148" t="e">
        <f t="shared" si="149"/>
        <v>#VALUE!</v>
      </c>
      <c r="AF259" s="148" t="e">
        <f t="shared" si="150"/>
        <v>#VALUE!</v>
      </c>
      <c r="AG259" s="148" t="e">
        <f t="shared" si="151"/>
        <v>#VALUE!</v>
      </c>
      <c r="AH259" s="148" t="e">
        <f t="shared" si="152"/>
        <v>#VALUE!</v>
      </c>
      <c r="AI259" s="148" t="e">
        <f t="shared" si="153"/>
        <v>#VALUE!</v>
      </c>
      <c r="AJ259" s="20" t="e">
        <f t="shared" si="165"/>
        <v>#VALUE!</v>
      </c>
      <c r="AK259" s="148" t="e">
        <f t="shared" si="154"/>
        <v>#VALUE!</v>
      </c>
      <c r="AL259" s="148" t="e">
        <f t="shared" si="155"/>
        <v>#VALUE!</v>
      </c>
      <c r="AM259" s="148" t="e">
        <f t="shared" si="156"/>
        <v>#VALUE!</v>
      </c>
      <c r="AN259" s="148" t="e">
        <f t="shared" si="157"/>
        <v>#VALUE!</v>
      </c>
      <c r="AO259" s="148" t="e">
        <f t="shared" si="158"/>
        <v>#VALUE!</v>
      </c>
      <c r="AP259" s="148" t="e">
        <f t="shared" si="159"/>
        <v>#VALUE!</v>
      </c>
      <c r="AQ259" s="148" t="e">
        <f t="shared" si="160"/>
        <v>#VALUE!</v>
      </c>
      <c r="AR259" s="17" t="e">
        <f t="shared" si="166"/>
        <v>#VALUE!</v>
      </c>
      <c r="AS259" s="148" t="e">
        <f t="shared" si="161"/>
        <v>#VALUE!</v>
      </c>
      <c r="AT259" s="181" t="e">
        <f>INDEX('stock fisico '!N:N, MATCH(B259, 'stock fisico '!B:B, 0))</f>
        <v>#N/A</v>
      </c>
      <c r="AU259" s="179" t="e">
        <f>INDEX('stock fisico '!D:D, MATCH(B259, 'stock fisico '!B:B, 0))</f>
        <v>#N/A</v>
      </c>
      <c r="AV259" s="177" t="e">
        <f>INDEX('stock fisico '!L:L, MATCH(B259, 'stock fisico '!B:B, 0))</f>
        <v>#N/A</v>
      </c>
    </row>
    <row r="260" spans="1:48" x14ac:dyDescent="0.25">
      <c r="A260" s="181" t="e">
        <f>INDEX('stock fisico '!M:M, MATCH(B260, 'stock fisico '!B:B, 0))</f>
        <v>#N/A</v>
      </c>
      <c r="C260" s="179" t="e">
        <f>INDEX('stock fisico '!C:C, MATCH(B260, 'stock fisico '!B:B, 0))</f>
        <v>#N/A</v>
      </c>
      <c r="D260" s="178" t="e">
        <f>INDEX('stock fisico '!I:I, MATCH(B260, 'stock fisico '!B:B, 0))</f>
        <v>#N/A</v>
      </c>
      <c r="E260" s="173" t="e">
        <f t="shared" si="167"/>
        <v>#VALUE!</v>
      </c>
      <c r="F260" s="148" t="e">
        <f t="shared" si="127"/>
        <v>#VALUE!</v>
      </c>
      <c r="G260" s="148" t="e">
        <f t="shared" si="128"/>
        <v>#VALUE!</v>
      </c>
      <c r="H260" s="148" t="e">
        <f t="shared" si="129"/>
        <v>#VALUE!</v>
      </c>
      <c r="I260" s="148" t="e">
        <f t="shared" si="130"/>
        <v>#VALUE!</v>
      </c>
      <c r="J260" s="148" t="e">
        <f t="shared" si="131"/>
        <v>#VALUE!</v>
      </c>
      <c r="K260" s="148" t="e">
        <f t="shared" si="132"/>
        <v>#VALUE!</v>
      </c>
      <c r="L260" s="175" t="e">
        <f t="shared" si="162"/>
        <v>#VALUE!</v>
      </c>
      <c r="M260" s="148" t="e">
        <f t="shared" si="133"/>
        <v>#VALUE!</v>
      </c>
      <c r="N260" s="148" t="e">
        <f t="shared" si="134"/>
        <v>#VALUE!</v>
      </c>
      <c r="O260" s="148" t="e">
        <f t="shared" si="135"/>
        <v>#VALUE!</v>
      </c>
      <c r="P260" s="148" t="e">
        <f t="shared" si="136"/>
        <v>#VALUE!</v>
      </c>
      <c r="Q260" s="148" t="e">
        <f t="shared" si="137"/>
        <v>#VALUE!</v>
      </c>
      <c r="R260" s="148" t="e">
        <f t="shared" si="138"/>
        <v>#VALUE!</v>
      </c>
      <c r="S260" s="148" t="e">
        <f t="shared" si="139"/>
        <v>#VALUE!</v>
      </c>
      <c r="T260" s="174" t="e">
        <f t="shared" si="163"/>
        <v>#VALUE!</v>
      </c>
      <c r="U260" s="148" t="e">
        <f t="shared" si="140"/>
        <v>#VALUE!</v>
      </c>
      <c r="V260" s="148" t="e">
        <f t="shared" si="141"/>
        <v>#VALUE!</v>
      </c>
      <c r="W260" s="148" t="e">
        <f t="shared" si="142"/>
        <v>#VALUE!</v>
      </c>
      <c r="X260" s="148" t="e">
        <f t="shared" si="143"/>
        <v>#VALUE!</v>
      </c>
      <c r="Y260" s="148" t="e">
        <f t="shared" si="144"/>
        <v>#VALUE!</v>
      </c>
      <c r="Z260" s="148" t="e">
        <f t="shared" si="145"/>
        <v>#VALUE!</v>
      </c>
      <c r="AA260" s="148" t="e">
        <f t="shared" si="146"/>
        <v>#VALUE!</v>
      </c>
      <c r="AB260" s="24" t="e">
        <f t="shared" si="164"/>
        <v>#VALUE!</v>
      </c>
      <c r="AC260" s="148" t="e">
        <f t="shared" si="147"/>
        <v>#VALUE!</v>
      </c>
      <c r="AD260" s="148" t="e">
        <f t="shared" si="148"/>
        <v>#VALUE!</v>
      </c>
      <c r="AE260" s="148" t="e">
        <f t="shared" si="149"/>
        <v>#VALUE!</v>
      </c>
      <c r="AF260" s="148" t="e">
        <f t="shared" si="150"/>
        <v>#VALUE!</v>
      </c>
      <c r="AG260" s="148" t="e">
        <f t="shared" si="151"/>
        <v>#VALUE!</v>
      </c>
      <c r="AH260" s="148" t="e">
        <f t="shared" si="152"/>
        <v>#VALUE!</v>
      </c>
      <c r="AI260" s="148" t="e">
        <f t="shared" si="153"/>
        <v>#VALUE!</v>
      </c>
      <c r="AJ260" s="20" t="e">
        <f t="shared" si="165"/>
        <v>#VALUE!</v>
      </c>
      <c r="AK260" s="148" t="e">
        <f t="shared" si="154"/>
        <v>#VALUE!</v>
      </c>
      <c r="AL260" s="148" t="e">
        <f t="shared" si="155"/>
        <v>#VALUE!</v>
      </c>
      <c r="AM260" s="148" t="e">
        <f t="shared" si="156"/>
        <v>#VALUE!</v>
      </c>
      <c r="AN260" s="148" t="e">
        <f t="shared" si="157"/>
        <v>#VALUE!</v>
      </c>
      <c r="AO260" s="148" t="e">
        <f t="shared" si="158"/>
        <v>#VALUE!</v>
      </c>
      <c r="AP260" s="148" t="e">
        <f t="shared" si="159"/>
        <v>#VALUE!</v>
      </c>
      <c r="AQ260" s="148" t="e">
        <f t="shared" si="160"/>
        <v>#VALUE!</v>
      </c>
      <c r="AR260" s="17" t="e">
        <f t="shared" si="166"/>
        <v>#VALUE!</v>
      </c>
      <c r="AS260" s="148" t="e">
        <f t="shared" si="161"/>
        <v>#VALUE!</v>
      </c>
      <c r="AT260" s="181" t="e">
        <f>INDEX('stock fisico '!N:N, MATCH(B260, 'stock fisico '!B:B, 0))</f>
        <v>#N/A</v>
      </c>
      <c r="AU260" s="179" t="e">
        <f>INDEX('stock fisico '!D:D, MATCH(B260, 'stock fisico '!B:B, 0))</f>
        <v>#N/A</v>
      </c>
      <c r="AV260" s="177" t="e">
        <f>INDEX('stock fisico '!L:L, MATCH(B260, 'stock fisico '!B:B, 0))</f>
        <v>#N/A</v>
      </c>
    </row>
    <row r="261" spans="1:48" x14ac:dyDescent="0.25">
      <c r="A261" s="181" t="e">
        <f>INDEX('stock fisico '!M:M, MATCH(B261, 'stock fisico '!B:B, 0))</f>
        <v>#N/A</v>
      </c>
      <c r="C261" s="179" t="e">
        <f>INDEX('stock fisico '!C:C, MATCH(B261, 'stock fisico '!B:B, 0))</f>
        <v>#N/A</v>
      </c>
      <c r="D261" s="178" t="e">
        <f>INDEX('stock fisico '!I:I, MATCH(B261, 'stock fisico '!B:B, 0))</f>
        <v>#N/A</v>
      </c>
      <c r="E261" s="173" t="e">
        <f t="shared" si="167"/>
        <v>#VALUE!</v>
      </c>
      <c r="F261" s="148" t="e">
        <f t="shared" ref="F261:F324" si="168">K261*$F$3</f>
        <v>#VALUE!</v>
      </c>
      <c r="G261" s="148" t="e">
        <f t="shared" ref="G261:G324" si="169">K261*$G$2</f>
        <v>#VALUE!</v>
      </c>
      <c r="H261" s="148" t="e">
        <f t="shared" ref="H261:H324" si="170">K261*$H$2</f>
        <v>#VALUE!</v>
      </c>
      <c r="I261" s="148" t="e">
        <f t="shared" ref="I261:I324" si="171">K261*$I$2</f>
        <v>#VALUE!</v>
      </c>
      <c r="J261" s="148" t="e">
        <f t="shared" ref="J261:J324" si="172">K261*$J$2</f>
        <v>#VALUE!</v>
      </c>
      <c r="K261" s="148" t="e">
        <f t="shared" ref="K261:K324" si="173">E261*$J$1</f>
        <v>#VALUE!</v>
      </c>
      <c r="L261" s="175" t="e">
        <f t="shared" si="162"/>
        <v>#VALUE!</v>
      </c>
      <c r="M261" s="148" t="e">
        <f t="shared" ref="M261:M324" si="174">S261*$M$3</f>
        <v>#VALUE!</v>
      </c>
      <c r="N261" s="148" t="e">
        <f t="shared" ref="N261:N324" si="175">S261*$N$2</f>
        <v>#VALUE!</v>
      </c>
      <c r="O261" s="148" t="e">
        <f t="shared" ref="O261:O324" si="176">S261*$O$2</f>
        <v>#VALUE!</v>
      </c>
      <c r="P261" s="148" t="e">
        <f t="shared" ref="P261:P324" si="177">S261*$P$2</f>
        <v>#VALUE!</v>
      </c>
      <c r="Q261" s="148" t="e">
        <f t="shared" ref="Q261:Q324" si="178">S261*$Q$2</f>
        <v>#VALUE!</v>
      </c>
      <c r="R261" s="148" t="e">
        <f t="shared" ref="R261:R324" si="179">S261*$R$3</f>
        <v>#VALUE!</v>
      </c>
      <c r="S261" s="148" t="e">
        <f t="shared" ref="S261:S324" si="180">E261*$S$1</f>
        <v>#VALUE!</v>
      </c>
      <c r="T261" s="174" t="e">
        <f t="shared" si="163"/>
        <v>#VALUE!</v>
      </c>
      <c r="U261" s="148" t="e">
        <f t="shared" ref="U261:U324" si="181">AA261*$U$3</f>
        <v>#VALUE!</v>
      </c>
      <c r="V261" s="148" t="e">
        <f t="shared" ref="V261:V324" si="182">AA261*$V$3</f>
        <v>#VALUE!</v>
      </c>
      <c r="W261" s="148" t="e">
        <f t="shared" ref="W261:W324" si="183">AA261*$W$3</f>
        <v>#VALUE!</v>
      </c>
      <c r="X261" s="148" t="e">
        <f t="shared" ref="X261:X324" si="184">AA261*$X$3</f>
        <v>#VALUE!</v>
      </c>
      <c r="Y261" s="148" t="e">
        <f t="shared" ref="Y261:Y324" si="185">AA261*$Y$3</f>
        <v>#VALUE!</v>
      </c>
      <c r="Z261" s="148" t="e">
        <f t="shared" ref="Z261:Z324" si="186">AA261*$Z$3</f>
        <v>#VALUE!</v>
      </c>
      <c r="AA261" s="148" t="e">
        <f t="shared" ref="AA261:AA324" si="187">E261*$AA$1</f>
        <v>#VALUE!</v>
      </c>
      <c r="AB261" s="24" t="e">
        <f t="shared" si="164"/>
        <v>#VALUE!</v>
      </c>
      <c r="AC261" s="148" t="e">
        <f t="shared" ref="AC261:AC324" si="188">AI261*$AC$3</f>
        <v>#VALUE!</v>
      </c>
      <c r="AD261" s="148" t="e">
        <f t="shared" ref="AD261:AD324" si="189">AI261*$AD$3</f>
        <v>#VALUE!</v>
      </c>
      <c r="AE261" s="148" t="e">
        <f t="shared" ref="AE261:AE324" si="190">AI261*$AE$3</f>
        <v>#VALUE!</v>
      </c>
      <c r="AF261" s="148" t="e">
        <f t="shared" ref="AF261:AF324" si="191">AI261*$AF$3</f>
        <v>#VALUE!</v>
      </c>
      <c r="AG261" s="148" t="e">
        <f t="shared" ref="AG261:AG324" si="192">AI261*$AG$3</f>
        <v>#VALUE!</v>
      </c>
      <c r="AH261" s="148" t="e">
        <f t="shared" ref="AH261:AH324" si="193">AI261*$AH$3</f>
        <v>#VALUE!</v>
      </c>
      <c r="AI261" s="148" t="e">
        <f t="shared" ref="AI261:AI324" si="194">E261*$AI$1</f>
        <v>#VALUE!</v>
      </c>
      <c r="AJ261" s="20" t="e">
        <f t="shared" si="165"/>
        <v>#VALUE!</v>
      </c>
      <c r="AK261" s="148" t="e">
        <f t="shared" ref="AK261:AK324" si="195">AQ261*$AK$3</f>
        <v>#VALUE!</v>
      </c>
      <c r="AL261" s="148" t="e">
        <f t="shared" ref="AL261:AL324" si="196">AQ261*$AL$3</f>
        <v>#VALUE!</v>
      </c>
      <c r="AM261" s="148" t="e">
        <f t="shared" ref="AM261:AM324" si="197">AQ261*$AM$3</f>
        <v>#VALUE!</v>
      </c>
      <c r="AN261" s="148" t="e">
        <f t="shared" ref="AN261:AN324" si="198">AQ261*$AN$3</f>
        <v>#VALUE!</v>
      </c>
      <c r="AO261" s="148" t="e">
        <f t="shared" ref="AO261:AO324" si="199">AQ261*$AO$3</f>
        <v>#VALUE!</v>
      </c>
      <c r="AP261" s="148" t="e">
        <f t="shared" ref="AP261:AP324" si="200">AQ261*$AP$3</f>
        <v>#VALUE!</v>
      </c>
      <c r="AQ261" s="148" t="e">
        <f t="shared" ref="AQ261:AQ324" si="201">E261*$AQ$1</f>
        <v>#VALUE!</v>
      </c>
      <c r="AR261" s="17" t="e">
        <f t="shared" si="166"/>
        <v>#VALUE!</v>
      </c>
      <c r="AS261" s="148" t="e">
        <f t="shared" ref="AS261:AS324" si="202">L261/1.21</f>
        <v>#VALUE!</v>
      </c>
      <c r="AT261" s="181" t="e">
        <f>INDEX('stock fisico '!N:N, MATCH(B261, 'stock fisico '!B:B, 0))</f>
        <v>#N/A</v>
      </c>
      <c r="AU261" s="179" t="e">
        <f>INDEX('stock fisico '!D:D, MATCH(B261, 'stock fisico '!B:B, 0))</f>
        <v>#N/A</v>
      </c>
      <c r="AV261" s="177" t="e">
        <f>INDEX('stock fisico '!L:L, MATCH(B261, 'stock fisico '!B:B, 0))</f>
        <v>#N/A</v>
      </c>
    </row>
    <row r="262" spans="1:48" x14ac:dyDescent="0.25">
      <c r="A262" s="181" t="e">
        <f>INDEX('stock fisico '!M:M, MATCH(B262, 'stock fisico '!B:B, 0))</f>
        <v>#N/A</v>
      </c>
      <c r="C262" s="179" t="e">
        <f>INDEX('stock fisico '!C:C, MATCH(B262, 'stock fisico '!B:B, 0))</f>
        <v>#N/A</v>
      </c>
      <c r="D262" s="178" t="e">
        <f>INDEX('stock fisico '!I:I, MATCH(B262, 'stock fisico '!B:B, 0))</f>
        <v>#N/A</v>
      </c>
      <c r="E262" s="173" t="e">
        <f t="shared" si="167"/>
        <v>#VALUE!</v>
      </c>
      <c r="F262" s="148" t="e">
        <f t="shared" si="168"/>
        <v>#VALUE!</v>
      </c>
      <c r="G262" s="148" t="e">
        <f t="shared" si="169"/>
        <v>#VALUE!</v>
      </c>
      <c r="H262" s="148" t="e">
        <f t="shared" si="170"/>
        <v>#VALUE!</v>
      </c>
      <c r="I262" s="148" t="e">
        <f t="shared" si="171"/>
        <v>#VALUE!</v>
      </c>
      <c r="J262" s="148" t="e">
        <f t="shared" si="172"/>
        <v>#VALUE!</v>
      </c>
      <c r="K262" s="148" t="e">
        <f t="shared" si="173"/>
        <v>#VALUE!</v>
      </c>
      <c r="L262" s="175" t="e">
        <f t="shared" ref="L262:L325" si="203">F262+H262+J262+E262</f>
        <v>#VALUE!</v>
      </c>
      <c r="M262" s="148" t="e">
        <f t="shared" si="174"/>
        <v>#VALUE!</v>
      </c>
      <c r="N262" s="148" t="e">
        <f t="shared" si="175"/>
        <v>#VALUE!</v>
      </c>
      <c r="O262" s="148" t="e">
        <f t="shared" si="176"/>
        <v>#VALUE!</v>
      </c>
      <c r="P262" s="148" t="e">
        <f t="shared" si="177"/>
        <v>#VALUE!</v>
      </c>
      <c r="Q262" s="148" t="e">
        <f t="shared" si="178"/>
        <v>#VALUE!</v>
      </c>
      <c r="R262" s="148" t="e">
        <f t="shared" si="179"/>
        <v>#VALUE!</v>
      </c>
      <c r="S262" s="148" t="e">
        <f t="shared" si="180"/>
        <v>#VALUE!</v>
      </c>
      <c r="T262" s="174" t="e">
        <f t="shared" ref="T262:T325" si="204">R262+Q262+O262+M262+E262</f>
        <v>#VALUE!</v>
      </c>
      <c r="U262" s="148" t="e">
        <f t="shared" si="181"/>
        <v>#VALUE!</v>
      </c>
      <c r="V262" s="148" t="e">
        <f t="shared" si="182"/>
        <v>#VALUE!</v>
      </c>
      <c r="W262" s="148" t="e">
        <f t="shared" si="183"/>
        <v>#VALUE!</v>
      </c>
      <c r="X262" s="148" t="e">
        <f t="shared" si="184"/>
        <v>#VALUE!</v>
      </c>
      <c r="Y262" s="148" t="e">
        <f t="shared" si="185"/>
        <v>#VALUE!</v>
      </c>
      <c r="Z262" s="148" t="e">
        <f t="shared" si="186"/>
        <v>#VALUE!</v>
      </c>
      <c r="AA262" s="148" t="e">
        <f t="shared" si="187"/>
        <v>#VALUE!</v>
      </c>
      <c r="AB262" s="24" t="e">
        <f t="shared" ref="AB262:AB325" si="205">U262+W262+Y262+Z262+E262</f>
        <v>#VALUE!</v>
      </c>
      <c r="AC262" s="148" t="e">
        <f t="shared" si="188"/>
        <v>#VALUE!</v>
      </c>
      <c r="AD262" s="148" t="e">
        <f t="shared" si="189"/>
        <v>#VALUE!</v>
      </c>
      <c r="AE262" s="148" t="e">
        <f t="shared" si="190"/>
        <v>#VALUE!</v>
      </c>
      <c r="AF262" s="148" t="e">
        <f t="shared" si="191"/>
        <v>#VALUE!</v>
      </c>
      <c r="AG262" s="148" t="e">
        <f t="shared" si="192"/>
        <v>#VALUE!</v>
      </c>
      <c r="AH262" s="148" t="e">
        <f t="shared" si="193"/>
        <v>#VALUE!</v>
      </c>
      <c r="AI262" s="148" t="e">
        <f t="shared" si="194"/>
        <v>#VALUE!</v>
      </c>
      <c r="AJ262" s="20" t="e">
        <f t="shared" ref="AJ262:AJ325" si="206">AC262+AE262+AG262+AH262+E262</f>
        <v>#VALUE!</v>
      </c>
      <c r="AK262" s="148" t="e">
        <f t="shared" si="195"/>
        <v>#VALUE!</v>
      </c>
      <c r="AL262" s="148" t="e">
        <f t="shared" si="196"/>
        <v>#VALUE!</v>
      </c>
      <c r="AM262" s="148" t="e">
        <f t="shared" si="197"/>
        <v>#VALUE!</v>
      </c>
      <c r="AN262" s="148" t="e">
        <f t="shared" si="198"/>
        <v>#VALUE!</v>
      </c>
      <c r="AO262" s="148" t="e">
        <f t="shared" si="199"/>
        <v>#VALUE!</v>
      </c>
      <c r="AP262" s="148" t="e">
        <f t="shared" si="200"/>
        <v>#VALUE!</v>
      </c>
      <c r="AQ262" s="148" t="e">
        <f t="shared" si="201"/>
        <v>#VALUE!</v>
      </c>
      <c r="AR262" s="17" t="e">
        <f t="shared" ref="AR262:AR325" si="207">AK262+AM262+AO262+AP262+E262</f>
        <v>#VALUE!</v>
      </c>
      <c r="AS262" s="148" t="e">
        <f t="shared" si="202"/>
        <v>#VALUE!</v>
      </c>
      <c r="AT262" s="181" t="e">
        <f>INDEX('stock fisico '!N:N, MATCH(B262, 'stock fisico '!B:B, 0))</f>
        <v>#N/A</v>
      </c>
      <c r="AU262" s="179" t="e">
        <f>INDEX('stock fisico '!D:D, MATCH(B262, 'stock fisico '!B:B, 0))</f>
        <v>#N/A</v>
      </c>
      <c r="AV262" s="177" t="e">
        <f>INDEX('stock fisico '!L:L, MATCH(B262, 'stock fisico '!B:B, 0))</f>
        <v>#N/A</v>
      </c>
    </row>
    <row r="263" spans="1:48" x14ac:dyDescent="0.25">
      <c r="A263" s="181" t="e">
        <f>INDEX('stock fisico '!M:M, MATCH(B263, 'stock fisico '!B:B, 0))</f>
        <v>#N/A</v>
      </c>
      <c r="C263" s="179" t="e">
        <f>INDEX('stock fisico '!C:C, MATCH(B263, 'stock fisico '!B:B, 0))</f>
        <v>#N/A</v>
      </c>
      <c r="D263" s="178" t="e">
        <f>INDEX('stock fisico '!I:I, MATCH(B263, 'stock fisico '!B:B, 0))</f>
        <v>#N/A</v>
      </c>
      <c r="E263" s="173" t="e">
        <f t="shared" ref="E263:E326" si="208">PrecioConMargen(D263,B263, AV263, AU263, AT263)</f>
        <v>#VALUE!</v>
      </c>
      <c r="F263" s="148" t="e">
        <f t="shared" si="168"/>
        <v>#VALUE!</v>
      </c>
      <c r="G263" s="148" t="e">
        <f t="shared" si="169"/>
        <v>#VALUE!</v>
      </c>
      <c r="H263" s="148" t="e">
        <f t="shared" si="170"/>
        <v>#VALUE!</v>
      </c>
      <c r="I263" s="148" t="e">
        <f t="shared" si="171"/>
        <v>#VALUE!</v>
      </c>
      <c r="J263" s="148" t="e">
        <f t="shared" si="172"/>
        <v>#VALUE!</v>
      </c>
      <c r="K263" s="148" t="e">
        <f t="shared" si="173"/>
        <v>#VALUE!</v>
      </c>
      <c r="L263" s="175" t="e">
        <f t="shared" si="203"/>
        <v>#VALUE!</v>
      </c>
      <c r="M263" s="148" t="e">
        <f t="shared" si="174"/>
        <v>#VALUE!</v>
      </c>
      <c r="N263" s="148" t="e">
        <f t="shared" si="175"/>
        <v>#VALUE!</v>
      </c>
      <c r="O263" s="148" t="e">
        <f t="shared" si="176"/>
        <v>#VALUE!</v>
      </c>
      <c r="P263" s="148" t="e">
        <f t="shared" si="177"/>
        <v>#VALUE!</v>
      </c>
      <c r="Q263" s="148" t="e">
        <f t="shared" si="178"/>
        <v>#VALUE!</v>
      </c>
      <c r="R263" s="148" t="e">
        <f t="shared" si="179"/>
        <v>#VALUE!</v>
      </c>
      <c r="S263" s="148" t="e">
        <f t="shared" si="180"/>
        <v>#VALUE!</v>
      </c>
      <c r="T263" s="174" t="e">
        <f t="shared" si="204"/>
        <v>#VALUE!</v>
      </c>
      <c r="U263" s="148" t="e">
        <f t="shared" si="181"/>
        <v>#VALUE!</v>
      </c>
      <c r="V263" s="148" t="e">
        <f t="shared" si="182"/>
        <v>#VALUE!</v>
      </c>
      <c r="W263" s="148" t="e">
        <f t="shared" si="183"/>
        <v>#VALUE!</v>
      </c>
      <c r="X263" s="148" t="e">
        <f t="shared" si="184"/>
        <v>#VALUE!</v>
      </c>
      <c r="Y263" s="148" t="e">
        <f t="shared" si="185"/>
        <v>#VALUE!</v>
      </c>
      <c r="Z263" s="148" t="e">
        <f t="shared" si="186"/>
        <v>#VALUE!</v>
      </c>
      <c r="AA263" s="148" t="e">
        <f t="shared" si="187"/>
        <v>#VALUE!</v>
      </c>
      <c r="AB263" s="24" t="e">
        <f t="shared" si="205"/>
        <v>#VALUE!</v>
      </c>
      <c r="AC263" s="148" t="e">
        <f t="shared" si="188"/>
        <v>#VALUE!</v>
      </c>
      <c r="AD263" s="148" t="e">
        <f t="shared" si="189"/>
        <v>#VALUE!</v>
      </c>
      <c r="AE263" s="148" t="e">
        <f t="shared" si="190"/>
        <v>#VALUE!</v>
      </c>
      <c r="AF263" s="148" t="e">
        <f t="shared" si="191"/>
        <v>#VALUE!</v>
      </c>
      <c r="AG263" s="148" t="e">
        <f t="shared" si="192"/>
        <v>#VALUE!</v>
      </c>
      <c r="AH263" s="148" t="e">
        <f t="shared" si="193"/>
        <v>#VALUE!</v>
      </c>
      <c r="AI263" s="148" t="e">
        <f t="shared" si="194"/>
        <v>#VALUE!</v>
      </c>
      <c r="AJ263" s="20" t="e">
        <f t="shared" si="206"/>
        <v>#VALUE!</v>
      </c>
      <c r="AK263" s="148" t="e">
        <f t="shared" si="195"/>
        <v>#VALUE!</v>
      </c>
      <c r="AL263" s="148" t="e">
        <f t="shared" si="196"/>
        <v>#VALUE!</v>
      </c>
      <c r="AM263" s="148" t="e">
        <f t="shared" si="197"/>
        <v>#VALUE!</v>
      </c>
      <c r="AN263" s="148" t="e">
        <f t="shared" si="198"/>
        <v>#VALUE!</v>
      </c>
      <c r="AO263" s="148" t="e">
        <f t="shared" si="199"/>
        <v>#VALUE!</v>
      </c>
      <c r="AP263" s="148" t="e">
        <f t="shared" si="200"/>
        <v>#VALUE!</v>
      </c>
      <c r="AQ263" s="148" t="e">
        <f t="shared" si="201"/>
        <v>#VALUE!</v>
      </c>
      <c r="AR263" s="17" t="e">
        <f t="shared" si="207"/>
        <v>#VALUE!</v>
      </c>
      <c r="AS263" s="148" t="e">
        <f t="shared" si="202"/>
        <v>#VALUE!</v>
      </c>
      <c r="AT263" s="181" t="e">
        <f>INDEX('stock fisico '!N:N, MATCH(B263, 'stock fisico '!B:B, 0))</f>
        <v>#N/A</v>
      </c>
      <c r="AU263" s="179" t="e">
        <f>INDEX('stock fisico '!D:D, MATCH(B263, 'stock fisico '!B:B, 0))</f>
        <v>#N/A</v>
      </c>
      <c r="AV263" s="177" t="e">
        <f>INDEX('stock fisico '!L:L, MATCH(B263, 'stock fisico '!B:B, 0))</f>
        <v>#N/A</v>
      </c>
    </row>
    <row r="264" spans="1:48" x14ac:dyDescent="0.25">
      <c r="A264" s="181" t="e">
        <f>INDEX('stock fisico '!M:M, MATCH(B264, 'stock fisico '!B:B, 0))</f>
        <v>#N/A</v>
      </c>
      <c r="C264" s="179" t="e">
        <f>INDEX('stock fisico '!C:C, MATCH(B264, 'stock fisico '!B:B, 0))</f>
        <v>#N/A</v>
      </c>
      <c r="D264" s="178" t="e">
        <f>INDEX('stock fisico '!I:I, MATCH(B264, 'stock fisico '!B:B, 0))</f>
        <v>#N/A</v>
      </c>
      <c r="E264" s="173" t="e">
        <f t="shared" si="208"/>
        <v>#VALUE!</v>
      </c>
      <c r="F264" s="148" t="e">
        <f t="shared" si="168"/>
        <v>#VALUE!</v>
      </c>
      <c r="G264" s="148" t="e">
        <f t="shared" si="169"/>
        <v>#VALUE!</v>
      </c>
      <c r="H264" s="148" t="e">
        <f t="shared" si="170"/>
        <v>#VALUE!</v>
      </c>
      <c r="I264" s="148" t="e">
        <f t="shared" si="171"/>
        <v>#VALUE!</v>
      </c>
      <c r="J264" s="148" t="e">
        <f t="shared" si="172"/>
        <v>#VALUE!</v>
      </c>
      <c r="K264" s="148" t="e">
        <f t="shared" si="173"/>
        <v>#VALUE!</v>
      </c>
      <c r="L264" s="175" t="e">
        <f t="shared" si="203"/>
        <v>#VALUE!</v>
      </c>
      <c r="M264" s="148" t="e">
        <f t="shared" si="174"/>
        <v>#VALUE!</v>
      </c>
      <c r="N264" s="148" t="e">
        <f t="shared" si="175"/>
        <v>#VALUE!</v>
      </c>
      <c r="O264" s="148" t="e">
        <f t="shared" si="176"/>
        <v>#VALUE!</v>
      </c>
      <c r="P264" s="148" t="e">
        <f t="shared" si="177"/>
        <v>#VALUE!</v>
      </c>
      <c r="Q264" s="148" t="e">
        <f t="shared" si="178"/>
        <v>#VALUE!</v>
      </c>
      <c r="R264" s="148" t="e">
        <f t="shared" si="179"/>
        <v>#VALUE!</v>
      </c>
      <c r="S264" s="148" t="e">
        <f t="shared" si="180"/>
        <v>#VALUE!</v>
      </c>
      <c r="T264" s="174" t="e">
        <f t="shared" si="204"/>
        <v>#VALUE!</v>
      </c>
      <c r="U264" s="148" t="e">
        <f t="shared" si="181"/>
        <v>#VALUE!</v>
      </c>
      <c r="V264" s="148" t="e">
        <f t="shared" si="182"/>
        <v>#VALUE!</v>
      </c>
      <c r="W264" s="148" t="e">
        <f t="shared" si="183"/>
        <v>#VALUE!</v>
      </c>
      <c r="X264" s="148" t="e">
        <f t="shared" si="184"/>
        <v>#VALUE!</v>
      </c>
      <c r="Y264" s="148" t="e">
        <f t="shared" si="185"/>
        <v>#VALUE!</v>
      </c>
      <c r="Z264" s="148" t="e">
        <f t="shared" si="186"/>
        <v>#VALUE!</v>
      </c>
      <c r="AA264" s="148" t="e">
        <f t="shared" si="187"/>
        <v>#VALUE!</v>
      </c>
      <c r="AB264" s="24" t="e">
        <f t="shared" si="205"/>
        <v>#VALUE!</v>
      </c>
      <c r="AC264" s="148" t="e">
        <f t="shared" si="188"/>
        <v>#VALUE!</v>
      </c>
      <c r="AD264" s="148" t="e">
        <f t="shared" si="189"/>
        <v>#VALUE!</v>
      </c>
      <c r="AE264" s="148" t="e">
        <f t="shared" si="190"/>
        <v>#VALUE!</v>
      </c>
      <c r="AF264" s="148" t="e">
        <f t="shared" si="191"/>
        <v>#VALUE!</v>
      </c>
      <c r="AG264" s="148" t="e">
        <f t="shared" si="192"/>
        <v>#VALUE!</v>
      </c>
      <c r="AH264" s="148" t="e">
        <f t="shared" si="193"/>
        <v>#VALUE!</v>
      </c>
      <c r="AI264" s="148" t="e">
        <f t="shared" si="194"/>
        <v>#VALUE!</v>
      </c>
      <c r="AJ264" s="20" t="e">
        <f t="shared" si="206"/>
        <v>#VALUE!</v>
      </c>
      <c r="AK264" s="148" t="e">
        <f t="shared" si="195"/>
        <v>#VALUE!</v>
      </c>
      <c r="AL264" s="148" t="e">
        <f t="shared" si="196"/>
        <v>#VALUE!</v>
      </c>
      <c r="AM264" s="148" t="e">
        <f t="shared" si="197"/>
        <v>#VALUE!</v>
      </c>
      <c r="AN264" s="148" t="e">
        <f t="shared" si="198"/>
        <v>#VALUE!</v>
      </c>
      <c r="AO264" s="148" t="e">
        <f t="shared" si="199"/>
        <v>#VALUE!</v>
      </c>
      <c r="AP264" s="148" t="e">
        <f t="shared" si="200"/>
        <v>#VALUE!</v>
      </c>
      <c r="AQ264" s="148" t="e">
        <f t="shared" si="201"/>
        <v>#VALUE!</v>
      </c>
      <c r="AR264" s="17" t="e">
        <f t="shared" si="207"/>
        <v>#VALUE!</v>
      </c>
      <c r="AS264" s="148" t="e">
        <f t="shared" si="202"/>
        <v>#VALUE!</v>
      </c>
      <c r="AT264" s="181" t="e">
        <f>INDEX('stock fisico '!N:N, MATCH(B264, 'stock fisico '!B:B, 0))</f>
        <v>#N/A</v>
      </c>
      <c r="AU264" s="179" t="e">
        <f>INDEX('stock fisico '!D:D, MATCH(B264, 'stock fisico '!B:B, 0))</f>
        <v>#N/A</v>
      </c>
      <c r="AV264" s="177" t="e">
        <f>INDEX('stock fisico '!L:L, MATCH(B264, 'stock fisico '!B:B, 0))</f>
        <v>#N/A</v>
      </c>
    </row>
    <row r="265" spans="1:48" x14ac:dyDescent="0.25">
      <c r="A265" s="181" t="e">
        <f>INDEX('stock fisico '!M:M, MATCH(B265, 'stock fisico '!B:B, 0))</f>
        <v>#N/A</v>
      </c>
      <c r="C265" s="179" t="e">
        <f>INDEX('stock fisico '!C:C, MATCH(B265, 'stock fisico '!B:B, 0))</f>
        <v>#N/A</v>
      </c>
      <c r="D265" s="178" t="e">
        <f>INDEX('stock fisico '!I:I, MATCH(B265, 'stock fisico '!B:B, 0))</f>
        <v>#N/A</v>
      </c>
      <c r="E265" s="173" t="e">
        <f t="shared" si="208"/>
        <v>#VALUE!</v>
      </c>
      <c r="F265" s="148" t="e">
        <f t="shared" si="168"/>
        <v>#VALUE!</v>
      </c>
      <c r="G265" s="148" t="e">
        <f t="shared" si="169"/>
        <v>#VALUE!</v>
      </c>
      <c r="H265" s="148" t="e">
        <f t="shared" si="170"/>
        <v>#VALUE!</v>
      </c>
      <c r="I265" s="148" t="e">
        <f t="shared" si="171"/>
        <v>#VALUE!</v>
      </c>
      <c r="J265" s="148" t="e">
        <f t="shared" si="172"/>
        <v>#VALUE!</v>
      </c>
      <c r="K265" s="148" t="e">
        <f t="shared" si="173"/>
        <v>#VALUE!</v>
      </c>
      <c r="L265" s="175" t="e">
        <f t="shared" si="203"/>
        <v>#VALUE!</v>
      </c>
      <c r="M265" s="148" t="e">
        <f t="shared" si="174"/>
        <v>#VALUE!</v>
      </c>
      <c r="N265" s="148" t="e">
        <f t="shared" si="175"/>
        <v>#VALUE!</v>
      </c>
      <c r="O265" s="148" t="e">
        <f t="shared" si="176"/>
        <v>#VALUE!</v>
      </c>
      <c r="P265" s="148" t="e">
        <f t="shared" si="177"/>
        <v>#VALUE!</v>
      </c>
      <c r="Q265" s="148" t="e">
        <f t="shared" si="178"/>
        <v>#VALUE!</v>
      </c>
      <c r="R265" s="148" t="e">
        <f t="shared" si="179"/>
        <v>#VALUE!</v>
      </c>
      <c r="S265" s="148" t="e">
        <f t="shared" si="180"/>
        <v>#VALUE!</v>
      </c>
      <c r="T265" s="174" t="e">
        <f t="shared" si="204"/>
        <v>#VALUE!</v>
      </c>
      <c r="U265" s="148" t="e">
        <f t="shared" si="181"/>
        <v>#VALUE!</v>
      </c>
      <c r="V265" s="148" t="e">
        <f t="shared" si="182"/>
        <v>#VALUE!</v>
      </c>
      <c r="W265" s="148" t="e">
        <f t="shared" si="183"/>
        <v>#VALUE!</v>
      </c>
      <c r="X265" s="148" t="e">
        <f t="shared" si="184"/>
        <v>#VALUE!</v>
      </c>
      <c r="Y265" s="148" t="e">
        <f t="shared" si="185"/>
        <v>#VALUE!</v>
      </c>
      <c r="Z265" s="148" t="e">
        <f t="shared" si="186"/>
        <v>#VALUE!</v>
      </c>
      <c r="AA265" s="148" t="e">
        <f t="shared" si="187"/>
        <v>#VALUE!</v>
      </c>
      <c r="AB265" s="24" t="e">
        <f t="shared" si="205"/>
        <v>#VALUE!</v>
      </c>
      <c r="AC265" s="148" t="e">
        <f t="shared" si="188"/>
        <v>#VALUE!</v>
      </c>
      <c r="AD265" s="148" t="e">
        <f t="shared" si="189"/>
        <v>#VALUE!</v>
      </c>
      <c r="AE265" s="148" t="e">
        <f t="shared" si="190"/>
        <v>#VALUE!</v>
      </c>
      <c r="AF265" s="148" t="e">
        <f t="shared" si="191"/>
        <v>#VALUE!</v>
      </c>
      <c r="AG265" s="148" t="e">
        <f t="shared" si="192"/>
        <v>#VALUE!</v>
      </c>
      <c r="AH265" s="148" t="e">
        <f t="shared" si="193"/>
        <v>#VALUE!</v>
      </c>
      <c r="AI265" s="148" t="e">
        <f t="shared" si="194"/>
        <v>#VALUE!</v>
      </c>
      <c r="AJ265" s="20" t="e">
        <f t="shared" si="206"/>
        <v>#VALUE!</v>
      </c>
      <c r="AK265" s="148" t="e">
        <f t="shared" si="195"/>
        <v>#VALUE!</v>
      </c>
      <c r="AL265" s="148" t="e">
        <f t="shared" si="196"/>
        <v>#VALUE!</v>
      </c>
      <c r="AM265" s="148" t="e">
        <f t="shared" si="197"/>
        <v>#VALUE!</v>
      </c>
      <c r="AN265" s="148" t="e">
        <f t="shared" si="198"/>
        <v>#VALUE!</v>
      </c>
      <c r="AO265" s="148" t="e">
        <f t="shared" si="199"/>
        <v>#VALUE!</v>
      </c>
      <c r="AP265" s="148" t="e">
        <f t="shared" si="200"/>
        <v>#VALUE!</v>
      </c>
      <c r="AQ265" s="148" t="e">
        <f t="shared" si="201"/>
        <v>#VALUE!</v>
      </c>
      <c r="AR265" s="17" t="e">
        <f t="shared" si="207"/>
        <v>#VALUE!</v>
      </c>
      <c r="AS265" s="148" t="e">
        <f t="shared" si="202"/>
        <v>#VALUE!</v>
      </c>
      <c r="AT265" s="181" t="e">
        <f>INDEX('stock fisico '!N:N, MATCH(B265, 'stock fisico '!B:B, 0))</f>
        <v>#N/A</v>
      </c>
      <c r="AU265" s="179" t="e">
        <f>INDEX('stock fisico '!D:D, MATCH(B265, 'stock fisico '!B:B, 0))</f>
        <v>#N/A</v>
      </c>
      <c r="AV265" s="177" t="e">
        <f>INDEX('stock fisico '!L:L, MATCH(B265, 'stock fisico '!B:B, 0))</f>
        <v>#N/A</v>
      </c>
    </row>
    <row r="266" spans="1:48" x14ac:dyDescent="0.25">
      <c r="A266" s="181" t="e">
        <f>INDEX('stock fisico '!M:M, MATCH(B266, 'stock fisico '!B:B, 0))</f>
        <v>#N/A</v>
      </c>
      <c r="C266" s="179" t="e">
        <f>INDEX('stock fisico '!C:C, MATCH(B266, 'stock fisico '!B:B, 0))</f>
        <v>#N/A</v>
      </c>
      <c r="D266" s="178" t="e">
        <f>INDEX('stock fisico '!I:I, MATCH(B266, 'stock fisico '!B:B, 0))</f>
        <v>#N/A</v>
      </c>
      <c r="E266" s="173" t="e">
        <f t="shared" si="208"/>
        <v>#VALUE!</v>
      </c>
      <c r="F266" s="148" t="e">
        <f t="shared" si="168"/>
        <v>#VALUE!</v>
      </c>
      <c r="G266" s="148" t="e">
        <f t="shared" si="169"/>
        <v>#VALUE!</v>
      </c>
      <c r="H266" s="148" t="e">
        <f t="shared" si="170"/>
        <v>#VALUE!</v>
      </c>
      <c r="I266" s="148" t="e">
        <f t="shared" si="171"/>
        <v>#VALUE!</v>
      </c>
      <c r="J266" s="148" t="e">
        <f t="shared" si="172"/>
        <v>#VALUE!</v>
      </c>
      <c r="K266" s="148" t="e">
        <f t="shared" si="173"/>
        <v>#VALUE!</v>
      </c>
      <c r="L266" s="175" t="e">
        <f t="shared" si="203"/>
        <v>#VALUE!</v>
      </c>
      <c r="M266" s="148" t="e">
        <f t="shared" si="174"/>
        <v>#VALUE!</v>
      </c>
      <c r="N266" s="148" t="e">
        <f t="shared" si="175"/>
        <v>#VALUE!</v>
      </c>
      <c r="O266" s="148" t="e">
        <f t="shared" si="176"/>
        <v>#VALUE!</v>
      </c>
      <c r="P266" s="148" t="e">
        <f t="shared" si="177"/>
        <v>#VALUE!</v>
      </c>
      <c r="Q266" s="148" t="e">
        <f t="shared" si="178"/>
        <v>#VALUE!</v>
      </c>
      <c r="R266" s="148" t="e">
        <f t="shared" si="179"/>
        <v>#VALUE!</v>
      </c>
      <c r="S266" s="148" t="e">
        <f t="shared" si="180"/>
        <v>#VALUE!</v>
      </c>
      <c r="T266" s="174" t="e">
        <f t="shared" si="204"/>
        <v>#VALUE!</v>
      </c>
      <c r="U266" s="148" t="e">
        <f t="shared" si="181"/>
        <v>#VALUE!</v>
      </c>
      <c r="V266" s="148" t="e">
        <f t="shared" si="182"/>
        <v>#VALUE!</v>
      </c>
      <c r="W266" s="148" t="e">
        <f t="shared" si="183"/>
        <v>#VALUE!</v>
      </c>
      <c r="X266" s="148" t="e">
        <f t="shared" si="184"/>
        <v>#VALUE!</v>
      </c>
      <c r="Y266" s="148" t="e">
        <f t="shared" si="185"/>
        <v>#VALUE!</v>
      </c>
      <c r="Z266" s="148" t="e">
        <f t="shared" si="186"/>
        <v>#VALUE!</v>
      </c>
      <c r="AA266" s="148" t="e">
        <f t="shared" si="187"/>
        <v>#VALUE!</v>
      </c>
      <c r="AB266" s="24" t="e">
        <f t="shared" si="205"/>
        <v>#VALUE!</v>
      </c>
      <c r="AC266" s="148" t="e">
        <f t="shared" si="188"/>
        <v>#VALUE!</v>
      </c>
      <c r="AD266" s="148" t="e">
        <f t="shared" si="189"/>
        <v>#VALUE!</v>
      </c>
      <c r="AE266" s="148" t="e">
        <f t="shared" si="190"/>
        <v>#VALUE!</v>
      </c>
      <c r="AF266" s="148" t="e">
        <f t="shared" si="191"/>
        <v>#VALUE!</v>
      </c>
      <c r="AG266" s="148" t="e">
        <f t="shared" si="192"/>
        <v>#VALUE!</v>
      </c>
      <c r="AH266" s="148" t="e">
        <f t="shared" si="193"/>
        <v>#VALUE!</v>
      </c>
      <c r="AI266" s="148" t="e">
        <f t="shared" si="194"/>
        <v>#VALUE!</v>
      </c>
      <c r="AJ266" s="20" t="e">
        <f t="shared" si="206"/>
        <v>#VALUE!</v>
      </c>
      <c r="AK266" s="148" t="e">
        <f t="shared" si="195"/>
        <v>#VALUE!</v>
      </c>
      <c r="AL266" s="148" t="e">
        <f t="shared" si="196"/>
        <v>#VALUE!</v>
      </c>
      <c r="AM266" s="148" t="e">
        <f t="shared" si="197"/>
        <v>#VALUE!</v>
      </c>
      <c r="AN266" s="148" t="e">
        <f t="shared" si="198"/>
        <v>#VALUE!</v>
      </c>
      <c r="AO266" s="148" t="e">
        <f t="shared" si="199"/>
        <v>#VALUE!</v>
      </c>
      <c r="AP266" s="148" t="e">
        <f t="shared" si="200"/>
        <v>#VALUE!</v>
      </c>
      <c r="AQ266" s="148" t="e">
        <f t="shared" si="201"/>
        <v>#VALUE!</v>
      </c>
      <c r="AR266" s="17" t="e">
        <f t="shared" si="207"/>
        <v>#VALUE!</v>
      </c>
      <c r="AS266" s="148" t="e">
        <f t="shared" si="202"/>
        <v>#VALUE!</v>
      </c>
      <c r="AT266" s="181" t="e">
        <f>INDEX('stock fisico '!N:N, MATCH(B266, 'stock fisico '!B:B, 0))</f>
        <v>#N/A</v>
      </c>
      <c r="AU266" s="179" t="e">
        <f>INDEX('stock fisico '!D:D, MATCH(B266, 'stock fisico '!B:B, 0))</f>
        <v>#N/A</v>
      </c>
      <c r="AV266" s="177" t="e">
        <f>INDEX('stock fisico '!L:L, MATCH(B266, 'stock fisico '!B:B, 0))</f>
        <v>#N/A</v>
      </c>
    </row>
    <row r="267" spans="1:48" x14ac:dyDescent="0.25">
      <c r="A267" s="181" t="e">
        <f>INDEX('stock fisico '!M:M, MATCH(B267, 'stock fisico '!B:B, 0))</f>
        <v>#N/A</v>
      </c>
      <c r="C267" s="179" t="e">
        <f>INDEX('stock fisico '!C:C, MATCH(B267, 'stock fisico '!B:B, 0))</f>
        <v>#N/A</v>
      </c>
      <c r="D267" s="178" t="e">
        <f>INDEX('stock fisico '!I:I, MATCH(B267, 'stock fisico '!B:B, 0))</f>
        <v>#N/A</v>
      </c>
      <c r="E267" s="173" t="e">
        <f t="shared" si="208"/>
        <v>#VALUE!</v>
      </c>
      <c r="F267" s="148" t="e">
        <f t="shared" si="168"/>
        <v>#VALUE!</v>
      </c>
      <c r="G267" s="148" t="e">
        <f t="shared" si="169"/>
        <v>#VALUE!</v>
      </c>
      <c r="H267" s="148" t="e">
        <f t="shared" si="170"/>
        <v>#VALUE!</v>
      </c>
      <c r="I267" s="148" t="e">
        <f t="shared" si="171"/>
        <v>#VALUE!</v>
      </c>
      <c r="J267" s="148" t="e">
        <f t="shared" si="172"/>
        <v>#VALUE!</v>
      </c>
      <c r="K267" s="148" t="e">
        <f t="shared" si="173"/>
        <v>#VALUE!</v>
      </c>
      <c r="L267" s="175" t="e">
        <f t="shared" si="203"/>
        <v>#VALUE!</v>
      </c>
      <c r="M267" s="148" t="e">
        <f t="shared" si="174"/>
        <v>#VALUE!</v>
      </c>
      <c r="N267" s="148" t="e">
        <f t="shared" si="175"/>
        <v>#VALUE!</v>
      </c>
      <c r="O267" s="148" t="e">
        <f t="shared" si="176"/>
        <v>#VALUE!</v>
      </c>
      <c r="P267" s="148" t="e">
        <f t="shared" si="177"/>
        <v>#VALUE!</v>
      </c>
      <c r="Q267" s="148" t="e">
        <f t="shared" si="178"/>
        <v>#VALUE!</v>
      </c>
      <c r="R267" s="148" t="e">
        <f t="shared" si="179"/>
        <v>#VALUE!</v>
      </c>
      <c r="S267" s="148" t="e">
        <f t="shared" si="180"/>
        <v>#VALUE!</v>
      </c>
      <c r="T267" s="174" t="e">
        <f t="shared" si="204"/>
        <v>#VALUE!</v>
      </c>
      <c r="U267" s="148" t="e">
        <f t="shared" si="181"/>
        <v>#VALUE!</v>
      </c>
      <c r="V267" s="148" t="e">
        <f t="shared" si="182"/>
        <v>#VALUE!</v>
      </c>
      <c r="W267" s="148" t="e">
        <f t="shared" si="183"/>
        <v>#VALUE!</v>
      </c>
      <c r="X267" s="148" t="e">
        <f t="shared" si="184"/>
        <v>#VALUE!</v>
      </c>
      <c r="Y267" s="148" t="e">
        <f t="shared" si="185"/>
        <v>#VALUE!</v>
      </c>
      <c r="Z267" s="148" t="e">
        <f t="shared" si="186"/>
        <v>#VALUE!</v>
      </c>
      <c r="AA267" s="148" t="e">
        <f t="shared" si="187"/>
        <v>#VALUE!</v>
      </c>
      <c r="AB267" s="24" t="e">
        <f t="shared" si="205"/>
        <v>#VALUE!</v>
      </c>
      <c r="AC267" s="148" t="e">
        <f t="shared" si="188"/>
        <v>#VALUE!</v>
      </c>
      <c r="AD267" s="148" t="e">
        <f t="shared" si="189"/>
        <v>#VALUE!</v>
      </c>
      <c r="AE267" s="148" t="e">
        <f t="shared" si="190"/>
        <v>#VALUE!</v>
      </c>
      <c r="AF267" s="148" t="e">
        <f t="shared" si="191"/>
        <v>#VALUE!</v>
      </c>
      <c r="AG267" s="148" t="e">
        <f t="shared" si="192"/>
        <v>#VALUE!</v>
      </c>
      <c r="AH267" s="148" t="e">
        <f t="shared" si="193"/>
        <v>#VALUE!</v>
      </c>
      <c r="AI267" s="148" t="e">
        <f t="shared" si="194"/>
        <v>#VALUE!</v>
      </c>
      <c r="AJ267" s="20" t="e">
        <f t="shared" si="206"/>
        <v>#VALUE!</v>
      </c>
      <c r="AK267" s="148" t="e">
        <f t="shared" si="195"/>
        <v>#VALUE!</v>
      </c>
      <c r="AL267" s="148" t="e">
        <f t="shared" si="196"/>
        <v>#VALUE!</v>
      </c>
      <c r="AM267" s="148" t="e">
        <f t="shared" si="197"/>
        <v>#VALUE!</v>
      </c>
      <c r="AN267" s="148" t="e">
        <f t="shared" si="198"/>
        <v>#VALUE!</v>
      </c>
      <c r="AO267" s="148" t="e">
        <f t="shared" si="199"/>
        <v>#VALUE!</v>
      </c>
      <c r="AP267" s="148" t="e">
        <f t="shared" si="200"/>
        <v>#VALUE!</v>
      </c>
      <c r="AQ267" s="148" t="e">
        <f t="shared" si="201"/>
        <v>#VALUE!</v>
      </c>
      <c r="AR267" s="17" t="e">
        <f t="shared" si="207"/>
        <v>#VALUE!</v>
      </c>
      <c r="AS267" s="148" t="e">
        <f t="shared" si="202"/>
        <v>#VALUE!</v>
      </c>
      <c r="AT267" s="181" t="e">
        <f>INDEX('stock fisico '!N:N, MATCH(B267, 'stock fisico '!B:B, 0))</f>
        <v>#N/A</v>
      </c>
      <c r="AU267" s="179" t="e">
        <f>INDEX('stock fisico '!D:D, MATCH(B267, 'stock fisico '!B:B, 0))</f>
        <v>#N/A</v>
      </c>
      <c r="AV267" s="177" t="e">
        <f>INDEX('stock fisico '!L:L, MATCH(B267, 'stock fisico '!B:B, 0))</f>
        <v>#N/A</v>
      </c>
    </row>
    <row r="268" spans="1:48" x14ac:dyDescent="0.25">
      <c r="A268" s="181" t="e">
        <f>INDEX('stock fisico '!M:M, MATCH(B268, 'stock fisico '!B:B, 0))</f>
        <v>#N/A</v>
      </c>
      <c r="C268" s="179" t="e">
        <f>INDEX('stock fisico '!C:C, MATCH(B268, 'stock fisico '!B:B, 0))</f>
        <v>#N/A</v>
      </c>
      <c r="D268" s="178" t="e">
        <f>INDEX('stock fisico '!I:I, MATCH(B268, 'stock fisico '!B:B, 0))</f>
        <v>#N/A</v>
      </c>
      <c r="E268" s="173" t="e">
        <f t="shared" si="208"/>
        <v>#VALUE!</v>
      </c>
      <c r="F268" s="148" t="e">
        <f t="shared" si="168"/>
        <v>#VALUE!</v>
      </c>
      <c r="G268" s="148" t="e">
        <f t="shared" si="169"/>
        <v>#VALUE!</v>
      </c>
      <c r="H268" s="148" t="e">
        <f t="shared" si="170"/>
        <v>#VALUE!</v>
      </c>
      <c r="I268" s="148" t="e">
        <f t="shared" si="171"/>
        <v>#VALUE!</v>
      </c>
      <c r="J268" s="148" t="e">
        <f t="shared" si="172"/>
        <v>#VALUE!</v>
      </c>
      <c r="K268" s="148" t="e">
        <f t="shared" si="173"/>
        <v>#VALUE!</v>
      </c>
      <c r="L268" s="175" t="e">
        <f t="shared" si="203"/>
        <v>#VALUE!</v>
      </c>
      <c r="M268" s="148" t="e">
        <f t="shared" si="174"/>
        <v>#VALUE!</v>
      </c>
      <c r="N268" s="148" t="e">
        <f t="shared" si="175"/>
        <v>#VALUE!</v>
      </c>
      <c r="O268" s="148" t="e">
        <f t="shared" si="176"/>
        <v>#VALUE!</v>
      </c>
      <c r="P268" s="148" t="e">
        <f t="shared" si="177"/>
        <v>#VALUE!</v>
      </c>
      <c r="Q268" s="148" t="e">
        <f t="shared" si="178"/>
        <v>#VALUE!</v>
      </c>
      <c r="R268" s="148" t="e">
        <f t="shared" si="179"/>
        <v>#VALUE!</v>
      </c>
      <c r="S268" s="148" t="e">
        <f t="shared" si="180"/>
        <v>#VALUE!</v>
      </c>
      <c r="T268" s="174" t="e">
        <f t="shared" si="204"/>
        <v>#VALUE!</v>
      </c>
      <c r="U268" s="148" t="e">
        <f t="shared" si="181"/>
        <v>#VALUE!</v>
      </c>
      <c r="V268" s="148" t="e">
        <f t="shared" si="182"/>
        <v>#VALUE!</v>
      </c>
      <c r="W268" s="148" t="e">
        <f t="shared" si="183"/>
        <v>#VALUE!</v>
      </c>
      <c r="X268" s="148" t="e">
        <f t="shared" si="184"/>
        <v>#VALUE!</v>
      </c>
      <c r="Y268" s="148" t="e">
        <f t="shared" si="185"/>
        <v>#VALUE!</v>
      </c>
      <c r="Z268" s="148" t="e">
        <f t="shared" si="186"/>
        <v>#VALUE!</v>
      </c>
      <c r="AA268" s="148" t="e">
        <f t="shared" si="187"/>
        <v>#VALUE!</v>
      </c>
      <c r="AB268" s="24" t="e">
        <f t="shared" si="205"/>
        <v>#VALUE!</v>
      </c>
      <c r="AC268" s="148" t="e">
        <f t="shared" si="188"/>
        <v>#VALUE!</v>
      </c>
      <c r="AD268" s="148" t="e">
        <f t="shared" si="189"/>
        <v>#VALUE!</v>
      </c>
      <c r="AE268" s="148" t="e">
        <f t="shared" si="190"/>
        <v>#VALUE!</v>
      </c>
      <c r="AF268" s="148" t="e">
        <f t="shared" si="191"/>
        <v>#VALUE!</v>
      </c>
      <c r="AG268" s="148" t="e">
        <f t="shared" si="192"/>
        <v>#VALUE!</v>
      </c>
      <c r="AH268" s="148" t="e">
        <f t="shared" si="193"/>
        <v>#VALUE!</v>
      </c>
      <c r="AI268" s="148" t="e">
        <f t="shared" si="194"/>
        <v>#VALUE!</v>
      </c>
      <c r="AJ268" s="20" t="e">
        <f t="shared" si="206"/>
        <v>#VALUE!</v>
      </c>
      <c r="AK268" s="148" t="e">
        <f t="shared" si="195"/>
        <v>#VALUE!</v>
      </c>
      <c r="AL268" s="148" t="e">
        <f t="shared" si="196"/>
        <v>#VALUE!</v>
      </c>
      <c r="AM268" s="148" t="e">
        <f t="shared" si="197"/>
        <v>#VALUE!</v>
      </c>
      <c r="AN268" s="148" t="e">
        <f t="shared" si="198"/>
        <v>#VALUE!</v>
      </c>
      <c r="AO268" s="148" t="e">
        <f t="shared" si="199"/>
        <v>#VALUE!</v>
      </c>
      <c r="AP268" s="148" t="e">
        <f t="shared" si="200"/>
        <v>#VALUE!</v>
      </c>
      <c r="AQ268" s="148" t="e">
        <f t="shared" si="201"/>
        <v>#VALUE!</v>
      </c>
      <c r="AR268" s="17" t="e">
        <f t="shared" si="207"/>
        <v>#VALUE!</v>
      </c>
      <c r="AS268" s="148" t="e">
        <f t="shared" si="202"/>
        <v>#VALUE!</v>
      </c>
      <c r="AT268" s="181" t="e">
        <f>INDEX('stock fisico '!N:N, MATCH(B268, 'stock fisico '!B:B, 0))</f>
        <v>#N/A</v>
      </c>
      <c r="AU268" s="179" t="e">
        <f>INDEX('stock fisico '!D:D, MATCH(B268, 'stock fisico '!B:B, 0))</f>
        <v>#N/A</v>
      </c>
      <c r="AV268" s="177" t="e">
        <f>INDEX('stock fisico '!L:L, MATCH(B268, 'stock fisico '!B:B, 0))</f>
        <v>#N/A</v>
      </c>
    </row>
    <row r="269" spans="1:48" x14ac:dyDescent="0.25">
      <c r="A269" s="181" t="e">
        <f>INDEX('stock fisico '!M:M, MATCH(B269, 'stock fisico '!B:B, 0))</f>
        <v>#N/A</v>
      </c>
      <c r="C269" s="179" t="e">
        <f>INDEX('stock fisico '!C:C, MATCH(B269, 'stock fisico '!B:B, 0))</f>
        <v>#N/A</v>
      </c>
      <c r="D269" s="178" t="e">
        <f>INDEX('stock fisico '!I:I, MATCH(B269, 'stock fisico '!B:B, 0))</f>
        <v>#N/A</v>
      </c>
      <c r="E269" s="173" t="e">
        <f t="shared" si="208"/>
        <v>#VALUE!</v>
      </c>
      <c r="F269" s="148" t="e">
        <f t="shared" si="168"/>
        <v>#VALUE!</v>
      </c>
      <c r="G269" s="148" t="e">
        <f t="shared" si="169"/>
        <v>#VALUE!</v>
      </c>
      <c r="H269" s="148" t="e">
        <f t="shared" si="170"/>
        <v>#VALUE!</v>
      </c>
      <c r="I269" s="148" t="e">
        <f t="shared" si="171"/>
        <v>#VALUE!</v>
      </c>
      <c r="J269" s="148" t="e">
        <f t="shared" si="172"/>
        <v>#VALUE!</v>
      </c>
      <c r="K269" s="148" t="e">
        <f t="shared" si="173"/>
        <v>#VALUE!</v>
      </c>
      <c r="L269" s="175" t="e">
        <f t="shared" si="203"/>
        <v>#VALUE!</v>
      </c>
      <c r="M269" s="148" t="e">
        <f t="shared" si="174"/>
        <v>#VALUE!</v>
      </c>
      <c r="N269" s="148" t="e">
        <f t="shared" si="175"/>
        <v>#VALUE!</v>
      </c>
      <c r="O269" s="148" t="e">
        <f t="shared" si="176"/>
        <v>#VALUE!</v>
      </c>
      <c r="P269" s="148" t="e">
        <f t="shared" si="177"/>
        <v>#VALUE!</v>
      </c>
      <c r="Q269" s="148" t="e">
        <f t="shared" si="178"/>
        <v>#VALUE!</v>
      </c>
      <c r="R269" s="148" t="e">
        <f t="shared" si="179"/>
        <v>#VALUE!</v>
      </c>
      <c r="S269" s="148" t="e">
        <f t="shared" si="180"/>
        <v>#VALUE!</v>
      </c>
      <c r="T269" s="174" t="e">
        <f t="shared" si="204"/>
        <v>#VALUE!</v>
      </c>
      <c r="U269" s="148" t="e">
        <f t="shared" si="181"/>
        <v>#VALUE!</v>
      </c>
      <c r="V269" s="148" t="e">
        <f t="shared" si="182"/>
        <v>#VALUE!</v>
      </c>
      <c r="W269" s="148" t="e">
        <f t="shared" si="183"/>
        <v>#VALUE!</v>
      </c>
      <c r="X269" s="148" t="e">
        <f t="shared" si="184"/>
        <v>#VALUE!</v>
      </c>
      <c r="Y269" s="148" t="e">
        <f t="shared" si="185"/>
        <v>#VALUE!</v>
      </c>
      <c r="Z269" s="148" t="e">
        <f t="shared" si="186"/>
        <v>#VALUE!</v>
      </c>
      <c r="AA269" s="148" t="e">
        <f t="shared" si="187"/>
        <v>#VALUE!</v>
      </c>
      <c r="AB269" s="24" t="e">
        <f t="shared" si="205"/>
        <v>#VALUE!</v>
      </c>
      <c r="AC269" s="148" t="e">
        <f t="shared" si="188"/>
        <v>#VALUE!</v>
      </c>
      <c r="AD269" s="148" t="e">
        <f t="shared" si="189"/>
        <v>#VALUE!</v>
      </c>
      <c r="AE269" s="148" t="e">
        <f t="shared" si="190"/>
        <v>#VALUE!</v>
      </c>
      <c r="AF269" s="148" t="e">
        <f t="shared" si="191"/>
        <v>#VALUE!</v>
      </c>
      <c r="AG269" s="148" t="e">
        <f t="shared" si="192"/>
        <v>#VALUE!</v>
      </c>
      <c r="AH269" s="148" t="e">
        <f t="shared" si="193"/>
        <v>#VALUE!</v>
      </c>
      <c r="AI269" s="148" t="e">
        <f t="shared" si="194"/>
        <v>#VALUE!</v>
      </c>
      <c r="AJ269" s="20" t="e">
        <f t="shared" si="206"/>
        <v>#VALUE!</v>
      </c>
      <c r="AK269" s="148" t="e">
        <f t="shared" si="195"/>
        <v>#VALUE!</v>
      </c>
      <c r="AL269" s="148" t="e">
        <f t="shared" si="196"/>
        <v>#VALUE!</v>
      </c>
      <c r="AM269" s="148" t="e">
        <f t="shared" si="197"/>
        <v>#VALUE!</v>
      </c>
      <c r="AN269" s="148" t="e">
        <f t="shared" si="198"/>
        <v>#VALUE!</v>
      </c>
      <c r="AO269" s="148" t="e">
        <f t="shared" si="199"/>
        <v>#VALUE!</v>
      </c>
      <c r="AP269" s="148" t="e">
        <f t="shared" si="200"/>
        <v>#VALUE!</v>
      </c>
      <c r="AQ269" s="148" t="e">
        <f t="shared" si="201"/>
        <v>#VALUE!</v>
      </c>
      <c r="AR269" s="17" t="e">
        <f t="shared" si="207"/>
        <v>#VALUE!</v>
      </c>
      <c r="AS269" s="148" t="e">
        <f t="shared" si="202"/>
        <v>#VALUE!</v>
      </c>
      <c r="AT269" s="181" t="e">
        <f>INDEX('stock fisico '!N:N, MATCH(B269, 'stock fisico '!B:B, 0))</f>
        <v>#N/A</v>
      </c>
      <c r="AU269" s="179" t="e">
        <f>INDEX('stock fisico '!D:D, MATCH(B269, 'stock fisico '!B:B, 0))</f>
        <v>#N/A</v>
      </c>
      <c r="AV269" s="177" t="e">
        <f>INDEX('stock fisico '!L:L, MATCH(B269, 'stock fisico '!B:B, 0))</f>
        <v>#N/A</v>
      </c>
    </row>
    <row r="270" spans="1:48" x14ac:dyDescent="0.25">
      <c r="A270" s="181" t="e">
        <f>INDEX('stock fisico '!M:M, MATCH(B270, 'stock fisico '!B:B, 0))</f>
        <v>#N/A</v>
      </c>
      <c r="C270" s="179" t="e">
        <f>INDEX('stock fisico '!C:C, MATCH(B270, 'stock fisico '!B:B, 0))</f>
        <v>#N/A</v>
      </c>
      <c r="D270" s="178" t="e">
        <f>INDEX('stock fisico '!I:I, MATCH(B270, 'stock fisico '!B:B, 0))</f>
        <v>#N/A</v>
      </c>
      <c r="E270" s="173" t="e">
        <f t="shared" si="208"/>
        <v>#VALUE!</v>
      </c>
      <c r="F270" s="148" t="e">
        <f t="shared" si="168"/>
        <v>#VALUE!</v>
      </c>
      <c r="G270" s="148" t="e">
        <f t="shared" si="169"/>
        <v>#VALUE!</v>
      </c>
      <c r="H270" s="148" t="e">
        <f t="shared" si="170"/>
        <v>#VALUE!</v>
      </c>
      <c r="I270" s="148" t="e">
        <f t="shared" si="171"/>
        <v>#VALUE!</v>
      </c>
      <c r="J270" s="148" t="e">
        <f t="shared" si="172"/>
        <v>#VALUE!</v>
      </c>
      <c r="K270" s="148" t="e">
        <f t="shared" si="173"/>
        <v>#VALUE!</v>
      </c>
      <c r="L270" s="175" t="e">
        <f t="shared" si="203"/>
        <v>#VALUE!</v>
      </c>
      <c r="M270" s="148" t="e">
        <f t="shared" si="174"/>
        <v>#VALUE!</v>
      </c>
      <c r="N270" s="148" t="e">
        <f t="shared" si="175"/>
        <v>#VALUE!</v>
      </c>
      <c r="O270" s="148" t="e">
        <f t="shared" si="176"/>
        <v>#VALUE!</v>
      </c>
      <c r="P270" s="148" t="e">
        <f t="shared" si="177"/>
        <v>#VALUE!</v>
      </c>
      <c r="Q270" s="148" t="e">
        <f t="shared" si="178"/>
        <v>#VALUE!</v>
      </c>
      <c r="R270" s="148" t="e">
        <f t="shared" si="179"/>
        <v>#VALUE!</v>
      </c>
      <c r="S270" s="148" t="e">
        <f t="shared" si="180"/>
        <v>#VALUE!</v>
      </c>
      <c r="T270" s="174" t="e">
        <f t="shared" si="204"/>
        <v>#VALUE!</v>
      </c>
      <c r="U270" s="148" t="e">
        <f t="shared" si="181"/>
        <v>#VALUE!</v>
      </c>
      <c r="V270" s="148" t="e">
        <f t="shared" si="182"/>
        <v>#VALUE!</v>
      </c>
      <c r="W270" s="148" t="e">
        <f t="shared" si="183"/>
        <v>#VALUE!</v>
      </c>
      <c r="X270" s="148" t="e">
        <f t="shared" si="184"/>
        <v>#VALUE!</v>
      </c>
      <c r="Y270" s="148" t="e">
        <f t="shared" si="185"/>
        <v>#VALUE!</v>
      </c>
      <c r="Z270" s="148" t="e">
        <f t="shared" si="186"/>
        <v>#VALUE!</v>
      </c>
      <c r="AA270" s="148" t="e">
        <f t="shared" si="187"/>
        <v>#VALUE!</v>
      </c>
      <c r="AB270" s="24" t="e">
        <f t="shared" si="205"/>
        <v>#VALUE!</v>
      </c>
      <c r="AC270" s="148" t="e">
        <f t="shared" si="188"/>
        <v>#VALUE!</v>
      </c>
      <c r="AD270" s="148" t="e">
        <f t="shared" si="189"/>
        <v>#VALUE!</v>
      </c>
      <c r="AE270" s="148" t="e">
        <f t="shared" si="190"/>
        <v>#VALUE!</v>
      </c>
      <c r="AF270" s="148" t="e">
        <f t="shared" si="191"/>
        <v>#VALUE!</v>
      </c>
      <c r="AG270" s="148" t="e">
        <f t="shared" si="192"/>
        <v>#VALUE!</v>
      </c>
      <c r="AH270" s="148" t="e">
        <f t="shared" si="193"/>
        <v>#VALUE!</v>
      </c>
      <c r="AI270" s="148" t="e">
        <f t="shared" si="194"/>
        <v>#VALUE!</v>
      </c>
      <c r="AJ270" s="20" t="e">
        <f t="shared" si="206"/>
        <v>#VALUE!</v>
      </c>
      <c r="AK270" s="148" t="e">
        <f t="shared" si="195"/>
        <v>#VALUE!</v>
      </c>
      <c r="AL270" s="148" t="e">
        <f t="shared" si="196"/>
        <v>#VALUE!</v>
      </c>
      <c r="AM270" s="148" t="e">
        <f t="shared" si="197"/>
        <v>#VALUE!</v>
      </c>
      <c r="AN270" s="148" t="e">
        <f t="shared" si="198"/>
        <v>#VALUE!</v>
      </c>
      <c r="AO270" s="148" t="e">
        <f t="shared" si="199"/>
        <v>#VALUE!</v>
      </c>
      <c r="AP270" s="148" t="e">
        <f t="shared" si="200"/>
        <v>#VALUE!</v>
      </c>
      <c r="AQ270" s="148" t="e">
        <f t="shared" si="201"/>
        <v>#VALUE!</v>
      </c>
      <c r="AR270" s="17" t="e">
        <f t="shared" si="207"/>
        <v>#VALUE!</v>
      </c>
      <c r="AS270" s="148" t="e">
        <f t="shared" si="202"/>
        <v>#VALUE!</v>
      </c>
      <c r="AT270" s="181" t="e">
        <f>INDEX('stock fisico '!N:N, MATCH(B270, 'stock fisico '!B:B, 0))</f>
        <v>#N/A</v>
      </c>
      <c r="AU270" s="179" t="e">
        <f>INDEX('stock fisico '!D:D, MATCH(B270, 'stock fisico '!B:B, 0))</f>
        <v>#N/A</v>
      </c>
      <c r="AV270" s="177" t="e">
        <f>INDEX('stock fisico '!L:L, MATCH(B270, 'stock fisico '!B:B, 0))</f>
        <v>#N/A</v>
      </c>
    </row>
    <row r="271" spans="1:48" x14ac:dyDescent="0.25">
      <c r="A271" s="181" t="e">
        <f>INDEX('stock fisico '!M:M, MATCH(B271, 'stock fisico '!B:B, 0))</f>
        <v>#N/A</v>
      </c>
      <c r="C271" s="179" t="e">
        <f>INDEX('stock fisico '!C:C, MATCH(B271, 'stock fisico '!B:B, 0))</f>
        <v>#N/A</v>
      </c>
      <c r="D271" s="178" t="e">
        <f>INDEX('stock fisico '!I:I, MATCH(B271, 'stock fisico '!B:B, 0))</f>
        <v>#N/A</v>
      </c>
      <c r="E271" s="173" t="e">
        <f t="shared" si="208"/>
        <v>#VALUE!</v>
      </c>
      <c r="F271" s="148" t="e">
        <f t="shared" si="168"/>
        <v>#VALUE!</v>
      </c>
      <c r="G271" s="148" t="e">
        <f t="shared" si="169"/>
        <v>#VALUE!</v>
      </c>
      <c r="H271" s="148" t="e">
        <f t="shared" si="170"/>
        <v>#VALUE!</v>
      </c>
      <c r="I271" s="148" t="e">
        <f t="shared" si="171"/>
        <v>#VALUE!</v>
      </c>
      <c r="J271" s="148" t="e">
        <f t="shared" si="172"/>
        <v>#VALUE!</v>
      </c>
      <c r="K271" s="148" t="e">
        <f t="shared" si="173"/>
        <v>#VALUE!</v>
      </c>
      <c r="L271" s="175" t="e">
        <f t="shared" si="203"/>
        <v>#VALUE!</v>
      </c>
      <c r="M271" s="148" t="e">
        <f t="shared" si="174"/>
        <v>#VALUE!</v>
      </c>
      <c r="N271" s="148" t="e">
        <f t="shared" si="175"/>
        <v>#VALUE!</v>
      </c>
      <c r="O271" s="148" t="e">
        <f t="shared" si="176"/>
        <v>#VALUE!</v>
      </c>
      <c r="P271" s="148" t="e">
        <f t="shared" si="177"/>
        <v>#VALUE!</v>
      </c>
      <c r="Q271" s="148" t="e">
        <f t="shared" si="178"/>
        <v>#VALUE!</v>
      </c>
      <c r="R271" s="148" t="e">
        <f t="shared" si="179"/>
        <v>#VALUE!</v>
      </c>
      <c r="S271" s="148" t="e">
        <f t="shared" si="180"/>
        <v>#VALUE!</v>
      </c>
      <c r="T271" s="174" t="e">
        <f t="shared" si="204"/>
        <v>#VALUE!</v>
      </c>
      <c r="U271" s="148" t="e">
        <f t="shared" si="181"/>
        <v>#VALUE!</v>
      </c>
      <c r="V271" s="148" t="e">
        <f t="shared" si="182"/>
        <v>#VALUE!</v>
      </c>
      <c r="W271" s="148" t="e">
        <f t="shared" si="183"/>
        <v>#VALUE!</v>
      </c>
      <c r="X271" s="148" t="e">
        <f t="shared" si="184"/>
        <v>#VALUE!</v>
      </c>
      <c r="Y271" s="148" t="e">
        <f t="shared" si="185"/>
        <v>#VALUE!</v>
      </c>
      <c r="Z271" s="148" t="e">
        <f t="shared" si="186"/>
        <v>#VALUE!</v>
      </c>
      <c r="AA271" s="148" t="e">
        <f t="shared" si="187"/>
        <v>#VALUE!</v>
      </c>
      <c r="AB271" s="24" t="e">
        <f t="shared" si="205"/>
        <v>#VALUE!</v>
      </c>
      <c r="AC271" s="148" t="e">
        <f t="shared" si="188"/>
        <v>#VALUE!</v>
      </c>
      <c r="AD271" s="148" t="e">
        <f t="shared" si="189"/>
        <v>#VALUE!</v>
      </c>
      <c r="AE271" s="148" t="e">
        <f t="shared" si="190"/>
        <v>#VALUE!</v>
      </c>
      <c r="AF271" s="148" t="e">
        <f t="shared" si="191"/>
        <v>#VALUE!</v>
      </c>
      <c r="AG271" s="148" t="e">
        <f t="shared" si="192"/>
        <v>#VALUE!</v>
      </c>
      <c r="AH271" s="148" t="e">
        <f t="shared" si="193"/>
        <v>#VALUE!</v>
      </c>
      <c r="AI271" s="148" t="e">
        <f t="shared" si="194"/>
        <v>#VALUE!</v>
      </c>
      <c r="AJ271" s="20" t="e">
        <f t="shared" si="206"/>
        <v>#VALUE!</v>
      </c>
      <c r="AK271" s="148" t="e">
        <f t="shared" si="195"/>
        <v>#VALUE!</v>
      </c>
      <c r="AL271" s="148" t="e">
        <f t="shared" si="196"/>
        <v>#VALUE!</v>
      </c>
      <c r="AM271" s="148" t="e">
        <f t="shared" si="197"/>
        <v>#VALUE!</v>
      </c>
      <c r="AN271" s="148" t="e">
        <f t="shared" si="198"/>
        <v>#VALUE!</v>
      </c>
      <c r="AO271" s="148" t="e">
        <f t="shared" si="199"/>
        <v>#VALUE!</v>
      </c>
      <c r="AP271" s="148" t="e">
        <f t="shared" si="200"/>
        <v>#VALUE!</v>
      </c>
      <c r="AQ271" s="148" t="e">
        <f t="shared" si="201"/>
        <v>#VALUE!</v>
      </c>
      <c r="AR271" s="17" t="e">
        <f t="shared" si="207"/>
        <v>#VALUE!</v>
      </c>
      <c r="AS271" s="148" t="e">
        <f t="shared" si="202"/>
        <v>#VALUE!</v>
      </c>
      <c r="AT271" s="181" t="e">
        <f>INDEX('stock fisico '!N:N, MATCH(B271, 'stock fisico '!B:B, 0))</f>
        <v>#N/A</v>
      </c>
      <c r="AU271" s="179" t="e">
        <f>INDEX('stock fisico '!D:D, MATCH(B271, 'stock fisico '!B:B, 0))</f>
        <v>#N/A</v>
      </c>
      <c r="AV271" s="177" t="e">
        <f>INDEX('stock fisico '!L:L, MATCH(B271, 'stock fisico '!B:B, 0))</f>
        <v>#N/A</v>
      </c>
    </row>
    <row r="272" spans="1:48" x14ac:dyDescent="0.25">
      <c r="A272" s="181" t="e">
        <f>INDEX('stock fisico '!M:M, MATCH(B272, 'stock fisico '!B:B, 0))</f>
        <v>#N/A</v>
      </c>
      <c r="C272" s="179" t="e">
        <f>INDEX('stock fisico '!C:C, MATCH(B272, 'stock fisico '!B:B, 0))</f>
        <v>#N/A</v>
      </c>
      <c r="D272" s="178" t="e">
        <f>INDEX('stock fisico '!I:I, MATCH(B272, 'stock fisico '!B:B, 0))</f>
        <v>#N/A</v>
      </c>
      <c r="E272" s="173" t="e">
        <f t="shared" si="208"/>
        <v>#VALUE!</v>
      </c>
      <c r="F272" t="e">
        <f t="shared" si="168"/>
        <v>#VALUE!</v>
      </c>
      <c r="G272" t="e">
        <f t="shared" si="169"/>
        <v>#VALUE!</v>
      </c>
      <c r="H272" t="e">
        <f t="shared" si="170"/>
        <v>#VALUE!</v>
      </c>
      <c r="I272" t="e">
        <f t="shared" si="171"/>
        <v>#VALUE!</v>
      </c>
      <c r="J272" t="e">
        <f t="shared" si="172"/>
        <v>#VALUE!</v>
      </c>
      <c r="K272" t="e">
        <f t="shared" si="173"/>
        <v>#VALUE!</v>
      </c>
      <c r="L272" s="175" t="e">
        <f t="shared" si="203"/>
        <v>#VALUE!</v>
      </c>
      <c r="M272" t="e">
        <f t="shared" si="174"/>
        <v>#VALUE!</v>
      </c>
      <c r="N272" t="e">
        <f t="shared" si="175"/>
        <v>#VALUE!</v>
      </c>
      <c r="O272" t="e">
        <f t="shared" si="176"/>
        <v>#VALUE!</v>
      </c>
      <c r="P272" t="e">
        <f t="shared" si="177"/>
        <v>#VALUE!</v>
      </c>
      <c r="Q272" t="e">
        <f t="shared" si="178"/>
        <v>#VALUE!</v>
      </c>
      <c r="R272" t="e">
        <f t="shared" si="179"/>
        <v>#VALUE!</v>
      </c>
      <c r="S272" t="e">
        <f t="shared" si="180"/>
        <v>#VALUE!</v>
      </c>
      <c r="T272" s="174" t="e">
        <f t="shared" si="204"/>
        <v>#VALUE!</v>
      </c>
      <c r="U272" t="e">
        <f t="shared" si="181"/>
        <v>#VALUE!</v>
      </c>
      <c r="V272" t="e">
        <f t="shared" si="182"/>
        <v>#VALUE!</v>
      </c>
      <c r="W272" t="e">
        <f t="shared" si="183"/>
        <v>#VALUE!</v>
      </c>
      <c r="X272" t="e">
        <f t="shared" si="184"/>
        <v>#VALUE!</v>
      </c>
      <c r="Y272" t="e">
        <f t="shared" si="185"/>
        <v>#VALUE!</v>
      </c>
      <c r="Z272" t="e">
        <f t="shared" si="186"/>
        <v>#VALUE!</v>
      </c>
      <c r="AA272" t="e">
        <f t="shared" si="187"/>
        <v>#VALUE!</v>
      </c>
      <c r="AB272" s="23" t="e">
        <f t="shared" si="205"/>
        <v>#VALUE!</v>
      </c>
      <c r="AC272" t="e">
        <f t="shared" si="188"/>
        <v>#VALUE!</v>
      </c>
      <c r="AD272" t="e">
        <f t="shared" si="189"/>
        <v>#VALUE!</v>
      </c>
      <c r="AE272" t="e">
        <f t="shared" si="190"/>
        <v>#VALUE!</v>
      </c>
      <c r="AF272" t="e">
        <f t="shared" si="191"/>
        <v>#VALUE!</v>
      </c>
      <c r="AG272" t="e">
        <f t="shared" si="192"/>
        <v>#VALUE!</v>
      </c>
      <c r="AH272" t="e">
        <f t="shared" si="193"/>
        <v>#VALUE!</v>
      </c>
      <c r="AI272" t="e">
        <f t="shared" si="194"/>
        <v>#VALUE!</v>
      </c>
      <c r="AJ272" s="19" t="e">
        <f t="shared" si="206"/>
        <v>#VALUE!</v>
      </c>
      <c r="AK272" t="e">
        <f t="shared" si="195"/>
        <v>#VALUE!</v>
      </c>
      <c r="AL272" t="e">
        <f t="shared" si="196"/>
        <v>#VALUE!</v>
      </c>
      <c r="AM272" t="e">
        <f t="shared" si="197"/>
        <v>#VALUE!</v>
      </c>
      <c r="AN272" t="e">
        <f t="shared" si="198"/>
        <v>#VALUE!</v>
      </c>
      <c r="AO272" t="e">
        <f t="shared" si="199"/>
        <v>#VALUE!</v>
      </c>
      <c r="AP272" t="e">
        <f t="shared" si="200"/>
        <v>#VALUE!</v>
      </c>
      <c r="AQ272" t="e">
        <f t="shared" si="201"/>
        <v>#VALUE!</v>
      </c>
      <c r="AR272" s="123" t="e">
        <f t="shared" si="207"/>
        <v>#VALUE!</v>
      </c>
      <c r="AS272" t="e">
        <f t="shared" si="202"/>
        <v>#VALUE!</v>
      </c>
      <c r="AT272" s="181" t="e">
        <f>INDEX('stock fisico '!N:N, MATCH(B272, 'stock fisico '!B:B, 0))</f>
        <v>#N/A</v>
      </c>
      <c r="AU272" s="179" t="e">
        <f>INDEX('stock fisico '!D:D, MATCH(B272, 'stock fisico '!B:B, 0))</f>
        <v>#N/A</v>
      </c>
      <c r="AV272" s="177" t="e">
        <f>INDEX('stock fisico '!L:L, MATCH(B272, 'stock fisico '!B:B, 0))</f>
        <v>#N/A</v>
      </c>
    </row>
    <row r="273" spans="1:48" x14ac:dyDescent="0.25">
      <c r="A273" s="181" t="e">
        <f>INDEX('stock fisico '!M:M, MATCH(B273, 'stock fisico '!B:B, 0))</f>
        <v>#N/A</v>
      </c>
      <c r="C273" s="179" t="e">
        <f>INDEX('stock fisico '!C:C, MATCH(B273, 'stock fisico '!B:B, 0))</f>
        <v>#N/A</v>
      </c>
      <c r="D273" s="178" t="e">
        <f>INDEX('stock fisico '!I:I, MATCH(B273, 'stock fisico '!B:B, 0))</f>
        <v>#N/A</v>
      </c>
      <c r="E273" s="173" t="e">
        <f t="shared" si="208"/>
        <v>#VALUE!</v>
      </c>
      <c r="F273" t="e">
        <f t="shared" si="168"/>
        <v>#VALUE!</v>
      </c>
      <c r="G273" t="e">
        <f t="shared" si="169"/>
        <v>#VALUE!</v>
      </c>
      <c r="H273" t="e">
        <f t="shared" si="170"/>
        <v>#VALUE!</v>
      </c>
      <c r="I273" t="e">
        <f t="shared" si="171"/>
        <v>#VALUE!</v>
      </c>
      <c r="J273" t="e">
        <f t="shared" si="172"/>
        <v>#VALUE!</v>
      </c>
      <c r="K273" t="e">
        <f t="shared" si="173"/>
        <v>#VALUE!</v>
      </c>
      <c r="L273" s="175" t="e">
        <f t="shared" si="203"/>
        <v>#VALUE!</v>
      </c>
      <c r="M273" t="e">
        <f t="shared" si="174"/>
        <v>#VALUE!</v>
      </c>
      <c r="N273" t="e">
        <f t="shared" si="175"/>
        <v>#VALUE!</v>
      </c>
      <c r="O273" t="e">
        <f t="shared" si="176"/>
        <v>#VALUE!</v>
      </c>
      <c r="P273" t="e">
        <f t="shared" si="177"/>
        <v>#VALUE!</v>
      </c>
      <c r="Q273" t="e">
        <f t="shared" si="178"/>
        <v>#VALUE!</v>
      </c>
      <c r="R273" t="e">
        <f t="shared" si="179"/>
        <v>#VALUE!</v>
      </c>
      <c r="S273" t="e">
        <f t="shared" si="180"/>
        <v>#VALUE!</v>
      </c>
      <c r="T273" s="174" t="e">
        <f t="shared" si="204"/>
        <v>#VALUE!</v>
      </c>
      <c r="U273" t="e">
        <f t="shared" si="181"/>
        <v>#VALUE!</v>
      </c>
      <c r="V273" t="e">
        <f t="shared" si="182"/>
        <v>#VALUE!</v>
      </c>
      <c r="W273" t="e">
        <f t="shared" si="183"/>
        <v>#VALUE!</v>
      </c>
      <c r="X273" t="e">
        <f t="shared" si="184"/>
        <v>#VALUE!</v>
      </c>
      <c r="Y273" t="e">
        <f t="shared" si="185"/>
        <v>#VALUE!</v>
      </c>
      <c r="Z273" t="e">
        <f t="shared" si="186"/>
        <v>#VALUE!</v>
      </c>
      <c r="AA273" t="e">
        <f t="shared" si="187"/>
        <v>#VALUE!</v>
      </c>
      <c r="AB273" s="23" t="e">
        <f t="shared" si="205"/>
        <v>#VALUE!</v>
      </c>
      <c r="AC273" t="e">
        <f t="shared" si="188"/>
        <v>#VALUE!</v>
      </c>
      <c r="AD273" t="e">
        <f t="shared" si="189"/>
        <v>#VALUE!</v>
      </c>
      <c r="AE273" t="e">
        <f t="shared" si="190"/>
        <v>#VALUE!</v>
      </c>
      <c r="AF273" t="e">
        <f t="shared" si="191"/>
        <v>#VALUE!</v>
      </c>
      <c r="AG273" t="e">
        <f t="shared" si="192"/>
        <v>#VALUE!</v>
      </c>
      <c r="AH273" t="e">
        <f t="shared" si="193"/>
        <v>#VALUE!</v>
      </c>
      <c r="AI273" t="e">
        <f t="shared" si="194"/>
        <v>#VALUE!</v>
      </c>
      <c r="AJ273" s="19" t="e">
        <f t="shared" si="206"/>
        <v>#VALUE!</v>
      </c>
      <c r="AK273" t="e">
        <f t="shared" si="195"/>
        <v>#VALUE!</v>
      </c>
      <c r="AL273" t="e">
        <f t="shared" si="196"/>
        <v>#VALUE!</v>
      </c>
      <c r="AM273" t="e">
        <f t="shared" si="197"/>
        <v>#VALUE!</v>
      </c>
      <c r="AN273" t="e">
        <f t="shared" si="198"/>
        <v>#VALUE!</v>
      </c>
      <c r="AO273" t="e">
        <f t="shared" si="199"/>
        <v>#VALUE!</v>
      </c>
      <c r="AP273" t="e">
        <f t="shared" si="200"/>
        <v>#VALUE!</v>
      </c>
      <c r="AQ273" t="e">
        <f t="shared" si="201"/>
        <v>#VALUE!</v>
      </c>
      <c r="AR273" s="123" t="e">
        <f t="shared" si="207"/>
        <v>#VALUE!</v>
      </c>
      <c r="AS273" t="e">
        <f t="shared" si="202"/>
        <v>#VALUE!</v>
      </c>
      <c r="AT273" s="181" t="e">
        <f>INDEX('stock fisico '!N:N, MATCH(B273, 'stock fisico '!B:B, 0))</f>
        <v>#N/A</v>
      </c>
      <c r="AU273" s="179" t="e">
        <f>INDEX('stock fisico '!D:D, MATCH(B273, 'stock fisico '!B:B, 0))</f>
        <v>#N/A</v>
      </c>
      <c r="AV273" s="177" t="e">
        <f>INDEX('stock fisico '!L:L, MATCH(B273, 'stock fisico '!B:B, 0))</f>
        <v>#N/A</v>
      </c>
    </row>
    <row r="274" spans="1:48" x14ac:dyDescent="0.25">
      <c r="A274" s="181" t="e">
        <f>INDEX('stock fisico '!M:M, MATCH(B274, 'stock fisico '!B:B, 0))</f>
        <v>#N/A</v>
      </c>
      <c r="C274" s="179" t="e">
        <f>INDEX('stock fisico '!C:C, MATCH(B274, 'stock fisico '!B:B, 0))</f>
        <v>#N/A</v>
      </c>
      <c r="D274" s="178" t="e">
        <f>INDEX('stock fisico '!I:I, MATCH(B274, 'stock fisico '!B:B, 0))</f>
        <v>#N/A</v>
      </c>
      <c r="E274" s="173" t="e">
        <f t="shared" si="208"/>
        <v>#VALUE!</v>
      </c>
      <c r="F274" t="e">
        <f t="shared" si="168"/>
        <v>#VALUE!</v>
      </c>
      <c r="G274" t="e">
        <f t="shared" si="169"/>
        <v>#VALUE!</v>
      </c>
      <c r="H274" t="e">
        <f t="shared" si="170"/>
        <v>#VALUE!</v>
      </c>
      <c r="I274" t="e">
        <f t="shared" si="171"/>
        <v>#VALUE!</v>
      </c>
      <c r="J274" t="e">
        <f t="shared" si="172"/>
        <v>#VALUE!</v>
      </c>
      <c r="K274" t="e">
        <f t="shared" si="173"/>
        <v>#VALUE!</v>
      </c>
      <c r="L274" s="175" t="e">
        <f t="shared" si="203"/>
        <v>#VALUE!</v>
      </c>
      <c r="M274" t="e">
        <f t="shared" si="174"/>
        <v>#VALUE!</v>
      </c>
      <c r="N274" t="e">
        <f t="shared" si="175"/>
        <v>#VALUE!</v>
      </c>
      <c r="O274" t="e">
        <f t="shared" si="176"/>
        <v>#VALUE!</v>
      </c>
      <c r="P274" t="e">
        <f t="shared" si="177"/>
        <v>#VALUE!</v>
      </c>
      <c r="Q274" t="e">
        <f t="shared" si="178"/>
        <v>#VALUE!</v>
      </c>
      <c r="R274" t="e">
        <f t="shared" si="179"/>
        <v>#VALUE!</v>
      </c>
      <c r="S274" t="e">
        <f t="shared" si="180"/>
        <v>#VALUE!</v>
      </c>
      <c r="T274" s="174" t="e">
        <f t="shared" si="204"/>
        <v>#VALUE!</v>
      </c>
      <c r="U274" t="e">
        <f t="shared" si="181"/>
        <v>#VALUE!</v>
      </c>
      <c r="V274" t="e">
        <f t="shared" si="182"/>
        <v>#VALUE!</v>
      </c>
      <c r="W274" t="e">
        <f t="shared" si="183"/>
        <v>#VALUE!</v>
      </c>
      <c r="X274" t="e">
        <f t="shared" si="184"/>
        <v>#VALUE!</v>
      </c>
      <c r="Y274" t="e">
        <f t="shared" si="185"/>
        <v>#VALUE!</v>
      </c>
      <c r="Z274" t="e">
        <f t="shared" si="186"/>
        <v>#VALUE!</v>
      </c>
      <c r="AA274" t="e">
        <f t="shared" si="187"/>
        <v>#VALUE!</v>
      </c>
      <c r="AB274" s="23" t="e">
        <f t="shared" si="205"/>
        <v>#VALUE!</v>
      </c>
      <c r="AC274" t="e">
        <f t="shared" si="188"/>
        <v>#VALUE!</v>
      </c>
      <c r="AD274" t="e">
        <f t="shared" si="189"/>
        <v>#VALUE!</v>
      </c>
      <c r="AE274" t="e">
        <f t="shared" si="190"/>
        <v>#VALUE!</v>
      </c>
      <c r="AF274" t="e">
        <f t="shared" si="191"/>
        <v>#VALUE!</v>
      </c>
      <c r="AG274" t="e">
        <f t="shared" si="192"/>
        <v>#VALUE!</v>
      </c>
      <c r="AH274" t="e">
        <f t="shared" si="193"/>
        <v>#VALUE!</v>
      </c>
      <c r="AI274" t="e">
        <f t="shared" si="194"/>
        <v>#VALUE!</v>
      </c>
      <c r="AJ274" s="19" t="e">
        <f t="shared" si="206"/>
        <v>#VALUE!</v>
      </c>
      <c r="AK274" t="e">
        <f t="shared" si="195"/>
        <v>#VALUE!</v>
      </c>
      <c r="AL274" t="e">
        <f t="shared" si="196"/>
        <v>#VALUE!</v>
      </c>
      <c r="AM274" t="e">
        <f t="shared" si="197"/>
        <v>#VALUE!</v>
      </c>
      <c r="AN274" t="e">
        <f t="shared" si="198"/>
        <v>#VALUE!</v>
      </c>
      <c r="AO274" t="e">
        <f t="shared" si="199"/>
        <v>#VALUE!</v>
      </c>
      <c r="AP274" t="e">
        <f t="shared" si="200"/>
        <v>#VALUE!</v>
      </c>
      <c r="AQ274" t="e">
        <f t="shared" si="201"/>
        <v>#VALUE!</v>
      </c>
      <c r="AR274" s="123" t="e">
        <f t="shared" si="207"/>
        <v>#VALUE!</v>
      </c>
      <c r="AS274" t="e">
        <f t="shared" si="202"/>
        <v>#VALUE!</v>
      </c>
      <c r="AT274" s="181" t="e">
        <f>INDEX('stock fisico '!N:N, MATCH(B274, 'stock fisico '!B:B, 0))</f>
        <v>#N/A</v>
      </c>
      <c r="AU274" s="179" t="e">
        <f>INDEX('stock fisico '!D:D, MATCH(B274, 'stock fisico '!B:B, 0))</f>
        <v>#N/A</v>
      </c>
      <c r="AV274" s="177" t="e">
        <f>INDEX('stock fisico '!L:L, MATCH(B274, 'stock fisico '!B:B, 0))</f>
        <v>#N/A</v>
      </c>
    </row>
    <row r="275" spans="1:48" x14ac:dyDescent="0.25">
      <c r="A275" s="181" t="e">
        <f>INDEX('stock fisico '!M:M, MATCH(B275, 'stock fisico '!B:B, 0))</f>
        <v>#N/A</v>
      </c>
      <c r="C275" s="179" t="e">
        <f>INDEX('stock fisico '!C:C, MATCH(B275, 'stock fisico '!B:B, 0))</f>
        <v>#N/A</v>
      </c>
      <c r="D275" s="178" t="e">
        <f>INDEX('stock fisico '!I:I, MATCH(B275, 'stock fisico '!B:B, 0))</f>
        <v>#N/A</v>
      </c>
      <c r="E275" s="173" t="e">
        <f t="shared" si="208"/>
        <v>#VALUE!</v>
      </c>
      <c r="F275" t="e">
        <f t="shared" si="168"/>
        <v>#VALUE!</v>
      </c>
      <c r="G275" t="e">
        <f t="shared" si="169"/>
        <v>#VALUE!</v>
      </c>
      <c r="H275" t="e">
        <f t="shared" si="170"/>
        <v>#VALUE!</v>
      </c>
      <c r="I275" t="e">
        <f t="shared" si="171"/>
        <v>#VALUE!</v>
      </c>
      <c r="J275" t="e">
        <f t="shared" si="172"/>
        <v>#VALUE!</v>
      </c>
      <c r="K275" t="e">
        <f t="shared" si="173"/>
        <v>#VALUE!</v>
      </c>
      <c r="L275" s="175" t="e">
        <f t="shared" si="203"/>
        <v>#VALUE!</v>
      </c>
      <c r="M275" t="e">
        <f t="shared" si="174"/>
        <v>#VALUE!</v>
      </c>
      <c r="N275" t="e">
        <f t="shared" si="175"/>
        <v>#VALUE!</v>
      </c>
      <c r="O275" t="e">
        <f t="shared" si="176"/>
        <v>#VALUE!</v>
      </c>
      <c r="P275" t="e">
        <f t="shared" si="177"/>
        <v>#VALUE!</v>
      </c>
      <c r="Q275" t="e">
        <f t="shared" si="178"/>
        <v>#VALUE!</v>
      </c>
      <c r="R275" t="e">
        <f t="shared" si="179"/>
        <v>#VALUE!</v>
      </c>
      <c r="S275" t="e">
        <f t="shared" si="180"/>
        <v>#VALUE!</v>
      </c>
      <c r="T275" s="174" t="e">
        <f t="shared" si="204"/>
        <v>#VALUE!</v>
      </c>
      <c r="U275" t="e">
        <f t="shared" si="181"/>
        <v>#VALUE!</v>
      </c>
      <c r="V275" t="e">
        <f t="shared" si="182"/>
        <v>#VALUE!</v>
      </c>
      <c r="W275" t="e">
        <f t="shared" si="183"/>
        <v>#VALUE!</v>
      </c>
      <c r="X275" t="e">
        <f t="shared" si="184"/>
        <v>#VALUE!</v>
      </c>
      <c r="Y275" t="e">
        <f t="shared" si="185"/>
        <v>#VALUE!</v>
      </c>
      <c r="Z275" t="e">
        <f t="shared" si="186"/>
        <v>#VALUE!</v>
      </c>
      <c r="AA275" t="e">
        <f t="shared" si="187"/>
        <v>#VALUE!</v>
      </c>
      <c r="AB275" s="23" t="e">
        <f t="shared" si="205"/>
        <v>#VALUE!</v>
      </c>
      <c r="AC275" t="e">
        <f t="shared" si="188"/>
        <v>#VALUE!</v>
      </c>
      <c r="AD275" t="e">
        <f t="shared" si="189"/>
        <v>#VALUE!</v>
      </c>
      <c r="AE275" t="e">
        <f t="shared" si="190"/>
        <v>#VALUE!</v>
      </c>
      <c r="AF275" t="e">
        <f t="shared" si="191"/>
        <v>#VALUE!</v>
      </c>
      <c r="AG275" t="e">
        <f t="shared" si="192"/>
        <v>#VALUE!</v>
      </c>
      <c r="AH275" t="e">
        <f t="shared" si="193"/>
        <v>#VALUE!</v>
      </c>
      <c r="AI275" t="e">
        <f t="shared" si="194"/>
        <v>#VALUE!</v>
      </c>
      <c r="AJ275" s="19" t="e">
        <f t="shared" si="206"/>
        <v>#VALUE!</v>
      </c>
      <c r="AK275" t="e">
        <f t="shared" si="195"/>
        <v>#VALUE!</v>
      </c>
      <c r="AL275" t="e">
        <f t="shared" si="196"/>
        <v>#VALUE!</v>
      </c>
      <c r="AM275" t="e">
        <f t="shared" si="197"/>
        <v>#VALUE!</v>
      </c>
      <c r="AN275" t="e">
        <f t="shared" si="198"/>
        <v>#VALUE!</v>
      </c>
      <c r="AO275" t="e">
        <f t="shared" si="199"/>
        <v>#VALUE!</v>
      </c>
      <c r="AP275" t="e">
        <f t="shared" si="200"/>
        <v>#VALUE!</v>
      </c>
      <c r="AQ275" t="e">
        <f t="shared" si="201"/>
        <v>#VALUE!</v>
      </c>
      <c r="AR275" s="123" t="e">
        <f t="shared" si="207"/>
        <v>#VALUE!</v>
      </c>
      <c r="AS275" t="e">
        <f t="shared" si="202"/>
        <v>#VALUE!</v>
      </c>
      <c r="AT275" s="181" t="e">
        <f>INDEX('stock fisico '!N:N, MATCH(B275, 'stock fisico '!B:B, 0))</f>
        <v>#N/A</v>
      </c>
      <c r="AU275" s="179" t="e">
        <f>INDEX('stock fisico '!D:D, MATCH(B275, 'stock fisico '!B:B, 0))</f>
        <v>#N/A</v>
      </c>
      <c r="AV275" s="177" t="e">
        <f>INDEX('stock fisico '!L:L, MATCH(B275, 'stock fisico '!B:B, 0))</f>
        <v>#N/A</v>
      </c>
    </row>
    <row r="276" spans="1:48" x14ac:dyDescent="0.25">
      <c r="A276" s="181" t="e">
        <f>INDEX('stock fisico '!M:M, MATCH(B276, 'stock fisico '!B:B, 0))</f>
        <v>#N/A</v>
      </c>
      <c r="C276" s="179" t="e">
        <f>INDEX('stock fisico '!C:C, MATCH(B276, 'stock fisico '!B:B, 0))</f>
        <v>#N/A</v>
      </c>
      <c r="D276" s="178" t="e">
        <f>INDEX('stock fisico '!I:I, MATCH(B276, 'stock fisico '!B:B, 0))</f>
        <v>#N/A</v>
      </c>
      <c r="E276" s="173" t="e">
        <f t="shared" si="208"/>
        <v>#VALUE!</v>
      </c>
      <c r="F276" t="e">
        <f t="shared" si="168"/>
        <v>#VALUE!</v>
      </c>
      <c r="G276" t="e">
        <f t="shared" si="169"/>
        <v>#VALUE!</v>
      </c>
      <c r="H276" t="e">
        <f t="shared" si="170"/>
        <v>#VALUE!</v>
      </c>
      <c r="I276" t="e">
        <f t="shared" si="171"/>
        <v>#VALUE!</v>
      </c>
      <c r="J276" t="e">
        <f t="shared" si="172"/>
        <v>#VALUE!</v>
      </c>
      <c r="K276" t="e">
        <f t="shared" si="173"/>
        <v>#VALUE!</v>
      </c>
      <c r="L276" s="175" t="e">
        <f t="shared" si="203"/>
        <v>#VALUE!</v>
      </c>
      <c r="M276" t="e">
        <f t="shared" si="174"/>
        <v>#VALUE!</v>
      </c>
      <c r="N276" t="e">
        <f t="shared" si="175"/>
        <v>#VALUE!</v>
      </c>
      <c r="O276" t="e">
        <f t="shared" si="176"/>
        <v>#VALUE!</v>
      </c>
      <c r="P276" t="e">
        <f t="shared" si="177"/>
        <v>#VALUE!</v>
      </c>
      <c r="Q276" t="e">
        <f t="shared" si="178"/>
        <v>#VALUE!</v>
      </c>
      <c r="R276" t="e">
        <f t="shared" si="179"/>
        <v>#VALUE!</v>
      </c>
      <c r="S276" t="e">
        <f t="shared" si="180"/>
        <v>#VALUE!</v>
      </c>
      <c r="T276" s="174" t="e">
        <f t="shared" si="204"/>
        <v>#VALUE!</v>
      </c>
      <c r="U276" t="e">
        <f t="shared" si="181"/>
        <v>#VALUE!</v>
      </c>
      <c r="V276" t="e">
        <f t="shared" si="182"/>
        <v>#VALUE!</v>
      </c>
      <c r="W276" t="e">
        <f t="shared" si="183"/>
        <v>#VALUE!</v>
      </c>
      <c r="X276" t="e">
        <f t="shared" si="184"/>
        <v>#VALUE!</v>
      </c>
      <c r="Y276" t="e">
        <f t="shared" si="185"/>
        <v>#VALUE!</v>
      </c>
      <c r="Z276" t="e">
        <f t="shared" si="186"/>
        <v>#VALUE!</v>
      </c>
      <c r="AA276" t="e">
        <f t="shared" si="187"/>
        <v>#VALUE!</v>
      </c>
      <c r="AB276" s="23" t="e">
        <f t="shared" si="205"/>
        <v>#VALUE!</v>
      </c>
      <c r="AC276" t="e">
        <f t="shared" si="188"/>
        <v>#VALUE!</v>
      </c>
      <c r="AD276" t="e">
        <f t="shared" si="189"/>
        <v>#VALUE!</v>
      </c>
      <c r="AE276" t="e">
        <f t="shared" si="190"/>
        <v>#VALUE!</v>
      </c>
      <c r="AF276" t="e">
        <f t="shared" si="191"/>
        <v>#VALUE!</v>
      </c>
      <c r="AG276" t="e">
        <f t="shared" si="192"/>
        <v>#VALUE!</v>
      </c>
      <c r="AH276" t="e">
        <f t="shared" si="193"/>
        <v>#VALUE!</v>
      </c>
      <c r="AI276" t="e">
        <f t="shared" si="194"/>
        <v>#VALUE!</v>
      </c>
      <c r="AJ276" s="19" t="e">
        <f t="shared" si="206"/>
        <v>#VALUE!</v>
      </c>
      <c r="AK276" t="e">
        <f t="shared" si="195"/>
        <v>#VALUE!</v>
      </c>
      <c r="AL276" t="e">
        <f t="shared" si="196"/>
        <v>#VALUE!</v>
      </c>
      <c r="AM276" t="e">
        <f t="shared" si="197"/>
        <v>#VALUE!</v>
      </c>
      <c r="AN276" t="e">
        <f t="shared" si="198"/>
        <v>#VALUE!</v>
      </c>
      <c r="AO276" t="e">
        <f t="shared" si="199"/>
        <v>#VALUE!</v>
      </c>
      <c r="AP276" t="e">
        <f t="shared" si="200"/>
        <v>#VALUE!</v>
      </c>
      <c r="AQ276" t="e">
        <f t="shared" si="201"/>
        <v>#VALUE!</v>
      </c>
      <c r="AR276" s="123" t="e">
        <f t="shared" si="207"/>
        <v>#VALUE!</v>
      </c>
      <c r="AS276" t="e">
        <f t="shared" si="202"/>
        <v>#VALUE!</v>
      </c>
      <c r="AT276" s="181" t="e">
        <f>INDEX('stock fisico '!N:N, MATCH(B276, 'stock fisico '!B:B, 0))</f>
        <v>#N/A</v>
      </c>
      <c r="AU276" s="179" t="e">
        <f>INDEX('stock fisico '!D:D, MATCH(B276, 'stock fisico '!B:B, 0))</f>
        <v>#N/A</v>
      </c>
      <c r="AV276" s="177" t="e">
        <f>INDEX('stock fisico '!L:L, MATCH(B276, 'stock fisico '!B:B, 0))</f>
        <v>#N/A</v>
      </c>
    </row>
    <row r="277" spans="1:48" x14ac:dyDescent="0.25">
      <c r="A277" s="181" t="e">
        <f>INDEX('stock fisico '!M:M, MATCH(B277, 'stock fisico '!B:B, 0))</f>
        <v>#N/A</v>
      </c>
      <c r="C277" s="179" t="e">
        <f>INDEX('stock fisico '!C:C, MATCH(B277, 'stock fisico '!B:B, 0))</f>
        <v>#N/A</v>
      </c>
      <c r="D277" s="178" t="e">
        <f>INDEX('stock fisico '!I:I, MATCH(B277, 'stock fisico '!B:B, 0))</f>
        <v>#N/A</v>
      </c>
      <c r="E277" s="173" t="e">
        <f t="shared" si="208"/>
        <v>#VALUE!</v>
      </c>
      <c r="F277" t="e">
        <f t="shared" si="168"/>
        <v>#VALUE!</v>
      </c>
      <c r="G277" t="e">
        <f t="shared" si="169"/>
        <v>#VALUE!</v>
      </c>
      <c r="H277" t="e">
        <f t="shared" si="170"/>
        <v>#VALUE!</v>
      </c>
      <c r="I277" t="e">
        <f t="shared" si="171"/>
        <v>#VALUE!</v>
      </c>
      <c r="J277" t="e">
        <f t="shared" si="172"/>
        <v>#VALUE!</v>
      </c>
      <c r="K277" t="e">
        <f t="shared" si="173"/>
        <v>#VALUE!</v>
      </c>
      <c r="L277" s="175" t="e">
        <f t="shared" si="203"/>
        <v>#VALUE!</v>
      </c>
      <c r="M277" t="e">
        <f t="shared" si="174"/>
        <v>#VALUE!</v>
      </c>
      <c r="N277" t="e">
        <f t="shared" si="175"/>
        <v>#VALUE!</v>
      </c>
      <c r="O277" t="e">
        <f t="shared" si="176"/>
        <v>#VALUE!</v>
      </c>
      <c r="P277" t="e">
        <f t="shared" si="177"/>
        <v>#VALUE!</v>
      </c>
      <c r="Q277" t="e">
        <f t="shared" si="178"/>
        <v>#VALUE!</v>
      </c>
      <c r="R277" t="e">
        <f t="shared" si="179"/>
        <v>#VALUE!</v>
      </c>
      <c r="S277" t="e">
        <f t="shared" si="180"/>
        <v>#VALUE!</v>
      </c>
      <c r="T277" s="174" t="e">
        <f t="shared" si="204"/>
        <v>#VALUE!</v>
      </c>
      <c r="U277" t="e">
        <f t="shared" si="181"/>
        <v>#VALUE!</v>
      </c>
      <c r="V277" t="e">
        <f t="shared" si="182"/>
        <v>#VALUE!</v>
      </c>
      <c r="W277" t="e">
        <f t="shared" si="183"/>
        <v>#VALUE!</v>
      </c>
      <c r="X277" t="e">
        <f t="shared" si="184"/>
        <v>#VALUE!</v>
      </c>
      <c r="Y277" t="e">
        <f t="shared" si="185"/>
        <v>#VALUE!</v>
      </c>
      <c r="Z277" t="e">
        <f t="shared" si="186"/>
        <v>#VALUE!</v>
      </c>
      <c r="AA277" t="e">
        <f t="shared" si="187"/>
        <v>#VALUE!</v>
      </c>
      <c r="AB277" s="23" t="e">
        <f t="shared" si="205"/>
        <v>#VALUE!</v>
      </c>
      <c r="AC277" t="e">
        <f t="shared" si="188"/>
        <v>#VALUE!</v>
      </c>
      <c r="AD277" t="e">
        <f t="shared" si="189"/>
        <v>#VALUE!</v>
      </c>
      <c r="AE277" t="e">
        <f t="shared" si="190"/>
        <v>#VALUE!</v>
      </c>
      <c r="AF277" t="e">
        <f t="shared" si="191"/>
        <v>#VALUE!</v>
      </c>
      <c r="AG277" t="e">
        <f t="shared" si="192"/>
        <v>#VALUE!</v>
      </c>
      <c r="AH277" t="e">
        <f t="shared" si="193"/>
        <v>#VALUE!</v>
      </c>
      <c r="AI277" t="e">
        <f t="shared" si="194"/>
        <v>#VALUE!</v>
      </c>
      <c r="AJ277" s="19" t="e">
        <f t="shared" si="206"/>
        <v>#VALUE!</v>
      </c>
      <c r="AK277" t="e">
        <f t="shared" si="195"/>
        <v>#VALUE!</v>
      </c>
      <c r="AL277" t="e">
        <f t="shared" si="196"/>
        <v>#VALUE!</v>
      </c>
      <c r="AM277" t="e">
        <f t="shared" si="197"/>
        <v>#VALUE!</v>
      </c>
      <c r="AN277" t="e">
        <f t="shared" si="198"/>
        <v>#VALUE!</v>
      </c>
      <c r="AO277" t="e">
        <f t="shared" si="199"/>
        <v>#VALUE!</v>
      </c>
      <c r="AP277" t="e">
        <f t="shared" si="200"/>
        <v>#VALUE!</v>
      </c>
      <c r="AQ277" t="e">
        <f t="shared" si="201"/>
        <v>#VALUE!</v>
      </c>
      <c r="AR277" s="123" t="e">
        <f t="shared" si="207"/>
        <v>#VALUE!</v>
      </c>
      <c r="AS277" t="e">
        <f t="shared" si="202"/>
        <v>#VALUE!</v>
      </c>
      <c r="AT277" s="181" t="e">
        <f>INDEX('stock fisico '!N:N, MATCH(B277, 'stock fisico '!B:B, 0))</f>
        <v>#N/A</v>
      </c>
      <c r="AU277" s="179" t="e">
        <f>INDEX('stock fisico '!D:D, MATCH(B277, 'stock fisico '!B:B, 0))</f>
        <v>#N/A</v>
      </c>
      <c r="AV277" s="177" t="e">
        <f>INDEX('stock fisico '!L:L, MATCH(B277, 'stock fisico '!B:B, 0))</f>
        <v>#N/A</v>
      </c>
    </row>
    <row r="278" spans="1:48" x14ac:dyDescent="0.25">
      <c r="A278" s="181" t="e">
        <f>INDEX('stock fisico '!M:M, MATCH(B278, 'stock fisico '!B:B, 0))</f>
        <v>#N/A</v>
      </c>
      <c r="C278" s="179" t="e">
        <f>INDEX('stock fisico '!C:C, MATCH(B278, 'stock fisico '!B:B, 0))</f>
        <v>#N/A</v>
      </c>
      <c r="D278" s="178" t="e">
        <f>INDEX('stock fisico '!I:I, MATCH(B278, 'stock fisico '!B:B, 0))</f>
        <v>#N/A</v>
      </c>
      <c r="E278" s="173" t="e">
        <f t="shared" si="208"/>
        <v>#VALUE!</v>
      </c>
      <c r="F278" t="e">
        <f t="shared" si="168"/>
        <v>#VALUE!</v>
      </c>
      <c r="G278" t="e">
        <f t="shared" si="169"/>
        <v>#VALUE!</v>
      </c>
      <c r="H278" t="e">
        <f t="shared" si="170"/>
        <v>#VALUE!</v>
      </c>
      <c r="I278" t="e">
        <f t="shared" si="171"/>
        <v>#VALUE!</v>
      </c>
      <c r="J278" t="e">
        <f t="shared" si="172"/>
        <v>#VALUE!</v>
      </c>
      <c r="K278" t="e">
        <f t="shared" si="173"/>
        <v>#VALUE!</v>
      </c>
      <c r="L278" s="175" t="e">
        <f t="shared" si="203"/>
        <v>#VALUE!</v>
      </c>
      <c r="M278" t="e">
        <f t="shared" si="174"/>
        <v>#VALUE!</v>
      </c>
      <c r="N278" t="e">
        <f t="shared" si="175"/>
        <v>#VALUE!</v>
      </c>
      <c r="O278" t="e">
        <f t="shared" si="176"/>
        <v>#VALUE!</v>
      </c>
      <c r="P278" t="e">
        <f t="shared" si="177"/>
        <v>#VALUE!</v>
      </c>
      <c r="Q278" t="e">
        <f t="shared" si="178"/>
        <v>#VALUE!</v>
      </c>
      <c r="R278" t="e">
        <f t="shared" si="179"/>
        <v>#VALUE!</v>
      </c>
      <c r="S278" t="e">
        <f t="shared" si="180"/>
        <v>#VALUE!</v>
      </c>
      <c r="T278" s="174" t="e">
        <f t="shared" si="204"/>
        <v>#VALUE!</v>
      </c>
      <c r="U278" t="e">
        <f t="shared" si="181"/>
        <v>#VALUE!</v>
      </c>
      <c r="V278" t="e">
        <f t="shared" si="182"/>
        <v>#VALUE!</v>
      </c>
      <c r="W278" t="e">
        <f t="shared" si="183"/>
        <v>#VALUE!</v>
      </c>
      <c r="X278" t="e">
        <f t="shared" si="184"/>
        <v>#VALUE!</v>
      </c>
      <c r="Y278" t="e">
        <f t="shared" si="185"/>
        <v>#VALUE!</v>
      </c>
      <c r="Z278" t="e">
        <f t="shared" si="186"/>
        <v>#VALUE!</v>
      </c>
      <c r="AA278" t="e">
        <f t="shared" si="187"/>
        <v>#VALUE!</v>
      </c>
      <c r="AB278" s="23" t="e">
        <f t="shared" si="205"/>
        <v>#VALUE!</v>
      </c>
      <c r="AC278" t="e">
        <f t="shared" si="188"/>
        <v>#VALUE!</v>
      </c>
      <c r="AD278" t="e">
        <f t="shared" si="189"/>
        <v>#VALUE!</v>
      </c>
      <c r="AE278" t="e">
        <f t="shared" si="190"/>
        <v>#VALUE!</v>
      </c>
      <c r="AF278" t="e">
        <f t="shared" si="191"/>
        <v>#VALUE!</v>
      </c>
      <c r="AG278" t="e">
        <f t="shared" si="192"/>
        <v>#VALUE!</v>
      </c>
      <c r="AH278" t="e">
        <f t="shared" si="193"/>
        <v>#VALUE!</v>
      </c>
      <c r="AI278" t="e">
        <f t="shared" si="194"/>
        <v>#VALUE!</v>
      </c>
      <c r="AJ278" s="19" t="e">
        <f t="shared" si="206"/>
        <v>#VALUE!</v>
      </c>
      <c r="AK278" t="e">
        <f t="shared" si="195"/>
        <v>#VALUE!</v>
      </c>
      <c r="AL278" t="e">
        <f t="shared" si="196"/>
        <v>#VALUE!</v>
      </c>
      <c r="AM278" t="e">
        <f t="shared" si="197"/>
        <v>#VALUE!</v>
      </c>
      <c r="AN278" t="e">
        <f t="shared" si="198"/>
        <v>#VALUE!</v>
      </c>
      <c r="AO278" t="e">
        <f t="shared" si="199"/>
        <v>#VALUE!</v>
      </c>
      <c r="AP278" t="e">
        <f t="shared" si="200"/>
        <v>#VALUE!</v>
      </c>
      <c r="AQ278" t="e">
        <f t="shared" si="201"/>
        <v>#VALUE!</v>
      </c>
      <c r="AR278" s="123" t="e">
        <f t="shared" si="207"/>
        <v>#VALUE!</v>
      </c>
      <c r="AS278" t="e">
        <f t="shared" si="202"/>
        <v>#VALUE!</v>
      </c>
      <c r="AT278" s="181" t="e">
        <f>INDEX('stock fisico '!N:N, MATCH(B278, 'stock fisico '!B:B, 0))</f>
        <v>#N/A</v>
      </c>
      <c r="AU278" s="179" t="e">
        <f>INDEX('stock fisico '!D:D, MATCH(B278, 'stock fisico '!B:B, 0))</f>
        <v>#N/A</v>
      </c>
      <c r="AV278" s="177" t="e">
        <f>INDEX('stock fisico '!L:L, MATCH(B278, 'stock fisico '!B:B, 0))</f>
        <v>#N/A</v>
      </c>
    </row>
    <row r="279" spans="1:48" x14ac:dyDescent="0.25">
      <c r="A279" s="181" t="e">
        <f>INDEX('stock fisico '!M:M, MATCH(B279, 'stock fisico '!B:B, 0))</f>
        <v>#N/A</v>
      </c>
      <c r="C279" s="179" t="e">
        <f>INDEX('stock fisico '!C:C, MATCH(B279, 'stock fisico '!B:B, 0))</f>
        <v>#N/A</v>
      </c>
      <c r="D279" s="178" t="e">
        <f>INDEX('stock fisico '!I:I, MATCH(B279, 'stock fisico '!B:B, 0))</f>
        <v>#N/A</v>
      </c>
      <c r="E279" s="173" t="e">
        <f t="shared" si="208"/>
        <v>#VALUE!</v>
      </c>
      <c r="F279" t="e">
        <f t="shared" si="168"/>
        <v>#VALUE!</v>
      </c>
      <c r="G279" t="e">
        <f t="shared" si="169"/>
        <v>#VALUE!</v>
      </c>
      <c r="H279" t="e">
        <f t="shared" si="170"/>
        <v>#VALUE!</v>
      </c>
      <c r="I279" t="e">
        <f t="shared" si="171"/>
        <v>#VALUE!</v>
      </c>
      <c r="J279" t="e">
        <f t="shared" si="172"/>
        <v>#VALUE!</v>
      </c>
      <c r="K279" t="e">
        <f t="shared" si="173"/>
        <v>#VALUE!</v>
      </c>
      <c r="L279" s="175" t="e">
        <f t="shared" si="203"/>
        <v>#VALUE!</v>
      </c>
      <c r="M279" t="e">
        <f t="shared" si="174"/>
        <v>#VALUE!</v>
      </c>
      <c r="N279" t="e">
        <f t="shared" si="175"/>
        <v>#VALUE!</v>
      </c>
      <c r="O279" t="e">
        <f t="shared" si="176"/>
        <v>#VALUE!</v>
      </c>
      <c r="P279" t="e">
        <f t="shared" si="177"/>
        <v>#VALUE!</v>
      </c>
      <c r="Q279" t="e">
        <f t="shared" si="178"/>
        <v>#VALUE!</v>
      </c>
      <c r="R279" t="e">
        <f t="shared" si="179"/>
        <v>#VALUE!</v>
      </c>
      <c r="S279" t="e">
        <f t="shared" si="180"/>
        <v>#VALUE!</v>
      </c>
      <c r="T279" s="174" t="e">
        <f t="shared" si="204"/>
        <v>#VALUE!</v>
      </c>
      <c r="U279" t="e">
        <f t="shared" si="181"/>
        <v>#VALUE!</v>
      </c>
      <c r="V279" t="e">
        <f t="shared" si="182"/>
        <v>#VALUE!</v>
      </c>
      <c r="W279" t="e">
        <f t="shared" si="183"/>
        <v>#VALUE!</v>
      </c>
      <c r="X279" t="e">
        <f t="shared" si="184"/>
        <v>#VALUE!</v>
      </c>
      <c r="Y279" t="e">
        <f t="shared" si="185"/>
        <v>#VALUE!</v>
      </c>
      <c r="Z279" t="e">
        <f t="shared" si="186"/>
        <v>#VALUE!</v>
      </c>
      <c r="AA279" t="e">
        <f t="shared" si="187"/>
        <v>#VALUE!</v>
      </c>
      <c r="AB279" s="23" t="e">
        <f t="shared" si="205"/>
        <v>#VALUE!</v>
      </c>
      <c r="AC279" t="e">
        <f t="shared" si="188"/>
        <v>#VALUE!</v>
      </c>
      <c r="AD279" t="e">
        <f t="shared" si="189"/>
        <v>#VALUE!</v>
      </c>
      <c r="AE279" t="e">
        <f t="shared" si="190"/>
        <v>#VALUE!</v>
      </c>
      <c r="AF279" t="e">
        <f t="shared" si="191"/>
        <v>#VALUE!</v>
      </c>
      <c r="AG279" t="e">
        <f t="shared" si="192"/>
        <v>#VALUE!</v>
      </c>
      <c r="AH279" t="e">
        <f t="shared" si="193"/>
        <v>#VALUE!</v>
      </c>
      <c r="AI279" t="e">
        <f t="shared" si="194"/>
        <v>#VALUE!</v>
      </c>
      <c r="AJ279" s="19" t="e">
        <f t="shared" si="206"/>
        <v>#VALUE!</v>
      </c>
      <c r="AK279" t="e">
        <f t="shared" si="195"/>
        <v>#VALUE!</v>
      </c>
      <c r="AL279" t="e">
        <f t="shared" si="196"/>
        <v>#VALUE!</v>
      </c>
      <c r="AM279" t="e">
        <f t="shared" si="197"/>
        <v>#VALUE!</v>
      </c>
      <c r="AN279" t="e">
        <f t="shared" si="198"/>
        <v>#VALUE!</v>
      </c>
      <c r="AO279" t="e">
        <f t="shared" si="199"/>
        <v>#VALUE!</v>
      </c>
      <c r="AP279" t="e">
        <f t="shared" si="200"/>
        <v>#VALUE!</v>
      </c>
      <c r="AQ279" t="e">
        <f t="shared" si="201"/>
        <v>#VALUE!</v>
      </c>
      <c r="AR279" s="123" t="e">
        <f t="shared" si="207"/>
        <v>#VALUE!</v>
      </c>
      <c r="AS279" t="e">
        <f t="shared" si="202"/>
        <v>#VALUE!</v>
      </c>
      <c r="AT279" s="181" t="e">
        <f>INDEX('stock fisico '!N:N, MATCH(B279, 'stock fisico '!B:B, 0))</f>
        <v>#N/A</v>
      </c>
      <c r="AU279" s="179" t="e">
        <f>INDEX('stock fisico '!D:D, MATCH(B279, 'stock fisico '!B:B, 0))</f>
        <v>#N/A</v>
      </c>
      <c r="AV279" s="177" t="e">
        <f>INDEX('stock fisico '!L:L, MATCH(B279, 'stock fisico '!B:B, 0))</f>
        <v>#N/A</v>
      </c>
    </row>
    <row r="280" spans="1:48" x14ac:dyDescent="0.25">
      <c r="A280" s="181" t="e">
        <f>INDEX('stock fisico '!M:M, MATCH(B280, 'stock fisico '!B:B, 0))</f>
        <v>#N/A</v>
      </c>
      <c r="C280" s="179" t="e">
        <f>INDEX('stock fisico '!C:C, MATCH(B280, 'stock fisico '!B:B, 0))</f>
        <v>#N/A</v>
      </c>
      <c r="D280" s="178" t="e">
        <f>INDEX('stock fisico '!I:I, MATCH(B280, 'stock fisico '!B:B, 0))</f>
        <v>#N/A</v>
      </c>
      <c r="E280" s="173" t="e">
        <f t="shared" si="208"/>
        <v>#VALUE!</v>
      </c>
      <c r="F280" t="e">
        <f t="shared" si="168"/>
        <v>#VALUE!</v>
      </c>
      <c r="G280" t="e">
        <f t="shared" si="169"/>
        <v>#VALUE!</v>
      </c>
      <c r="H280" t="e">
        <f t="shared" si="170"/>
        <v>#VALUE!</v>
      </c>
      <c r="I280" t="e">
        <f t="shared" si="171"/>
        <v>#VALUE!</v>
      </c>
      <c r="J280" t="e">
        <f t="shared" si="172"/>
        <v>#VALUE!</v>
      </c>
      <c r="K280" t="e">
        <f t="shared" si="173"/>
        <v>#VALUE!</v>
      </c>
      <c r="L280" s="175" t="e">
        <f t="shared" si="203"/>
        <v>#VALUE!</v>
      </c>
      <c r="M280" t="e">
        <f t="shared" si="174"/>
        <v>#VALUE!</v>
      </c>
      <c r="N280" t="e">
        <f t="shared" si="175"/>
        <v>#VALUE!</v>
      </c>
      <c r="O280" t="e">
        <f t="shared" si="176"/>
        <v>#VALUE!</v>
      </c>
      <c r="P280" t="e">
        <f t="shared" si="177"/>
        <v>#VALUE!</v>
      </c>
      <c r="Q280" t="e">
        <f t="shared" si="178"/>
        <v>#VALUE!</v>
      </c>
      <c r="R280" t="e">
        <f t="shared" si="179"/>
        <v>#VALUE!</v>
      </c>
      <c r="S280" t="e">
        <f t="shared" si="180"/>
        <v>#VALUE!</v>
      </c>
      <c r="T280" s="174" t="e">
        <f t="shared" si="204"/>
        <v>#VALUE!</v>
      </c>
      <c r="U280" t="e">
        <f t="shared" si="181"/>
        <v>#VALUE!</v>
      </c>
      <c r="V280" t="e">
        <f t="shared" si="182"/>
        <v>#VALUE!</v>
      </c>
      <c r="W280" t="e">
        <f t="shared" si="183"/>
        <v>#VALUE!</v>
      </c>
      <c r="X280" t="e">
        <f t="shared" si="184"/>
        <v>#VALUE!</v>
      </c>
      <c r="Y280" t="e">
        <f t="shared" si="185"/>
        <v>#VALUE!</v>
      </c>
      <c r="Z280" t="e">
        <f t="shared" si="186"/>
        <v>#VALUE!</v>
      </c>
      <c r="AA280" t="e">
        <f t="shared" si="187"/>
        <v>#VALUE!</v>
      </c>
      <c r="AB280" s="23" t="e">
        <f t="shared" si="205"/>
        <v>#VALUE!</v>
      </c>
      <c r="AC280" t="e">
        <f t="shared" si="188"/>
        <v>#VALUE!</v>
      </c>
      <c r="AD280" t="e">
        <f t="shared" si="189"/>
        <v>#VALUE!</v>
      </c>
      <c r="AE280" t="e">
        <f t="shared" si="190"/>
        <v>#VALUE!</v>
      </c>
      <c r="AF280" t="e">
        <f t="shared" si="191"/>
        <v>#VALUE!</v>
      </c>
      <c r="AG280" t="e">
        <f t="shared" si="192"/>
        <v>#VALUE!</v>
      </c>
      <c r="AH280" t="e">
        <f t="shared" si="193"/>
        <v>#VALUE!</v>
      </c>
      <c r="AI280" t="e">
        <f t="shared" si="194"/>
        <v>#VALUE!</v>
      </c>
      <c r="AJ280" s="19" t="e">
        <f t="shared" si="206"/>
        <v>#VALUE!</v>
      </c>
      <c r="AK280" t="e">
        <f t="shared" si="195"/>
        <v>#VALUE!</v>
      </c>
      <c r="AL280" t="e">
        <f t="shared" si="196"/>
        <v>#VALUE!</v>
      </c>
      <c r="AM280" t="e">
        <f t="shared" si="197"/>
        <v>#VALUE!</v>
      </c>
      <c r="AN280" t="e">
        <f t="shared" si="198"/>
        <v>#VALUE!</v>
      </c>
      <c r="AO280" t="e">
        <f t="shared" si="199"/>
        <v>#VALUE!</v>
      </c>
      <c r="AP280" t="e">
        <f t="shared" si="200"/>
        <v>#VALUE!</v>
      </c>
      <c r="AQ280" t="e">
        <f t="shared" si="201"/>
        <v>#VALUE!</v>
      </c>
      <c r="AR280" s="123" t="e">
        <f t="shared" si="207"/>
        <v>#VALUE!</v>
      </c>
      <c r="AS280" t="e">
        <f t="shared" si="202"/>
        <v>#VALUE!</v>
      </c>
      <c r="AT280" s="181" t="e">
        <f>INDEX('stock fisico '!N:N, MATCH(B280, 'stock fisico '!B:B, 0))</f>
        <v>#N/A</v>
      </c>
      <c r="AU280" s="179" t="e">
        <f>INDEX('stock fisico '!D:D, MATCH(B280, 'stock fisico '!B:B, 0))</f>
        <v>#N/A</v>
      </c>
      <c r="AV280" s="177" t="e">
        <f>INDEX('stock fisico '!L:L, MATCH(B280, 'stock fisico '!B:B, 0))</f>
        <v>#N/A</v>
      </c>
    </row>
    <row r="281" spans="1:48" x14ac:dyDescent="0.25">
      <c r="A281" s="181" t="e">
        <f>INDEX('stock fisico '!M:M, MATCH(B281, 'stock fisico '!B:B, 0))</f>
        <v>#N/A</v>
      </c>
      <c r="C281" s="179" t="e">
        <f>INDEX('stock fisico '!C:C, MATCH(B281, 'stock fisico '!B:B, 0))</f>
        <v>#N/A</v>
      </c>
      <c r="D281" s="178" t="e">
        <f>INDEX('stock fisico '!I:I, MATCH(B281, 'stock fisico '!B:B, 0))</f>
        <v>#N/A</v>
      </c>
      <c r="E281" s="173" t="e">
        <f t="shared" si="208"/>
        <v>#VALUE!</v>
      </c>
      <c r="F281" t="e">
        <f t="shared" si="168"/>
        <v>#VALUE!</v>
      </c>
      <c r="G281" t="e">
        <f t="shared" si="169"/>
        <v>#VALUE!</v>
      </c>
      <c r="H281" t="e">
        <f t="shared" si="170"/>
        <v>#VALUE!</v>
      </c>
      <c r="I281" t="e">
        <f t="shared" si="171"/>
        <v>#VALUE!</v>
      </c>
      <c r="J281" t="e">
        <f t="shared" si="172"/>
        <v>#VALUE!</v>
      </c>
      <c r="K281" t="e">
        <f t="shared" si="173"/>
        <v>#VALUE!</v>
      </c>
      <c r="L281" s="175" t="e">
        <f t="shared" si="203"/>
        <v>#VALUE!</v>
      </c>
      <c r="M281" t="e">
        <f t="shared" si="174"/>
        <v>#VALUE!</v>
      </c>
      <c r="N281" t="e">
        <f t="shared" si="175"/>
        <v>#VALUE!</v>
      </c>
      <c r="O281" t="e">
        <f t="shared" si="176"/>
        <v>#VALUE!</v>
      </c>
      <c r="P281" t="e">
        <f t="shared" si="177"/>
        <v>#VALUE!</v>
      </c>
      <c r="Q281" t="e">
        <f t="shared" si="178"/>
        <v>#VALUE!</v>
      </c>
      <c r="R281" t="e">
        <f t="shared" si="179"/>
        <v>#VALUE!</v>
      </c>
      <c r="S281" t="e">
        <f t="shared" si="180"/>
        <v>#VALUE!</v>
      </c>
      <c r="T281" s="174" t="e">
        <f t="shared" si="204"/>
        <v>#VALUE!</v>
      </c>
      <c r="U281" t="e">
        <f t="shared" si="181"/>
        <v>#VALUE!</v>
      </c>
      <c r="V281" t="e">
        <f t="shared" si="182"/>
        <v>#VALUE!</v>
      </c>
      <c r="W281" t="e">
        <f t="shared" si="183"/>
        <v>#VALUE!</v>
      </c>
      <c r="X281" t="e">
        <f t="shared" si="184"/>
        <v>#VALUE!</v>
      </c>
      <c r="Y281" t="e">
        <f t="shared" si="185"/>
        <v>#VALUE!</v>
      </c>
      <c r="Z281" t="e">
        <f t="shared" si="186"/>
        <v>#VALUE!</v>
      </c>
      <c r="AA281" t="e">
        <f t="shared" si="187"/>
        <v>#VALUE!</v>
      </c>
      <c r="AB281" s="23" t="e">
        <f t="shared" si="205"/>
        <v>#VALUE!</v>
      </c>
      <c r="AC281" t="e">
        <f t="shared" si="188"/>
        <v>#VALUE!</v>
      </c>
      <c r="AD281" t="e">
        <f t="shared" si="189"/>
        <v>#VALUE!</v>
      </c>
      <c r="AE281" t="e">
        <f t="shared" si="190"/>
        <v>#VALUE!</v>
      </c>
      <c r="AF281" t="e">
        <f t="shared" si="191"/>
        <v>#VALUE!</v>
      </c>
      <c r="AG281" t="e">
        <f t="shared" si="192"/>
        <v>#VALUE!</v>
      </c>
      <c r="AH281" t="e">
        <f t="shared" si="193"/>
        <v>#VALUE!</v>
      </c>
      <c r="AI281" t="e">
        <f t="shared" si="194"/>
        <v>#VALUE!</v>
      </c>
      <c r="AJ281" s="19" t="e">
        <f t="shared" si="206"/>
        <v>#VALUE!</v>
      </c>
      <c r="AK281" t="e">
        <f t="shared" si="195"/>
        <v>#VALUE!</v>
      </c>
      <c r="AL281" t="e">
        <f t="shared" si="196"/>
        <v>#VALUE!</v>
      </c>
      <c r="AM281" t="e">
        <f t="shared" si="197"/>
        <v>#VALUE!</v>
      </c>
      <c r="AN281" t="e">
        <f t="shared" si="198"/>
        <v>#VALUE!</v>
      </c>
      <c r="AO281" t="e">
        <f t="shared" si="199"/>
        <v>#VALUE!</v>
      </c>
      <c r="AP281" t="e">
        <f t="shared" si="200"/>
        <v>#VALUE!</v>
      </c>
      <c r="AQ281" t="e">
        <f t="shared" si="201"/>
        <v>#VALUE!</v>
      </c>
      <c r="AR281" s="123" t="e">
        <f t="shared" si="207"/>
        <v>#VALUE!</v>
      </c>
      <c r="AS281" t="e">
        <f t="shared" si="202"/>
        <v>#VALUE!</v>
      </c>
      <c r="AT281" s="181" t="e">
        <f>INDEX('stock fisico '!N:N, MATCH(B281, 'stock fisico '!B:B, 0))</f>
        <v>#N/A</v>
      </c>
      <c r="AU281" s="179" t="e">
        <f>INDEX('stock fisico '!D:D, MATCH(B281, 'stock fisico '!B:B, 0))</f>
        <v>#N/A</v>
      </c>
      <c r="AV281" s="177" t="e">
        <f>INDEX('stock fisico '!L:L, MATCH(B281, 'stock fisico '!B:B, 0))</f>
        <v>#N/A</v>
      </c>
    </row>
    <row r="282" spans="1:48" x14ac:dyDescent="0.25">
      <c r="A282" s="181" t="e">
        <f>INDEX('stock fisico '!M:M, MATCH(B282, 'stock fisico '!B:B, 0))</f>
        <v>#N/A</v>
      </c>
      <c r="C282" s="179" t="e">
        <f>INDEX('stock fisico '!C:C, MATCH(B282, 'stock fisico '!B:B, 0))</f>
        <v>#N/A</v>
      </c>
      <c r="D282" s="178" t="e">
        <f>INDEX('stock fisico '!I:I, MATCH(B282, 'stock fisico '!B:B, 0))</f>
        <v>#N/A</v>
      </c>
      <c r="E282" s="173" t="e">
        <f t="shared" si="208"/>
        <v>#VALUE!</v>
      </c>
      <c r="F282" t="e">
        <f t="shared" si="168"/>
        <v>#VALUE!</v>
      </c>
      <c r="G282" t="e">
        <f t="shared" si="169"/>
        <v>#VALUE!</v>
      </c>
      <c r="H282" t="e">
        <f t="shared" si="170"/>
        <v>#VALUE!</v>
      </c>
      <c r="I282" t="e">
        <f t="shared" si="171"/>
        <v>#VALUE!</v>
      </c>
      <c r="J282" t="e">
        <f t="shared" si="172"/>
        <v>#VALUE!</v>
      </c>
      <c r="K282" t="e">
        <f t="shared" si="173"/>
        <v>#VALUE!</v>
      </c>
      <c r="L282" s="175" t="e">
        <f t="shared" si="203"/>
        <v>#VALUE!</v>
      </c>
      <c r="M282" t="e">
        <f t="shared" si="174"/>
        <v>#VALUE!</v>
      </c>
      <c r="N282" t="e">
        <f t="shared" si="175"/>
        <v>#VALUE!</v>
      </c>
      <c r="O282" t="e">
        <f t="shared" si="176"/>
        <v>#VALUE!</v>
      </c>
      <c r="P282" t="e">
        <f t="shared" si="177"/>
        <v>#VALUE!</v>
      </c>
      <c r="Q282" t="e">
        <f t="shared" si="178"/>
        <v>#VALUE!</v>
      </c>
      <c r="R282" t="e">
        <f t="shared" si="179"/>
        <v>#VALUE!</v>
      </c>
      <c r="S282" t="e">
        <f t="shared" si="180"/>
        <v>#VALUE!</v>
      </c>
      <c r="T282" s="174" t="e">
        <f t="shared" si="204"/>
        <v>#VALUE!</v>
      </c>
      <c r="U282" t="e">
        <f t="shared" si="181"/>
        <v>#VALUE!</v>
      </c>
      <c r="V282" t="e">
        <f t="shared" si="182"/>
        <v>#VALUE!</v>
      </c>
      <c r="W282" t="e">
        <f t="shared" si="183"/>
        <v>#VALUE!</v>
      </c>
      <c r="X282" t="e">
        <f t="shared" si="184"/>
        <v>#VALUE!</v>
      </c>
      <c r="Y282" t="e">
        <f t="shared" si="185"/>
        <v>#VALUE!</v>
      </c>
      <c r="Z282" t="e">
        <f t="shared" si="186"/>
        <v>#VALUE!</v>
      </c>
      <c r="AA282" t="e">
        <f t="shared" si="187"/>
        <v>#VALUE!</v>
      </c>
      <c r="AB282" s="23" t="e">
        <f t="shared" si="205"/>
        <v>#VALUE!</v>
      </c>
      <c r="AC282" t="e">
        <f t="shared" si="188"/>
        <v>#VALUE!</v>
      </c>
      <c r="AD282" t="e">
        <f t="shared" si="189"/>
        <v>#VALUE!</v>
      </c>
      <c r="AE282" t="e">
        <f t="shared" si="190"/>
        <v>#VALUE!</v>
      </c>
      <c r="AF282" t="e">
        <f t="shared" si="191"/>
        <v>#VALUE!</v>
      </c>
      <c r="AG282" t="e">
        <f t="shared" si="192"/>
        <v>#VALUE!</v>
      </c>
      <c r="AH282" t="e">
        <f t="shared" si="193"/>
        <v>#VALUE!</v>
      </c>
      <c r="AI282" t="e">
        <f t="shared" si="194"/>
        <v>#VALUE!</v>
      </c>
      <c r="AJ282" s="19" t="e">
        <f t="shared" si="206"/>
        <v>#VALUE!</v>
      </c>
      <c r="AK282" t="e">
        <f t="shared" si="195"/>
        <v>#VALUE!</v>
      </c>
      <c r="AL282" t="e">
        <f t="shared" si="196"/>
        <v>#VALUE!</v>
      </c>
      <c r="AM282" t="e">
        <f t="shared" si="197"/>
        <v>#VALUE!</v>
      </c>
      <c r="AN282" t="e">
        <f t="shared" si="198"/>
        <v>#VALUE!</v>
      </c>
      <c r="AO282" t="e">
        <f t="shared" si="199"/>
        <v>#VALUE!</v>
      </c>
      <c r="AP282" t="e">
        <f t="shared" si="200"/>
        <v>#VALUE!</v>
      </c>
      <c r="AQ282" t="e">
        <f t="shared" si="201"/>
        <v>#VALUE!</v>
      </c>
      <c r="AR282" s="123" t="e">
        <f t="shared" si="207"/>
        <v>#VALUE!</v>
      </c>
      <c r="AS282" t="e">
        <f t="shared" si="202"/>
        <v>#VALUE!</v>
      </c>
      <c r="AT282" s="181" t="e">
        <f>INDEX('stock fisico '!N:N, MATCH(B282, 'stock fisico '!B:B, 0))</f>
        <v>#N/A</v>
      </c>
      <c r="AU282" s="179" t="e">
        <f>INDEX('stock fisico '!D:D, MATCH(B282, 'stock fisico '!B:B, 0))</f>
        <v>#N/A</v>
      </c>
      <c r="AV282" s="177" t="e">
        <f>INDEX('stock fisico '!L:L, MATCH(B282, 'stock fisico '!B:B, 0))</f>
        <v>#N/A</v>
      </c>
    </row>
    <row r="283" spans="1:48" x14ac:dyDescent="0.25">
      <c r="A283" s="181" t="e">
        <f>INDEX('stock fisico '!M:M, MATCH(B283, 'stock fisico '!B:B, 0))</f>
        <v>#N/A</v>
      </c>
      <c r="C283" s="179" t="e">
        <f>INDEX('stock fisico '!C:C, MATCH(B283, 'stock fisico '!B:B, 0))</f>
        <v>#N/A</v>
      </c>
      <c r="D283" s="178" t="e">
        <f>INDEX('stock fisico '!I:I, MATCH(B283, 'stock fisico '!B:B, 0))</f>
        <v>#N/A</v>
      </c>
      <c r="E283" s="173" t="e">
        <f t="shared" si="208"/>
        <v>#VALUE!</v>
      </c>
      <c r="F283" t="e">
        <f t="shared" si="168"/>
        <v>#VALUE!</v>
      </c>
      <c r="G283" t="e">
        <f t="shared" si="169"/>
        <v>#VALUE!</v>
      </c>
      <c r="H283" t="e">
        <f t="shared" si="170"/>
        <v>#VALUE!</v>
      </c>
      <c r="I283" t="e">
        <f t="shared" si="171"/>
        <v>#VALUE!</v>
      </c>
      <c r="J283" t="e">
        <f t="shared" si="172"/>
        <v>#VALUE!</v>
      </c>
      <c r="K283" t="e">
        <f t="shared" si="173"/>
        <v>#VALUE!</v>
      </c>
      <c r="L283" s="175" t="e">
        <f t="shared" si="203"/>
        <v>#VALUE!</v>
      </c>
      <c r="M283" t="e">
        <f t="shared" si="174"/>
        <v>#VALUE!</v>
      </c>
      <c r="N283" t="e">
        <f t="shared" si="175"/>
        <v>#VALUE!</v>
      </c>
      <c r="O283" t="e">
        <f t="shared" si="176"/>
        <v>#VALUE!</v>
      </c>
      <c r="P283" t="e">
        <f t="shared" si="177"/>
        <v>#VALUE!</v>
      </c>
      <c r="Q283" t="e">
        <f t="shared" si="178"/>
        <v>#VALUE!</v>
      </c>
      <c r="R283" t="e">
        <f t="shared" si="179"/>
        <v>#VALUE!</v>
      </c>
      <c r="S283" t="e">
        <f t="shared" si="180"/>
        <v>#VALUE!</v>
      </c>
      <c r="T283" s="174" t="e">
        <f t="shared" si="204"/>
        <v>#VALUE!</v>
      </c>
      <c r="U283" t="e">
        <f t="shared" si="181"/>
        <v>#VALUE!</v>
      </c>
      <c r="V283" t="e">
        <f t="shared" si="182"/>
        <v>#VALUE!</v>
      </c>
      <c r="W283" t="e">
        <f t="shared" si="183"/>
        <v>#VALUE!</v>
      </c>
      <c r="X283" t="e">
        <f t="shared" si="184"/>
        <v>#VALUE!</v>
      </c>
      <c r="Y283" t="e">
        <f t="shared" si="185"/>
        <v>#VALUE!</v>
      </c>
      <c r="Z283" t="e">
        <f t="shared" si="186"/>
        <v>#VALUE!</v>
      </c>
      <c r="AA283" t="e">
        <f t="shared" si="187"/>
        <v>#VALUE!</v>
      </c>
      <c r="AB283" s="23" t="e">
        <f t="shared" si="205"/>
        <v>#VALUE!</v>
      </c>
      <c r="AC283" t="e">
        <f t="shared" si="188"/>
        <v>#VALUE!</v>
      </c>
      <c r="AD283" t="e">
        <f t="shared" si="189"/>
        <v>#VALUE!</v>
      </c>
      <c r="AE283" t="e">
        <f t="shared" si="190"/>
        <v>#VALUE!</v>
      </c>
      <c r="AF283" t="e">
        <f t="shared" si="191"/>
        <v>#VALUE!</v>
      </c>
      <c r="AG283" t="e">
        <f t="shared" si="192"/>
        <v>#VALUE!</v>
      </c>
      <c r="AH283" t="e">
        <f t="shared" si="193"/>
        <v>#VALUE!</v>
      </c>
      <c r="AI283" t="e">
        <f t="shared" si="194"/>
        <v>#VALUE!</v>
      </c>
      <c r="AJ283" s="19" t="e">
        <f t="shared" si="206"/>
        <v>#VALUE!</v>
      </c>
      <c r="AK283" t="e">
        <f t="shared" si="195"/>
        <v>#VALUE!</v>
      </c>
      <c r="AL283" t="e">
        <f t="shared" si="196"/>
        <v>#VALUE!</v>
      </c>
      <c r="AM283" t="e">
        <f t="shared" si="197"/>
        <v>#VALUE!</v>
      </c>
      <c r="AN283" t="e">
        <f t="shared" si="198"/>
        <v>#VALUE!</v>
      </c>
      <c r="AO283" t="e">
        <f t="shared" si="199"/>
        <v>#VALUE!</v>
      </c>
      <c r="AP283" t="e">
        <f t="shared" si="200"/>
        <v>#VALUE!</v>
      </c>
      <c r="AQ283" t="e">
        <f t="shared" si="201"/>
        <v>#VALUE!</v>
      </c>
      <c r="AR283" s="123" t="e">
        <f t="shared" si="207"/>
        <v>#VALUE!</v>
      </c>
      <c r="AS283" t="e">
        <f t="shared" si="202"/>
        <v>#VALUE!</v>
      </c>
      <c r="AT283" s="181" t="e">
        <f>INDEX('stock fisico '!N:N, MATCH(B283, 'stock fisico '!B:B, 0))</f>
        <v>#N/A</v>
      </c>
      <c r="AU283" s="179" t="e">
        <f>INDEX('stock fisico '!D:D, MATCH(B283, 'stock fisico '!B:B, 0))</f>
        <v>#N/A</v>
      </c>
      <c r="AV283" s="177" t="e">
        <f>INDEX('stock fisico '!L:L, MATCH(B283, 'stock fisico '!B:B, 0))</f>
        <v>#N/A</v>
      </c>
    </row>
    <row r="284" spans="1:48" x14ac:dyDescent="0.25">
      <c r="A284" s="181" t="e">
        <f>INDEX('stock fisico '!M:M, MATCH(B284, 'stock fisico '!B:B, 0))</f>
        <v>#N/A</v>
      </c>
      <c r="C284" s="179" t="e">
        <f>INDEX('stock fisico '!C:C, MATCH(B284, 'stock fisico '!B:B, 0))</f>
        <v>#N/A</v>
      </c>
      <c r="D284" s="178" t="e">
        <f>INDEX('stock fisico '!I:I, MATCH(B284, 'stock fisico '!B:B, 0))</f>
        <v>#N/A</v>
      </c>
      <c r="E284" s="173" t="e">
        <f t="shared" si="208"/>
        <v>#VALUE!</v>
      </c>
      <c r="F284" t="e">
        <f t="shared" si="168"/>
        <v>#VALUE!</v>
      </c>
      <c r="G284" t="e">
        <f t="shared" si="169"/>
        <v>#VALUE!</v>
      </c>
      <c r="H284" t="e">
        <f t="shared" si="170"/>
        <v>#VALUE!</v>
      </c>
      <c r="I284" t="e">
        <f t="shared" si="171"/>
        <v>#VALUE!</v>
      </c>
      <c r="J284" t="e">
        <f t="shared" si="172"/>
        <v>#VALUE!</v>
      </c>
      <c r="K284" t="e">
        <f t="shared" si="173"/>
        <v>#VALUE!</v>
      </c>
      <c r="L284" s="175" t="e">
        <f t="shared" si="203"/>
        <v>#VALUE!</v>
      </c>
      <c r="M284" t="e">
        <f t="shared" si="174"/>
        <v>#VALUE!</v>
      </c>
      <c r="N284" t="e">
        <f t="shared" si="175"/>
        <v>#VALUE!</v>
      </c>
      <c r="O284" t="e">
        <f t="shared" si="176"/>
        <v>#VALUE!</v>
      </c>
      <c r="P284" t="e">
        <f t="shared" si="177"/>
        <v>#VALUE!</v>
      </c>
      <c r="Q284" t="e">
        <f t="shared" si="178"/>
        <v>#VALUE!</v>
      </c>
      <c r="R284" t="e">
        <f t="shared" si="179"/>
        <v>#VALUE!</v>
      </c>
      <c r="S284" t="e">
        <f t="shared" si="180"/>
        <v>#VALUE!</v>
      </c>
      <c r="T284" s="174" t="e">
        <f t="shared" si="204"/>
        <v>#VALUE!</v>
      </c>
      <c r="U284" t="e">
        <f t="shared" si="181"/>
        <v>#VALUE!</v>
      </c>
      <c r="V284" t="e">
        <f t="shared" si="182"/>
        <v>#VALUE!</v>
      </c>
      <c r="W284" t="e">
        <f t="shared" si="183"/>
        <v>#VALUE!</v>
      </c>
      <c r="X284" t="e">
        <f t="shared" si="184"/>
        <v>#VALUE!</v>
      </c>
      <c r="Y284" t="e">
        <f t="shared" si="185"/>
        <v>#VALUE!</v>
      </c>
      <c r="Z284" t="e">
        <f t="shared" si="186"/>
        <v>#VALUE!</v>
      </c>
      <c r="AA284" t="e">
        <f t="shared" si="187"/>
        <v>#VALUE!</v>
      </c>
      <c r="AB284" s="23" t="e">
        <f t="shared" si="205"/>
        <v>#VALUE!</v>
      </c>
      <c r="AC284" t="e">
        <f t="shared" si="188"/>
        <v>#VALUE!</v>
      </c>
      <c r="AD284" t="e">
        <f t="shared" si="189"/>
        <v>#VALUE!</v>
      </c>
      <c r="AE284" t="e">
        <f t="shared" si="190"/>
        <v>#VALUE!</v>
      </c>
      <c r="AF284" t="e">
        <f t="shared" si="191"/>
        <v>#VALUE!</v>
      </c>
      <c r="AG284" t="e">
        <f t="shared" si="192"/>
        <v>#VALUE!</v>
      </c>
      <c r="AH284" t="e">
        <f t="shared" si="193"/>
        <v>#VALUE!</v>
      </c>
      <c r="AI284" t="e">
        <f t="shared" si="194"/>
        <v>#VALUE!</v>
      </c>
      <c r="AJ284" s="19" t="e">
        <f t="shared" si="206"/>
        <v>#VALUE!</v>
      </c>
      <c r="AK284" t="e">
        <f t="shared" si="195"/>
        <v>#VALUE!</v>
      </c>
      <c r="AL284" t="e">
        <f t="shared" si="196"/>
        <v>#VALUE!</v>
      </c>
      <c r="AM284" t="e">
        <f t="shared" si="197"/>
        <v>#VALUE!</v>
      </c>
      <c r="AN284" t="e">
        <f t="shared" si="198"/>
        <v>#VALUE!</v>
      </c>
      <c r="AO284" t="e">
        <f t="shared" si="199"/>
        <v>#VALUE!</v>
      </c>
      <c r="AP284" t="e">
        <f t="shared" si="200"/>
        <v>#VALUE!</v>
      </c>
      <c r="AQ284" t="e">
        <f t="shared" si="201"/>
        <v>#VALUE!</v>
      </c>
      <c r="AR284" s="123" t="e">
        <f t="shared" si="207"/>
        <v>#VALUE!</v>
      </c>
      <c r="AS284" t="e">
        <f t="shared" si="202"/>
        <v>#VALUE!</v>
      </c>
      <c r="AT284" s="181" t="e">
        <f>INDEX('stock fisico '!N:N, MATCH(B284, 'stock fisico '!B:B, 0))</f>
        <v>#N/A</v>
      </c>
      <c r="AU284" s="179" t="e">
        <f>INDEX('stock fisico '!D:D, MATCH(B284, 'stock fisico '!B:B, 0))</f>
        <v>#N/A</v>
      </c>
      <c r="AV284" s="177" t="e">
        <f>INDEX('stock fisico '!L:L, MATCH(B284, 'stock fisico '!B:B, 0))</f>
        <v>#N/A</v>
      </c>
    </row>
    <row r="285" spans="1:48" x14ac:dyDescent="0.25">
      <c r="A285" s="181" t="e">
        <f>INDEX('stock fisico '!M:M, MATCH(B285, 'stock fisico '!B:B, 0))</f>
        <v>#N/A</v>
      </c>
      <c r="C285" s="179" t="e">
        <f>INDEX('stock fisico '!C:C, MATCH(B285, 'stock fisico '!B:B, 0))</f>
        <v>#N/A</v>
      </c>
      <c r="D285" s="178" t="e">
        <f>INDEX('stock fisico '!I:I, MATCH(B285, 'stock fisico '!B:B, 0))</f>
        <v>#N/A</v>
      </c>
      <c r="E285" s="173" t="e">
        <f t="shared" si="208"/>
        <v>#VALUE!</v>
      </c>
      <c r="F285" t="e">
        <f t="shared" si="168"/>
        <v>#VALUE!</v>
      </c>
      <c r="G285" t="e">
        <f t="shared" si="169"/>
        <v>#VALUE!</v>
      </c>
      <c r="H285" t="e">
        <f t="shared" si="170"/>
        <v>#VALUE!</v>
      </c>
      <c r="I285" t="e">
        <f t="shared" si="171"/>
        <v>#VALUE!</v>
      </c>
      <c r="J285" t="e">
        <f t="shared" si="172"/>
        <v>#VALUE!</v>
      </c>
      <c r="K285" t="e">
        <f t="shared" si="173"/>
        <v>#VALUE!</v>
      </c>
      <c r="L285" s="175" t="e">
        <f t="shared" si="203"/>
        <v>#VALUE!</v>
      </c>
      <c r="M285" t="e">
        <f t="shared" si="174"/>
        <v>#VALUE!</v>
      </c>
      <c r="N285" t="e">
        <f t="shared" si="175"/>
        <v>#VALUE!</v>
      </c>
      <c r="O285" t="e">
        <f t="shared" si="176"/>
        <v>#VALUE!</v>
      </c>
      <c r="P285" t="e">
        <f t="shared" si="177"/>
        <v>#VALUE!</v>
      </c>
      <c r="Q285" t="e">
        <f t="shared" si="178"/>
        <v>#VALUE!</v>
      </c>
      <c r="R285" t="e">
        <f t="shared" si="179"/>
        <v>#VALUE!</v>
      </c>
      <c r="S285" t="e">
        <f t="shared" si="180"/>
        <v>#VALUE!</v>
      </c>
      <c r="T285" s="174" t="e">
        <f t="shared" si="204"/>
        <v>#VALUE!</v>
      </c>
      <c r="U285" t="e">
        <f t="shared" si="181"/>
        <v>#VALUE!</v>
      </c>
      <c r="V285" t="e">
        <f t="shared" si="182"/>
        <v>#VALUE!</v>
      </c>
      <c r="W285" t="e">
        <f t="shared" si="183"/>
        <v>#VALUE!</v>
      </c>
      <c r="X285" t="e">
        <f t="shared" si="184"/>
        <v>#VALUE!</v>
      </c>
      <c r="Y285" t="e">
        <f t="shared" si="185"/>
        <v>#VALUE!</v>
      </c>
      <c r="Z285" t="e">
        <f t="shared" si="186"/>
        <v>#VALUE!</v>
      </c>
      <c r="AA285" t="e">
        <f t="shared" si="187"/>
        <v>#VALUE!</v>
      </c>
      <c r="AB285" s="23" t="e">
        <f t="shared" si="205"/>
        <v>#VALUE!</v>
      </c>
      <c r="AC285" t="e">
        <f t="shared" si="188"/>
        <v>#VALUE!</v>
      </c>
      <c r="AD285" t="e">
        <f t="shared" si="189"/>
        <v>#VALUE!</v>
      </c>
      <c r="AE285" t="e">
        <f t="shared" si="190"/>
        <v>#VALUE!</v>
      </c>
      <c r="AF285" t="e">
        <f t="shared" si="191"/>
        <v>#VALUE!</v>
      </c>
      <c r="AG285" t="e">
        <f t="shared" si="192"/>
        <v>#VALUE!</v>
      </c>
      <c r="AH285" t="e">
        <f t="shared" si="193"/>
        <v>#VALUE!</v>
      </c>
      <c r="AI285" t="e">
        <f t="shared" si="194"/>
        <v>#VALUE!</v>
      </c>
      <c r="AJ285" s="19" t="e">
        <f t="shared" si="206"/>
        <v>#VALUE!</v>
      </c>
      <c r="AK285" t="e">
        <f t="shared" si="195"/>
        <v>#VALUE!</v>
      </c>
      <c r="AL285" t="e">
        <f t="shared" si="196"/>
        <v>#VALUE!</v>
      </c>
      <c r="AM285" t="e">
        <f t="shared" si="197"/>
        <v>#VALUE!</v>
      </c>
      <c r="AN285" t="e">
        <f t="shared" si="198"/>
        <v>#VALUE!</v>
      </c>
      <c r="AO285" t="e">
        <f t="shared" si="199"/>
        <v>#VALUE!</v>
      </c>
      <c r="AP285" t="e">
        <f t="shared" si="200"/>
        <v>#VALUE!</v>
      </c>
      <c r="AQ285" t="e">
        <f t="shared" si="201"/>
        <v>#VALUE!</v>
      </c>
      <c r="AR285" s="123" t="e">
        <f t="shared" si="207"/>
        <v>#VALUE!</v>
      </c>
      <c r="AS285" t="e">
        <f t="shared" si="202"/>
        <v>#VALUE!</v>
      </c>
      <c r="AT285" s="181" t="e">
        <f>INDEX('stock fisico '!N:N, MATCH(B285, 'stock fisico '!B:B, 0))</f>
        <v>#N/A</v>
      </c>
      <c r="AU285" s="179" t="e">
        <f>INDEX('stock fisico '!D:D, MATCH(B285, 'stock fisico '!B:B, 0))</f>
        <v>#N/A</v>
      </c>
      <c r="AV285" s="177" t="e">
        <f>INDEX('stock fisico '!L:L, MATCH(B285, 'stock fisico '!B:B, 0))</f>
        <v>#N/A</v>
      </c>
    </row>
    <row r="286" spans="1:48" x14ac:dyDescent="0.25">
      <c r="A286" s="181" t="e">
        <f>INDEX('stock fisico '!M:M, MATCH(B286, 'stock fisico '!B:B, 0))</f>
        <v>#N/A</v>
      </c>
      <c r="C286" s="179" t="e">
        <f>INDEX('stock fisico '!C:C, MATCH(B286, 'stock fisico '!B:B, 0))</f>
        <v>#N/A</v>
      </c>
      <c r="D286" s="178" t="e">
        <f>INDEX('stock fisico '!I:I, MATCH(B286, 'stock fisico '!B:B, 0))</f>
        <v>#N/A</v>
      </c>
      <c r="E286" s="173" t="e">
        <f t="shared" si="208"/>
        <v>#VALUE!</v>
      </c>
      <c r="F286" t="e">
        <f t="shared" si="168"/>
        <v>#VALUE!</v>
      </c>
      <c r="G286" t="e">
        <f t="shared" si="169"/>
        <v>#VALUE!</v>
      </c>
      <c r="H286" t="e">
        <f t="shared" si="170"/>
        <v>#VALUE!</v>
      </c>
      <c r="I286" t="e">
        <f t="shared" si="171"/>
        <v>#VALUE!</v>
      </c>
      <c r="J286" t="e">
        <f t="shared" si="172"/>
        <v>#VALUE!</v>
      </c>
      <c r="K286" t="e">
        <f t="shared" si="173"/>
        <v>#VALUE!</v>
      </c>
      <c r="L286" s="175" t="e">
        <f t="shared" si="203"/>
        <v>#VALUE!</v>
      </c>
      <c r="M286" t="e">
        <f t="shared" si="174"/>
        <v>#VALUE!</v>
      </c>
      <c r="N286" t="e">
        <f t="shared" si="175"/>
        <v>#VALUE!</v>
      </c>
      <c r="O286" t="e">
        <f t="shared" si="176"/>
        <v>#VALUE!</v>
      </c>
      <c r="P286" t="e">
        <f t="shared" si="177"/>
        <v>#VALUE!</v>
      </c>
      <c r="Q286" t="e">
        <f t="shared" si="178"/>
        <v>#VALUE!</v>
      </c>
      <c r="R286" t="e">
        <f t="shared" si="179"/>
        <v>#VALUE!</v>
      </c>
      <c r="S286" t="e">
        <f t="shared" si="180"/>
        <v>#VALUE!</v>
      </c>
      <c r="T286" s="174" t="e">
        <f t="shared" si="204"/>
        <v>#VALUE!</v>
      </c>
      <c r="U286" t="e">
        <f t="shared" si="181"/>
        <v>#VALUE!</v>
      </c>
      <c r="V286" t="e">
        <f t="shared" si="182"/>
        <v>#VALUE!</v>
      </c>
      <c r="W286" t="e">
        <f t="shared" si="183"/>
        <v>#VALUE!</v>
      </c>
      <c r="X286" t="e">
        <f t="shared" si="184"/>
        <v>#VALUE!</v>
      </c>
      <c r="Y286" t="e">
        <f t="shared" si="185"/>
        <v>#VALUE!</v>
      </c>
      <c r="Z286" t="e">
        <f t="shared" si="186"/>
        <v>#VALUE!</v>
      </c>
      <c r="AA286" t="e">
        <f t="shared" si="187"/>
        <v>#VALUE!</v>
      </c>
      <c r="AB286" s="23" t="e">
        <f t="shared" si="205"/>
        <v>#VALUE!</v>
      </c>
      <c r="AC286" t="e">
        <f t="shared" si="188"/>
        <v>#VALUE!</v>
      </c>
      <c r="AD286" t="e">
        <f t="shared" si="189"/>
        <v>#VALUE!</v>
      </c>
      <c r="AE286" t="e">
        <f t="shared" si="190"/>
        <v>#VALUE!</v>
      </c>
      <c r="AF286" t="e">
        <f t="shared" si="191"/>
        <v>#VALUE!</v>
      </c>
      <c r="AG286" t="e">
        <f t="shared" si="192"/>
        <v>#VALUE!</v>
      </c>
      <c r="AH286" t="e">
        <f t="shared" si="193"/>
        <v>#VALUE!</v>
      </c>
      <c r="AI286" t="e">
        <f t="shared" si="194"/>
        <v>#VALUE!</v>
      </c>
      <c r="AJ286" s="19" t="e">
        <f t="shared" si="206"/>
        <v>#VALUE!</v>
      </c>
      <c r="AK286" t="e">
        <f t="shared" si="195"/>
        <v>#VALUE!</v>
      </c>
      <c r="AL286" t="e">
        <f t="shared" si="196"/>
        <v>#VALUE!</v>
      </c>
      <c r="AM286" t="e">
        <f t="shared" si="197"/>
        <v>#VALUE!</v>
      </c>
      <c r="AN286" t="e">
        <f t="shared" si="198"/>
        <v>#VALUE!</v>
      </c>
      <c r="AO286" t="e">
        <f t="shared" si="199"/>
        <v>#VALUE!</v>
      </c>
      <c r="AP286" t="e">
        <f t="shared" si="200"/>
        <v>#VALUE!</v>
      </c>
      <c r="AQ286" t="e">
        <f t="shared" si="201"/>
        <v>#VALUE!</v>
      </c>
      <c r="AR286" s="123" t="e">
        <f t="shared" si="207"/>
        <v>#VALUE!</v>
      </c>
      <c r="AS286" t="e">
        <f t="shared" si="202"/>
        <v>#VALUE!</v>
      </c>
      <c r="AT286" s="181" t="e">
        <f>INDEX('stock fisico '!N:N, MATCH(B286, 'stock fisico '!B:B, 0))</f>
        <v>#N/A</v>
      </c>
      <c r="AU286" s="179" t="e">
        <f>INDEX('stock fisico '!D:D, MATCH(B286, 'stock fisico '!B:B, 0))</f>
        <v>#N/A</v>
      </c>
      <c r="AV286" s="177" t="e">
        <f>INDEX('stock fisico '!L:L, MATCH(B286, 'stock fisico '!B:B, 0))</f>
        <v>#N/A</v>
      </c>
    </row>
    <row r="287" spans="1:48" x14ac:dyDescent="0.25">
      <c r="A287" s="181" t="e">
        <f>INDEX('stock fisico '!M:M, MATCH(B287, 'stock fisico '!B:B, 0))</f>
        <v>#N/A</v>
      </c>
      <c r="C287" s="179" t="e">
        <f>INDEX('stock fisico '!C:C, MATCH(B287, 'stock fisico '!B:B, 0))</f>
        <v>#N/A</v>
      </c>
      <c r="D287" s="178" t="e">
        <f>INDEX('stock fisico '!I:I, MATCH(B287, 'stock fisico '!B:B, 0))</f>
        <v>#N/A</v>
      </c>
      <c r="E287" s="173" t="e">
        <f t="shared" si="208"/>
        <v>#VALUE!</v>
      </c>
      <c r="F287" t="e">
        <f t="shared" si="168"/>
        <v>#VALUE!</v>
      </c>
      <c r="G287" t="e">
        <f t="shared" si="169"/>
        <v>#VALUE!</v>
      </c>
      <c r="H287" t="e">
        <f t="shared" si="170"/>
        <v>#VALUE!</v>
      </c>
      <c r="I287" t="e">
        <f t="shared" si="171"/>
        <v>#VALUE!</v>
      </c>
      <c r="J287" t="e">
        <f t="shared" si="172"/>
        <v>#VALUE!</v>
      </c>
      <c r="K287" t="e">
        <f t="shared" si="173"/>
        <v>#VALUE!</v>
      </c>
      <c r="L287" s="175" t="e">
        <f t="shared" si="203"/>
        <v>#VALUE!</v>
      </c>
      <c r="M287" t="e">
        <f t="shared" si="174"/>
        <v>#VALUE!</v>
      </c>
      <c r="N287" t="e">
        <f t="shared" si="175"/>
        <v>#VALUE!</v>
      </c>
      <c r="O287" t="e">
        <f t="shared" si="176"/>
        <v>#VALUE!</v>
      </c>
      <c r="P287" t="e">
        <f t="shared" si="177"/>
        <v>#VALUE!</v>
      </c>
      <c r="Q287" t="e">
        <f t="shared" si="178"/>
        <v>#VALUE!</v>
      </c>
      <c r="R287" t="e">
        <f t="shared" si="179"/>
        <v>#VALUE!</v>
      </c>
      <c r="S287" t="e">
        <f t="shared" si="180"/>
        <v>#VALUE!</v>
      </c>
      <c r="T287" s="174" t="e">
        <f t="shared" si="204"/>
        <v>#VALUE!</v>
      </c>
      <c r="U287" t="e">
        <f t="shared" si="181"/>
        <v>#VALUE!</v>
      </c>
      <c r="V287" t="e">
        <f t="shared" si="182"/>
        <v>#VALUE!</v>
      </c>
      <c r="W287" t="e">
        <f t="shared" si="183"/>
        <v>#VALUE!</v>
      </c>
      <c r="X287" t="e">
        <f t="shared" si="184"/>
        <v>#VALUE!</v>
      </c>
      <c r="Y287" t="e">
        <f t="shared" si="185"/>
        <v>#VALUE!</v>
      </c>
      <c r="Z287" t="e">
        <f t="shared" si="186"/>
        <v>#VALUE!</v>
      </c>
      <c r="AA287" t="e">
        <f t="shared" si="187"/>
        <v>#VALUE!</v>
      </c>
      <c r="AB287" s="23" t="e">
        <f t="shared" si="205"/>
        <v>#VALUE!</v>
      </c>
      <c r="AC287" t="e">
        <f t="shared" si="188"/>
        <v>#VALUE!</v>
      </c>
      <c r="AD287" t="e">
        <f t="shared" si="189"/>
        <v>#VALUE!</v>
      </c>
      <c r="AE287" t="e">
        <f t="shared" si="190"/>
        <v>#VALUE!</v>
      </c>
      <c r="AF287" t="e">
        <f t="shared" si="191"/>
        <v>#VALUE!</v>
      </c>
      <c r="AG287" t="e">
        <f t="shared" si="192"/>
        <v>#VALUE!</v>
      </c>
      <c r="AH287" t="e">
        <f t="shared" si="193"/>
        <v>#VALUE!</v>
      </c>
      <c r="AI287" t="e">
        <f t="shared" si="194"/>
        <v>#VALUE!</v>
      </c>
      <c r="AJ287" s="19" t="e">
        <f t="shared" si="206"/>
        <v>#VALUE!</v>
      </c>
      <c r="AK287" t="e">
        <f t="shared" si="195"/>
        <v>#VALUE!</v>
      </c>
      <c r="AL287" t="e">
        <f t="shared" si="196"/>
        <v>#VALUE!</v>
      </c>
      <c r="AM287" t="e">
        <f t="shared" si="197"/>
        <v>#VALUE!</v>
      </c>
      <c r="AN287" t="e">
        <f t="shared" si="198"/>
        <v>#VALUE!</v>
      </c>
      <c r="AO287" t="e">
        <f t="shared" si="199"/>
        <v>#VALUE!</v>
      </c>
      <c r="AP287" t="e">
        <f t="shared" si="200"/>
        <v>#VALUE!</v>
      </c>
      <c r="AQ287" t="e">
        <f t="shared" si="201"/>
        <v>#VALUE!</v>
      </c>
      <c r="AR287" s="123" t="e">
        <f t="shared" si="207"/>
        <v>#VALUE!</v>
      </c>
      <c r="AS287" t="e">
        <f t="shared" si="202"/>
        <v>#VALUE!</v>
      </c>
      <c r="AT287" s="181" t="e">
        <f>INDEX('stock fisico '!N:N, MATCH(B287, 'stock fisico '!B:B, 0))</f>
        <v>#N/A</v>
      </c>
      <c r="AU287" s="179" t="e">
        <f>INDEX('stock fisico '!D:D, MATCH(B287, 'stock fisico '!B:B, 0))</f>
        <v>#N/A</v>
      </c>
      <c r="AV287" s="177" t="e">
        <f>INDEX('stock fisico '!L:L, MATCH(B287, 'stock fisico '!B:B, 0))</f>
        <v>#N/A</v>
      </c>
    </row>
    <row r="288" spans="1:48" x14ac:dyDescent="0.25">
      <c r="A288" s="181" t="e">
        <f>INDEX('stock fisico '!M:M, MATCH(B288, 'stock fisico '!B:B, 0))</f>
        <v>#N/A</v>
      </c>
      <c r="C288" s="179" t="e">
        <f>INDEX('stock fisico '!C:C, MATCH(B288, 'stock fisico '!B:B, 0))</f>
        <v>#N/A</v>
      </c>
      <c r="D288" s="178" t="e">
        <f>INDEX('stock fisico '!I:I, MATCH(B288, 'stock fisico '!B:B, 0))</f>
        <v>#N/A</v>
      </c>
      <c r="E288" s="173" t="e">
        <f t="shared" si="208"/>
        <v>#VALUE!</v>
      </c>
      <c r="F288" t="e">
        <f t="shared" si="168"/>
        <v>#VALUE!</v>
      </c>
      <c r="G288" t="e">
        <f t="shared" si="169"/>
        <v>#VALUE!</v>
      </c>
      <c r="H288" t="e">
        <f t="shared" si="170"/>
        <v>#VALUE!</v>
      </c>
      <c r="I288" t="e">
        <f t="shared" si="171"/>
        <v>#VALUE!</v>
      </c>
      <c r="J288" t="e">
        <f t="shared" si="172"/>
        <v>#VALUE!</v>
      </c>
      <c r="K288" t="e">
        <f t="shared" si="173"/>
        <v>#VALUE!</v>
      </c>
      <c r="L288" s="175" t="e">
        <f t="shared" si="203"/>
        <v>#VALUE!</v>
      </c>
      <c r="M288" t="e">
        <f t="shared" si="174"/>
        <v>#VALUE!</v>
      </c>
      <c r="N288" t="e">
        <f t="shared" si="175"/>
        <v>#VALUE!</v>
      </c>
      <c r="O288" t="e">
        <f t="shared" si="176"/>
        <v>#VALUE!</v>
      </c>
      <c r="P288" t="e">
        <f t="shared" si="177"/>
        <v>#VALUE!</v>
      </c>
      <c r="Q288" t="e">
        <f t="shared" si="178"/>
        <v>#VALUE!</v>
      </c>
      <c r="R288" t="e">
        <f t="shared" si="179"/>
        <v>#VALUE!</v>
      </c>
      <c r="S288" t="e">
        <f t="shared" si="180"/>
        <v>#VALUE!</v>
      </c>
      <c r="T288" s="174" t="e">
        <f t="shared" si="204"/>
        <v>#VALUE!</v>
      </c>
      <c r="U288" t="e">
        <f t="shared" si="181"/>
        <v>#VALUE!</v>
      </c>
      <c r="V288" t="e">
        <f t="shared" si="182"/>
        <v>#VALUE!</v>
      </c>
      <c r="W288" t="e">
        <f t="shared" si="183"/>
        <v>#VALUE!</v>
      </c>
      <c r="X288" t="e">
        <f t="shared" si="184"/>
        <v>#VALUE!</v>
      </c>
      <c r="Y288" t="e">
        <f t="shared" si="185"/>
        <v>#VALUE!</v>
      </c>
      <c r="Z288" t="e">
        <f t="shared" si="186"/>
        <v>#VALUE!</v>
      </c>
      <c r="AA288" t="e">
        <f t="shared" si="187"/>
        <v>#VALUE!</v>
      </c>
      <c r="AB288" s="23" t="e">
        <f t="shared" si="205"/>
        <v>#VALUE!</v>
      </c>
      <c r="AC288" t="e">
        <f t="shared" si="188"/>
        <v>#VALUE!</v>
      </c>
      <c r="AD288" t="e">
        <f t="shared" si="189"/>
        <v>#VALUE!</v>
      </c>
      <c r="AE288" t="e">
        <f t="shared" si="190"/>
        <v>#VALUE!</v>
      </c>
      <c r="AF288" t="e">
        <f t="shared" si="191"/>
        <v>#VALUE!</v>
      </c>
      <c r="AG288" t="e">
        <f t="shared" si="192"/>
        <v>#VALUE!</v>
      </c>
      <c r="AH288" t="e">
        <f t="shared" si="193"/>
        <v>#VALUE!</v>
      </c>
      <c r="AI288" t="e">
        <f t="shared" si="194"/>
        <v>#VALUE!</v>
      </c>
      <c r="AJ288" s="19" t="e">
        <f t="shared" si="206"/>
        <v>#VALUE!</v>
      </c>
      <c r="AK288" t="e">
        <f t="shared" si="195"/>
        <v>#VALUE!</v>
      </c>
      <c r="AL288" t="e">
        <f t="shared" si="196"/>
        <v>#VALUE!</v>
      </c>
      <c r="AM288" t="e">
        <f t="shared" si="197"/>
        <v>#VALUE!</v>
      </c>
      <c r="AN288" t="e">
        <f t="shared" si="198"/>
        <v>#VALUE!</v>
      </c>
      <c r="AO288" t="e">
        <f t="shared" si="199"/>
        <v>#VALUE!</v>
      </c>
      <c r="AP288" t="e">
        <f t="shared" si="200"/>
        <v>#VALUE!</v>
      </c>
      <c r="AQ288" t="e">
        <f t="shared" si="201"/>
        <v>#VALUE!</v>
      </c>
      <c r="AR288" s="123" t="e">
        <f t="shared" si="207"/>
        <v>#VALUE!</v>
      </c>
      <c r="AS288" t="e">
        <f t="shared" si="202"/>
        <v>#VALUE!</v>
      </c>
      <c r="AT288" s="181" t="e">
        <f>INDEX('stock fisico '!N:N, MATCH(B288, 'stock fisico '!B:B, 0))</f>
        <v>#N/A</v>
      </c>
      <c r="AU288" s="179" t="e">
        <f>INDEX('stock fisico '!D:D, MATCH(B288, 'stock fisico '!B:B, 0))</f>
        <v>#N/A</v>
      </c>
      <c r="AV288" s="177" t="e">
        <f>INDEX('stock fisico '!L:L, MATCH(B288, 'stock fisico '!B:B, 0))</f>
        <v>#N/A</v>
      </c>
    </row>
    <row r="289" spans="1:48" x14ac:dyDescent="0.25">
      <c r="A289" s="181" t="e">
        <f>INDEX('stock fisico '!M:M, MATCH(B289, 'stock fisico '!B:B, 0))</f>
        <v>#N/A</v>
      </c>
      <c r="C289" s="179" t="e">
        <f>INDEX('stock fisico '!C:C, MATCH(B289, 'stock fisico '!B:B, 0))</f>
        <v>#N/A</v>
      </c>
      <c r="D289" s="178" t="e">
        <f>INDEX('stock fisico '!I:I, MATCH(B289, 'stock fisico '!B:B, 0))</f>
        <v>#N/A</v>
      </c>
      <c r="E289" s="173" t="e">
        <f t="shared" si="208"/>
        <v>#VALUE!</v>
      </c>
      <c r="F289" t="e">
        <f t="shared" si="168"/>
        <v>#VALUE!</v>
      </c>
      <c r="G289" t="e">
        <f t="shared" si="169"/>
        <v>#VALUE!</v>
      </c>
      <c r="H289" t="e">
        <f t="shared" si="170"/>
        <v>#VALUE!</v>
      </c>
      <c r="I289" t="e">
        <f t="shared" si="171"/>
        <v>#VALUE!</v>
      </c>
      <c r="J289" t="e">
        <f t="shared" si="172"/>
        <v>#VALUE!</v>
      </c>
      <c r="K289" t="e">
        <f t="shared" si="173"/>
        <v>#VALUE!</v>
      </c>
      <c r="L289" s="175" t="e">
        <f t="shared" si="203"/>
        <v>#VALUE!</v>
      </c>
      <c r="M289" t="e">
        <f t="shared" si="174"/>
        <v>#VALUE!</v>
      </c>
      <c r="N289" t="e">
        <f t="shared" si="175"/>
        <v>#VALUE!</v>
      </c>
      <c r="O289" t="e">
        <f t="shared" si="176"/>
        <v>#VALUE!</v>
      </c>
      <c r="P289" t="e">
        <f t="shared" si="177"/>
        <v>#VALUE!</v>
      </c>
      <c r="Q289" t="e">
        <f t="shared" si="178"/>
        <v>#VALUE!</v>
      </c>
      <c r="R289" t="e">
        <f t="shared" si="179"/>
        <v>#VALUE!</v>
      </c>
      <c r="S289" t="e">
        <f t="shared" si="180"/>
        <v>#VALUE!</v>
      </c>
      <c r="T289" s="174" t="e">
        <f t="shared" si="204"/>
        <v>#VALUE!</v>
      </c>
      <c r="U289" t="e">
        <f t="shared" si="181"/>
        <v>#VALUE!</v>
      </c>
      <c r="V289" t="e">
        <f t="shared" si="182"/>
        <v>#VALUE!</v>
      </c>
      <c r="W289" t="e">
        <f t="shared" si="183"/>
        <v>#VALUE!</v>
      </c>
      <c r="X289" t="e">
        <f t="shared" si="184"/>
        <v>#VALUE!</v>
      </c>
      <c r="Y289" t="e">
        <f t="shared" si="185"/>
        <v>#VALUE!</v>
      </c>
      <c r="Z289" t="e">
        <f t="shared" si="186"/>
        <v>#VALUE!</v>
      </c>
      <c r="AA289" t="e">
        <f t="shared" si="187"/>
        <v>#VALUE!</v>
      </c>
      <c r="AB289" s="23" t="e">
        <f t="shared" si="205"/>
        <v>#VALUE!</v>
      </c>
      <c r="AC289" t="e">
        <f t="shared" si="188"/>
        <v>#VALUE!</v>
      </c>
      <c r="AD289" t="e">
        <f t="shared" si="189"/>
        <v>#VALUE!</v>
      </c>
      <c r="AE289" t="e">
        <f t="shared" si="190"/>
        <v>#VALUE!</v>
      </c>
      <c r="AF289" t="e">
        <f t="shared" si="191"/>
        <v>#VALUE!</v>
      </c>
      <c r="AG289" t="e">
        <f t="shared" si="192"/>
        <v>#VALUE!</v>
      </c>
      <c r="AH289" t="e">
        <f t="shared" si="193"/>
        <v>#VALUE!</v>
      </c>
      <c r="AI289" t="e">
        <f t="shared" si="194"/>
        <v>#VALUE!</v>
      </c>
      <c r="AJ289" s="19" t="e">
        <f t="shared" si="206"/>
        <v>#VALUE!</v>
      </c>
      <c r="AK289" t="e">
        <f t="shared" si="195"/>
        <v>#VALUE!</v>
      </c>
      <c r="AL289" t="e">
        <f t="shared" si="196"/>
        <v>#VALUE!</v>
      </c>
      <c r="AM289" t="e">
        <f t="shared" si="197"/>
        <v>#VALUE!</v>
      </c>
      <c r="AN289" t="e">
        <f t="shared" si="198"/>
        <v>#VALUE!</v>
      </c>
      <c r="AO289" t="e">
        <f t="shared" si="199"/>
        <v>#VALUE!</v>
      </c>
      <c r="AP289" t="e">
        <f t="shared" si="200"/>
        <v>#VALUE!</v>
      </c>
      <c r="AQ289" t="e">
        <f t="shared" si="201"/>
        <v>#VALUE!</v>
      </c>
      <c r="AR289" s="123" t="e">
        <f t="shared" si="207"/>
        <v>#VALUE!</v>
      </c>
      <c r="AS289" t="e">
        <f t="shared" si="202"/>
        <v>#VALUE!</v>
      </c>
      <c r="AT289" s="181" t="e">
        <f>INDEX('stock fisico '!N:N, MATCH(B289, 'stock fisico '!B:B, 0))</f>
        <v>#N/A</v>
      </c>
      <c r="AU289" s="179" t="e">
        <f>INDEX('stock fisico '!D:D, MATCH(B289, 'stock fisico '!B:B, 0))</f>
        <v>#N/A</v>
      </c>
      <c r="AV289" s="177" t="e">
        <f>INDEX('stock fisico '!L:L, MATCH(B289, 'stock fisico '!B:B, 0))</f>
        <v>#N/A</v>
      </c>
    </row>
    <row r="290" spans="1:48" x14ac:dyDescent="0.25">
      <c r="A290" s="181" t="e">
        <f>INDEX('stock fisico '!M:M, MATCH(B290, 'stock fisico '!B:B, 0))</f>
        <v>#N/A</v>
      </c>
      <c r="C290" s="179" t="e">
        <f>INDEX('stock fisico '!C:C, MATCH(B290, 'stock fisico '!B:B, 0))</f>
        <v>#N/A</v>
      </c>
      <c r="D290" s="178" t="e">
        <f>INDEX('stock fisico '!I:I, MATCH(B290, 'stock fisico '!B:B, 0))</f>
        <v>#N/A</v>
      </c>
      <c r="E290" s="173" t="e">
        <f t="shared" si="208"/>
        <v>#VALUE!</v>
      </c>
      <c r="F290" t="e">
        <f t="shared" si="168"/>
        <v>#VALUE!</v>
      </c>
      <c r="G290" t="e">
        <f t="shared" si="169"/>
        <v>#VALUE!</v>
      </c>
      <c r="H290" t="e">
        <f t="shared" si="170"/>
        <v>#VALUE!</v>
      </c>
      <c r="I290" t="e">
        <f t="shared" si="171"/>
        <v>#VALUE!</v>
      </c>
      <c r="J290" t="e">
        <f t="shared" si="172"/>
        <v>#VALUE!</v>
      </c>
      <c r="K290" t="e">
        <f t="shared" si="173"/>
        <v>#VALUE!</v>
      </c>
      <c r="L290" s="175" t="e">
        <f t="shared" si="203"/>
        <v>#VALUE!</v>
      </c>
      <c r="M290" t="e">
        <f t="shared" si="174"/>
        <v>#VALUE!</v>
      </c>
      <c r="N290" t="e">
        <f t="shared" si="175"/>
        <v>#VALUE!</v>
      </c>
      <c r="O290" t="e">
        <f t="shared" si="176"/>
        <v>#VALUE!</v>
      </c>
      <c r="P290" t="e">
        <f t="shared" si="177"/>
        <v>#VALUE!</v>
      </c>
      <c r="Q290" t="e">
        <f t="shared" si="178"/>
        <v>#VALUE!</v>
      </c>
      <c r="R290" t="e">
        <f t="shared" si="179"/>
        <v>#VALUE!</v>
      </c>
      <c r="S290" t="e">
        <f t="shared" si="180"/>
        <v>#VALUE!</v>
      </c>
      <c r="T290" s="174" t="e">
        <f t="shared" si="204"/>
        <v>#VALUE!</v>
      </c>
      <c r="U290" t="e">
        <f t="shared" si="181"/>
        <v>#VALUE!</v>
      </c>
      <c r="V290" t="e">
        <f t="shared" si="182"/>
        <v>#VALUE!</v>
      </c>
      <c r="W290" t="e">
        <f t="shared" si="183"/>
        <v>#VALUE!</v>
      </c>
      <c r="X290" t="e">
        <f t="shared" si="184"/>
        <v>#VALUE!</v>
      </c>
      <c r="Y290" t="e">
        <f t="shared" si="185"/>
        <v>#VALUE!</v>
      </c>
      <c r="Z290" t="e">
        <f t="shared" si="186"/>
        <v>#VALUE!</v>
      </c>
      <c r="AA290" t="e">
        <f t="shared" si="187"/>
        <v>#VALUE!</v>
      </c>
      <c r="AB290" s="23" t="e">
        <f t="shared" si="205"/>
        <v>#VALUE!</v>
      </c>
      <c r="AC290" t="e">
        <f t="shared" si="188"/>
        <v>#VALUE!</v>
      </c>
      <c r="AD290" t="e">
        <f t="shared" si="189"/>
        <v>#VALUE!</v>
      </c>
      <c r="AE290" t="e">
        <f t="shared" si="190"/>
        <v>#VALUE!</v>
      </c>
      <c r="AF290" t="e">
        <f t="shared" si="191"/>
        <v>#VALUE!</v>
      </c>
      <c r="AG290" t="e">
        <f t="shared" si="192"/>
        <v>#VALUE!</v>
      </c>
      <c r="AH290" t="e">
        <f t="shared" si="193"/>
        <v>#VALUE!</v>
      </c>
      <c r="AI290" t="e">
        <f t="shared" si="194"/>
        <v>#VALUE!</v>
      </c>
      <c r="AJ290" s="19" t="e">
        <f t="shared" si="206"/>
        <v>#VALUE!</v>
      </c>
      <c r="AK290" t="e">
        <f t="shared" si="195"/>
        <v>#VALUE!</v>
      </c>
      <c r="AL290" t="e">
        <f t="shared" si="196"/>
        <v>#VALUE!</v>
      </c>
      <c r="AM290" t="e">
        <f t="shared" si="197"/>
        <v>#VALUE!</v>
      </c>
      <c r="AN290" t="e">
        <f t="shared" si="198"/>
        <v>#VALUE!</v>
      </c>
      <c r="AO290" t="e">
        <f t="shared" si="199"/>
        <v>#VALUE!</v>
      </c>
      <c r="AP290" t="e">
        <f t="shared" si="200"/>
        <v>#VALUE!</v>
      </c>
      <c r="AQ290" t="e">
        <f t="shared" si="201"/>
        <v>#VALUE!</v>
      </c>
      <c r="AR290" s="123" t="e">
        <f t="shared" si="207"/>
        <v>#VALUE!</v>
      </c>
      <c r="AS290" t="e">
        <f t="shared" si="202"/>
        <v>#VALUE!</v>
      </c>
      <c r="AT290" s="181" t="e">
        <f>INDEX('stock fisico '!N:N, MATCH(B290, 'stock fisico '!B:B, 0))</f>
        <v>#N/A</v>
      </c>
      <c r="AU290" s="179" t="e">
        <f>INDEX('stock fisico '!D:D, MATCH(B290, 'stock fisico '!B:B, 0))</f>
        <v>#N/A</v>
      </c>
      <c r="AV290" s="177" t="e">
        <f>INDEX('stock fisico '!L:L, MATCH(B290, 'stock fisico '!B:B, 0))</f>
        <v>#N/A</v>
      </c>
    </row>
    <row r="291" spans="1:48" x14ac:dyDescent="0.25">
      <c r="A291" s="181" t="e">
        <f>INDEX('stock fisico '!M:M, MATCH(B291, 'stock fisico '!B:B, 0))</f>
        <v>#N/A</v>
      </c>
      <c r="C291" s="179" t="e">
        <f>INDEX('stock fisico '!C:C, MATCH(B291, 'stock fisico '!B:B, 0))</f>
        <v>#N/A</v>
      </c>
      <c r="D291" s="178" t="e">
        <f>INDEX('stock fisico '!I:I, MATCH(B291, 'stock fisico '!B:B, 0))</f>
        <v>#N/A</v>
      </c>
      <c r="E291" s="173" t="e">
        <f t="shared" si="208"/>
        <v>#VALUE!</v>
      </c>
      <c r="F291" t="e">
        <f t="shared" si="168"/>
        <v>#VALUE!</v>
      </c>
      <c r="G291" t="e">
        <f t="shared" si="169"/>
        <v>#VALUE!</v>
      </c>
      <c r="H291" t="e">
        <f t="shared" si="170"/>
        <v>#VALUE!</v>
      </c>
      <c r="I291" t="e">
        <f t="shared" si="171"/>
        <v>#VALUE!</v>
      </c>
      <c r="J291" t="e">
        <f t="shared" si="172"/>
        <v>#VALUE!</v>
      </c>
      <c r="K291" t="e">
        <f t="shared" si="173"/>
        <v>#VALUE!</v>
      </c>
      <c r="L291" s="175" t="e">
        <f t="shared" si="203"/>
        <v>#VALUE!</v>
      </c>
      <c r="M291" t="e">
        <f t="shared" si="174"/>
        <v>#VALUE!</v>
      </c>
      <c r="N291" t="e">
        <f t="shared" si="175"/>
        <v>#VALUE!</v>
      </c>
      <c r="O291" t="e">
        <f t="shared" si="176"/>
        <v>#VALUE!</v>
      </c>
      <c r="P291" t="e">
        <f t="shared" si="177"/>
        <v>#VALUE!</v>
      </c>
      <c r="Q291" t="e">
        <f t="shared" si="178"/>
        <v>#VALUE!</v>
      </c>
      <c r="R291" t="e">
        <f t="shared" si="179"/>
        <v>#VALUE!</v>
      </c>
      <c r="S291" t="e">
        <f t="shared" si="180"/>
        <v>#VALUE!</v>
      </c>
      <c r="T291" s="174" t="e">
        <f t="shared" si="204"/>
        <v>#VALUE!</v>
      </c>
      <c r="U291" t="e">
        <f t="shared" si="181"/>
        <v>#VALUE!</v>
      </c>
      <c r="V291" t="e">
        <f t="shared" si="182"/>
        <v>#VALUE!</v>
      </c>
      <c r="W291" t="e">
        <f t="shared" si="183"/>
        <v>#VALUE!</v>
      </c>
      <c r="X291" t="e">
        <f t="shared" si="184"/>
        <v>#VALUE!</v>
      </c>
      <c r="Y291" t="e">
        <f t="shared" si="185"/>
        <v>#VALUE!</v>
      </c>
      <c r="Z291" t="e">
        <f t="shared" si="186"/>
        <v>#VALUE!</v>
      </c>
      <c r="AA291" t="e">
        <f t="shared" si="187"/>
        <v>#VALUE!</v>
      </c>
      <c r="AB291" s="23" t="e">
        <f t="shared" si="205"/>
        <v>#VALUE!</v>
      </c>
      <c r="AC291" t="e">
        <f t="shared" si="188"/>
        <v>#VALUE!</v>
      </c>
      <c r="AD291" t="e">
        <f t="shared" si="189"/>
        <v>#VALUE!</v>
      </c>
      <c r="AE291" t="e">
        <f t="shared" si="190"/>
        <v>#VALUE!</v>
      </c>
      <c r="AF291" t="e">
        <f t="shared" si="191"/>
        <v>#VALUE!</v>
      </c>
      <c r="AG291" t="e">
        <f t="shared" si="192"/>
        <v>#VALUE!</v>
      </c>
      <c r="AH291" t="e">
        <f t="shared" si="193"/>
        <v>#VALUE!</v>
      </c>
      <c r="AI291" t="e">
        <f t="shared" si="194"/>
        <v>#VALUE!</v>
      </c>
      <c r="AJ291" s="19" t="e">
        <f t="shared" si="206"/>
        <v>#VALUE!</v>
      </c>
      <c r="AK291" t="e">
        <f t="shared" si="195"/>
        <v>#VALUE!</v>
      </c>
      <c r="AL291" t="e">
        <f t="shared" si="196"/>
        <v>#VALUE!</v>
      </c>
      <c r="AM291" t="e">
        <f t="shared" si="197"/>
        <v>#VALUE!</v>
      </c>
      <c r="AN291" t="e">
        <f t="shared" si="198"/>
        <v>#VALUE!</v>
      </c>
      <c r="AO291" t="e">
        <f t="shared" si="199"/>
        <v>#VALUE!</v>
      </c>
      <c r="AP291" t="e">
        <f t="shared" si="200"/>
        <v>#VALUE!</v>
      </c>
      <c r="AQ291" t="e">
        <f t="shared" si="201"/>
        <v>#VALUE!</v>
      </c>
      <c r="AR291" s="123" t="e">
        <f t="shared" si="207"/>
        <v>#VALUE!</v>
      </c>
      <c r="AS291" t="e">
        <f t="shared" si="202"/>
        <v>#VALUE!</v>
      </c>
      <c r="AT291" s="181" t="e">
        <f>INDEX('stock fisico '!N:N, MATCH(B291, 'stock fisico '!B:B, 0))</f>
        <v>#N/A</v>
      </c>
      <c r="AU291" s="179" t="e">
        <f>INDEX('stock fisico '!D:D, MATCH(B291, 'stock fisico '!B:B, 0))</f>
        <v>#N/A</v>
      </c>
      <c r="AV291" s="177" t="e">
        <f>INDEX('stock fisico '!L:L, MATCH(B291, 'stock fisico '!B:B, 0))</f>
        <v>#N/A</v>
      </c>
    </row>
    <row r="292" spans="1:48" x14ac:dyDescent="0.25">
      <c r="A292" s="181" t="e">
        <f>INDEX('stock fisico '!M:M, MATCH(B292, 'stock fisico '!B:B, 0))</f>
        <v>#N/A</v>
      </c>
      <c r="C292" s="179" t="e">
        <f>INDEX('stock fisico '!C:C, MATCH(B292, 'stock fisico '!B:B, 0))</f>
        <v>#N/A</v>
      </c>
      <c r="D292" s="178" t="e">
        <f>INDEX('stock fisico '!I:I, MATCH(B292, 'stock fisico '!B:B, 0))</f>
        <v>#N/A</v>
      </c>
      <c r="E292" s="173" t="e">
        <f t="shared" si="208"/>
        <v>#VALUE!</v>
      </c>
      <c r="F292" t="e">
        <f t="shared" si="168"/>
        <v>#VALUE!</v>
      </c>
      <c r="G292" t="e">
        <f t="shared" si="169"/>
        <v>#VALUE!</v>
      </c>
      <c r="H292" t="e">
        <f t="shared" si="170"/>
        <v>#VALUE!</v>
      </c>
      <c r="I292" t="e">
        <f t="shared" si="171"/>
        <v>#VALUE!</v>
      </c>
      <c r="J292" t="e">
        <f t="shared" si="172"/>
        <v>#VALUE!</v>
      </c>
      <c r="K292" t="e">
        <f t="shared" si="173"/>
        <v>#VALUE!</v>
      </c>
      <c r="L292" s="175" t="e">
        <f t="shared" si="203"/>
        <v>#VALUE!</v>
      </c>
      <c r="M292" t="e">
        <f t="shared" si="174"/>
        <v>#VALUE!</v>
      </c>
      <c r="N292" t="e">
        <f t="shared" si="175"/>
        <v>#VALUE!</v>
      </c>
      <c r="O292" t="e">
        <f t="shared" si="176"/>
        <v>#VALUE!</v>
      </c>
      <c r="P292" t="e">
        <f t="shared" si="177"/>
        <v>#VALUE!</v>
      </c>
      <c r="Q292" t="e">
        <f t="shared" si="178"/>
        <v>#VALUE!</v>
      </c>
      <c r="R292" t="e">
        <f t="shared" si="179"/>
        <v>#VALUE!</v>
      </c>
      <c r="S292" t="e">
        <f t="shared" si="180"/>
        <v>#VALUE!</v>
      </c>
      <c r="T292" s="174" t="e">
        <f t="shared" si="204"/>
        <v>#VALUE!</v>
      </c>
      <c r="U292" t="e">
        <f t="shared" si="181"/>
        <v>#VALUE!</v>
      </c>
      <c r="V292" t="e">
        <f t="shared" si="182"/>
        <v>#VALUE!</v>
      </c>
      <c r="W292" t="e">
        <f t="shared" si="183"/>
        <v>#VALUE!</v>
      </c>
      <c r="X292" t="e">
        <f t="shared" si="184"/>
        <v>#VALUE!</v>
      </c>
      <c r="Y292" t="e">
        <f t="shared" si="185"/>
        <v>#VALUE!</v>
      </c>
      <c r="Z292" t="e">
        <f t="shared" si="186"/>
        <v>#VALUE!</v>
      </c>
      <c r="AA292" t="e">
        <f t="shared" si="187"/>
        <v>#VALUE!</v>
      </c>
      <c r="AB292" s="23" t="e">
        <f t="shared" si="205"/>
        <v>#VALUE!</v>
      </c>
      <c r="AC292" t="e">
        <f t="shared" si="188"/>
        <v>#VALUE!</v>
      </c>
      <c r="AD292" t="e">
        <f t="shared" si="189"/>
        <v>#VALUE!</v>
      </c>
      <c r="AE292" t="e">
        <f t="shared" si="190"/>
        <v>#VALUE!</v>
      </c>
      <c r="AF292" t="e">
        <f t="shared" si="191"/>
        <v>#VALUE!</v>
      </c>
      <c r="AG292" t="e">
        <f t="shared" si="192"/>
        <v>#VALUE!</v>
      </c>
      <c r="AH292" t="e">
        <f t="shared" si="193"/>
        <v>#VALUE!</v>
      </c>
      <c r="AI292" t="e">
        <f t="shared" si="194"/>
        <v>#VALUE!</v>
      </c>
      <c r="AJ292" s="19" t="e">
        <f t="shared" si="206"/>
        <v>#VALUE!</v>
      </c>
      <c r="AK292" t="e">
        <f t="shared" si="195"/>
        <v>#VALUE!</v>
      </c>
      <c r="AL292" t="e">
        <f t="shared" si="196"/>
        <v>#VALUE!</v>
      </c>
      <c r="AM292" t="e">
        <f t="shared" si="197"/>
        <v>#VALUE!</v>
      </c>
      <c r="AN292" t="e">
        <f t="shared" si="198"/>
        <v>#VALUE!</v>
      </c>
      <c r="AO292" t="e">
        <f t="shared" si="199"/>
        <v>#VALUE!</v>
      </c>
      <c r="AP292" t="e">
        <f t="shared" si="200"/>
        <v>#VALUE!</v>
      </c>
      <c r="AQ292" t="e">
        <f t="shared" si="201"/>
        <v>#VALUE!</v>
      </c>
      <c r="AR292" s="123" t="e">
        <f t="shared" si="207"/>
        <v>#VALUE!</v>
      </c>
      <c r="AS292" t="e">
        <f t="shared" si="202"/>
        <v>#VALUE!</v>
      </c>
      <c r="AT292" s="181" t="e">
        <f>INDEX('stock fisico '!N:N, MATCH(B292, 'stock fisico '!B:B, 0))</f>
        <v>#N/A</v>
      </c>
      <c r="AU292" s="179" t="e">
        <f>INDEX('stock fisico '!D:D, MATCH(B292, 'stock fisico '!B:B, 0))</f>
        <v>#N/A</v>
      </c>
      <c r="AV292" s="177" t="e">
        <f>INDEX('stock fisico '!L:L, MATCH(B292, 'stock fisico '!B:B, 0))</f>
        <v>#N/A</v>
      </c>
    </row>
    <row r="293" spans="1:48" x14ac:dyDescent="0.25">
      <c r="A293" s="181" t="e">
        <f>INDEX('stock fisico '!M:M, MATCH(B293, 'stock fisico '!B:B, 0))</f>
        <v>#N/A</v>
      </c>
      <c r="C293" s="179" t="e">
        <f>INDEX('stock fisico '!C:C, MATCH(B293, 'stock fisico '!B:B, 0))</f>
        <v>#N/A</v>
      </c>
      <c r="D293" s="178" t="e">
        <f>INDEX('stock fisico '!I:I, MATCH(B293, 'stock fisico '!B:B, 0))</f>
        <v>#N/A</v>
      </c>
      <c r="E293" s="173" t="e">
        <f t="shared" si="208"/>
        <v>#VALUE!</v>
      </c>
      <c r="F293" t="e">
        <f t="shared" si="168"/>
        <v>#VALUE!</v>
      </c>
      <c r="G293" t="e">
        <f t="shared" si="169"/>
        <v>#VALUE!</v>
      </c>
      <c r="H293" t="e">
        <f t="shared" si="170"/>
        <v>#VALUE!</v>
      </c>
      <c r="I293" t="e">
        <f t="shared" si="171"/>
        <v>#VALUE!</v>
      </c>
      <c r="J293" t="e">
        <f t="shared" si="172"/>
        <v>#VALUE!</v>
      </c>
      <c r="K293" t="e">
        <f t="shared" si="173"/>
        <v>#VALUE!</v>
      </c>
      <c r="L293" s="175" t="e">
        <f t="shared" si="203"/>
        <v>#VALUE!</v>
      </c>
      <c r="M293" t="e">
        <f t="shared" si="174"/>
        <v>#VALUE!</v>
      </c>
      <c r="N293" t="e">
        <f t="shared" si="175"/>
        <v>#VALUE!</v>
      </c>
      <c r="O293" t="e">
        <f t="shared" si="176"/>
        <v>#VALUE!</v>
      </c>
      <c r="P293" t="e">
        <f t="shared" si="177"/>
        <v>#VALUE!</v>
      </c>
      <c r="Q293" t="e">
        <f t="shared" si="178"/>
        <v>#VALUE!</v>
      </c>
      <c r="R293" t="e">
        <f t="shared" si="179"/>
        <v>#VALUE!</v>
      </c>
      <c r="S293" t="e">
        <f t="shared" si="180"/>
        <v>#VALUE!</v>
      </c>
      <c r="T293" s="174" t="e">
        <f t="shared" si="204"/>
        <v>#VALUE!</v>
      </c>
      <c r="U293" t="e">
        <f t="shared" si="181"/>
        <v>#VALUE!</v>
      </c>
      <c r="V293" t="e">
        <f t="shared" si="182"/>
        <v>#VALUE!</v>
      </c>
      <c r="W293" t="e">
        <f t="shared" si="183"/>
        <v>#VALUE!</v>
      </c>
      <c r="X293" t="e">
        <f t="shared" si="184"/>
        <v>#VALUE!</v>
      </c>
      <c r="Y293" t="e">
        <f t="shared" si="185"/>
        <v>#VALUE!</v>
      </c>
      <c r="Z293" t="e">
        <f t="shared" si="186"/>
        <v>#VALUE!</v>
      </c>
      <c r="AA293" t="e">
        <f t="shared" si="187"/>
        <v>#VALUE!</v>
      </c>
      <c r="AB293" s="23" t="e">
        <f t="shared" si="205"/>
        <v>#VALUE!</v>
      </c>
      <c r="AC293" t="e">
        <f t="shared" si="188"/>
        <v>#VALUE!</v>
      </c>
      <c r="AD293" t="e">
        <f t="shared" si="189"/>
        <v>#VALUE!</v>
      </c>
      <c r="AE293" t="e">
        <f t="shared" si="190"/>
        <v>#VALUE!</v>
      </c>
      <c r="AF293" t="e">
        <f t="shared" si="191"/>
        <v>#VALUE!</v>
      </c>
      <c r="AG293" t="e">
        <f t="shared" si="192"/>
        <v>#VALUE!</v>
      </c>
      <c r="AH293" t="e">
        <f t="shared" si="193"/>
        <v>#VALUE!</v>
      </c>
      <c r="AI293" t="e">
        <f t="shared" si="194"/>
        <v>#VALUE!</v>
      </c>
      <c r="AJ293" s="19" t="e">
        <f t="shared" si="206"/>
        <v>#VALUE!</v>
      </c>
      <c r="AK293" t="e">
        <f t="shared" si="195"/>
        <v>#VALUE!</v>
      </c>
      <c r="AL293" t="e">
        <f t="shared" si="196"/>
        <v>#VALUE!</v>
      </c>
      <c r="AM293" t="e">
        <f t="shared" si="197"/>
        <v>#VALUE!</v>
      </c>
      <c r="AN293" t="e">
        <f t="shared" si="198"/>
        <v>#VALUE!</v>
      </c>
      <c r="AO293" t="e">
        <f t="shared" si="199"/>
        <v>#VALUE!</v>
      </c>
      <c r="AP293" t="e">
        <f t="shared" si="200"/>
        <v>#VALUE!</v>
      </c>
      <c r="AQ293" t="e">
        <f t="shared" si="201"/>
        <v>#VALUE!</v>
      </c>
      <c r="AR293" s="123" t="e">
        <f t="shared" si="207"/>
        <v>#VALUE!</v>
      </c>
      <c r="AS293" t="e">
        <f t="shared" si="202"/>
        <v>#VALUE!</v>
      </c>
      <c r="AT293" s="181" t="e">
        <f>INDEX('stock fisico '!N:N, MATCH(B293, 'stock fisico '!B:B, 0))</f>
        <v>#N/A</v>
      </c>
      <c r="AU293" s="179" t="e">
        <f>INDEX('stock fisico '!D:D, MATCH(B293, 'stock fisico '!B:B, 0))</f>
        <v>#N/A</v>
      </c>
      <c r="AV293" s="177" t="e">
        <f>INDEX('stock fisico '!L:L, MATCH(B293, 'stock fisico '!B:B, 0))</f>
        <v>#N/A</v>
      </c>
    </row>
    <row r="294" spans="1:48" x14ac:dyDescent="0.25">
      <c r="A294" s="181" t="e">
        <f>INDEX('stock fisico '!M:M, MATCH(B294, 'stock fisico '!B:B, 0))</f>
        <v>#N/A</v>
      </c>
      <c r="C294" s="179" t="e">
        <f>INDEX('stock fisico '!C:C, MATCH(B294, 'stock fisico '!B:B, 0))</f>
        <v>#N/A</v>
      </c>
      <c r="D294" s="178" t="e">
        <f>INDEX('stock fisico '!I:I, MATCH(B294, 'stock fisico '!B:B, 0))</f>
        <v>#N/A</v>
      </c>
      <c r="E294" s="173" t="e">
        <f t="shared" si="208"/>
        <v>#VALUE!</v>
      </c>
      <c r="F294" t="e">
        <f t="shared" si="168"/>
        <v>#VALUE!</v>
      </c>
      <c r="G294" t="e">
        <f t="shared" si="169"/>
        <v>#VALUE!</v>
      </c>
      <c r="H294" t="e">
        <f t="shared" si="170"/>
        <v>#VALUE!</v>
      </c>
      <c r="I294" t="e">
        <f t="shared" si="171"/>
        <v>#VALUE!</v>
      </c>
      <c r="J294" t="e">
        <f t="shared" si="172"/>
        <v>#VALUE!</v>
      </c>
      <c r="K294" t="e">
        <f t="shared" si="173"/>
        <v>#VALUE!</v>
      </c>
      <c r="L294" s="175" t="e">
        <f t="shared" si="203"/>
        <v>#VALUE!</v>
      </c>
      <c r="M294" t="e">
        <f t="shared" si="174"/>
        <v>#VALUE!</v>
      </c>
      <c r="N294" t="e">
        <f t="shared" si="175"/>
        <v>#VALUE!</v>
      </c>
      <c r="O294" t="e">
        <f t="shared" si="176"/>
        <v>#VALUE!</v>
      </c>
      <c r="P294" t="e">
        <f t="shared" si="177"/>
        <v>#VALUE!</v>
      </c>
      <c r="Q294" t="e">
        <f t="shared" si="178"/>
        <v>#VALUE!</v>
      </c>
      <c r="R294" t="e">
        <f t="shared" si="179"/>
        <v>#VALUE!</v>
      </c>
      <c r="S294" t="e">
        <f t="shared" si="180"/>
        <v>#VALUE!</v>
      </c>
      <c r="T294" s="174" t="e">
        <f t="shared" si="204"/>
        <v>#VALUE!</v>
      </c>
      <c r="U294" t="e">
        <f t="shared" si="181"/>
        <v>#VALUE!</v>
      </c>
      <c r="V294" t="e">
        <f t="shared" si="182"/>
        <v>#VALUE!</v>
      </c>
      <c r="W294" t="e">
        <f t="shared" si="183"/>
        <v>#VALUE!</v>
      </c>
      <c r="X294" t="e">
        <f t="shared" si="184"/>
        <v>#VALUE!</v>
      </c>
      <c r="Y294" t="e">
        <f t="shared" si="185"/>
        <v>#VALUE!</v>
      </c>
      <c r="Z294" t="e">
        <f t="shared" si="186"/>
        <v>#VALUE!</v>
      </c>
      <c r="AA294" t="e">
        <f t="shared" si="187"/>
        <v>#VALUE!</v>
      </c>
      <c r="AB294" s="23" t="e">
        <f t="shared" si="205"/>
        <v>#VALUE!</v>
      </c>
      <c r="AC294" t="e">
        <f t="shared" si="188"/>
        <v>#VALUE!</v>
      </c>
      <c r="AD294" t="e">
        <f t="shared" si="189"/>
        <v>#VALUE!</v>
      </c>
      <c r="AE294" t="e">
        <f t="shared" si="190"/>
        <v>#VALUE!</v>
      </c>
      <c r="AF294" t="e">
        <f t="shared" si="191"/>
        <v>#VALUE!</v>
      </c>
      <c r="AG294" t="e">
        <f t="shared" si="192"/>
        <v>#VALUE!</v>
      </c>
      <c r="AH294" t="e">
        <f t="shared" si="193"/>
        <v>#VALUE!</v>
      </c>
      <c r="AI294" t="e">
        <f t="shared" si="194"/>
        <v>#VALUE!</v>
      </c>
      <c r="AJ294" s="19" t="e">
        <f t="shared" si="206"/>
        <v>#VALUE!</v>
      </c>
      <c r="AK294" t="e">
        <f t="shared" si="195"/>
        <v>#VALUE!</v>
      </c>
      <c r="AL294" t="e">
        <f t="shared" si="196"/>
        <v>#VALUE!</v>
      </c>
      <c r="AM294" t="e">
        <f t="shared" si="197"/>
        <v>#VALUE!</v>
      </c>
      <c r="AN294" t="e">
        <f t="shared" si="198"/>
        <v>#VALUE!</v>
      </c>
      <c r="AO294" t="e">
        <f t="shared" si="199"/>
        <v>#VALUE!</v>
      </c>
      <c r="AP294" t="e">
        <f t="shared" si="200"/>
        <v>#VALUE!</v>
      </c>
      <c r="AQ294" t="e">
        <f t="shared" si="201"/>
        <v>#VALUE!</v>
      </c>
      <c r="AR294" s="123" t="e">
        <f t="shared" si="207"/>
        <v>#VALUE!</v>
      </c>
      <c r="AS294" t="e">
        <f t="shared" si="202"/>
        <v>#VALUE!</v>
      </c>
      <c r="AT294" s="181" t="e">
        <f>INDEX('stock fisico '!N:N, MATCH(B294, 'stock fisico '!B:B, 0))</f>
        <v>#N/A</v>
      </c>
      <c r="AU294" s="179" t="e">
        <f>INDEX('stock fisico '!D:D, MATCH(B294, 'stock fisico '!B:B, 0))</f>
        <v>#N/A</v>
      </c>
      <c r="AV294" s="177" t="e">
        <f>INDEX('stock fisico '!L:L, MATCH(B294, 'stock fisico '!B:B, 0))</f>
        <v>#N/A</v>
      </c>
    </row>
    <row r="295" spans="1:48" x14ac:dyDescent="0.25">
      <c r="A295" s="181" t="e">
        <f>INDEX('stock fisico '!M:M, MATCH(B295, 'stock fisico '!B:B, 0))</f>
        <v>#N/A</v>
      </c>
      <c r="C295" s="179" t="e">
        <f>INDEX('stock fisico '!C:C, MATCH(B295, 'stock fisico '!B:B, 0))</f>
        <v>#N/A</v>
      </c>
      <c r="D295" s="178" t="e">
        <f>INDEX('stock fisico '!I:I, MATCH(B295, 'stock fisico '!B:B, 0))</f>
        <v>#N/A</v>
      </c>
      <c r="E295" s="173" t="e">
        <f t="shared" si="208"/>
        <v>#VALUE!</v>
      </c>
      <c r="F295" t="e">
        <f t="shared" si="168"/>
        <v>#VALUE!</v>
      </c>
      <c r="G295" t="e">
        <f t="shared" si="169"/>
        <v>#VALUE!</v>
      </c>
      <c r="H295" t="e">
        <f t="shared" si="170"/>
        <v>#VALUE!</v>
      </c>
      <c r="I295" t="e">
        <f t="shared" si="171"/>
        <v>#VALUE!</v>
      </c>
      <c r="J295" t="e">
        <f t="shared" si="172"/>
        <v>#VALUE!</v>
      </c>
      <c r="K295" t="e">
        <f t="shared" si="173"/>
        <v>#VALUE!</v>
      </c>
      <c r="L295" s="175" t="e">
        <f t="shared" si="203"/>
        <v>#VALUE!</v>
      </c>
      <c r="M295" t="e">
        <f t="shared" si="174"/>
        <v>#VALUE!</v>
      </c>
      <c r="N295" t="e">
        <f t="shared" si="175"/>
        <v>#VALUE!</v>
      </c>
      <c r="O295" t="e">
        <f t="shared" si="176"/>
        <v>#VALUE!</v>
      </c>
      <c r="P295" t="e">
        <f t="shared" si="177"/>
        <v>#VALUE!</v>
      </c>
      <c r="Q295" t="e">
        <f t="shared" si="178"/>
        <v>#VALUE!</v>
      </c>
      <c r="R295" t="e">
        <f t="shared" si="179"/>
        <v>#VALUE!</v>
      </c>
      <c r="S295" t="e">
        <f t="shared" si="180"/>
        <v>#VALUE!</v>
      </c>
      <c r="T295" s="174" t="e">
        <f t="shared" si="204"/>
        <v>#VALUE!</v>
      </c>
      <c r="U295" t="e">
        <f t="shared" si="181"/>
        <v>#VALUE!</v>
      </c>
      <c r="V295" t="e">
        <f t="shared" si="182"/>
        <v>#VALUE!</v>
      </c>
      <c r="W295" t="e">
        <f t="shared" si="183"/>
        <v>#VALUE!</v>
      </c>
      <c r="X295" t="e">
        <f t="shared" si="184"/>
        <v>#VALUE!</v>
      </c>
      <c r="Y295" t="e">
        <f t="shared" si="185"/>
        <v>#VALUE!</v>
      </c>
      <c r="Z295" t="e">
        <f t="shared" si="186"/>
        <v>#VALUE!</v>
      </c>
      <c r="AA295" t="e">
        <f t="shared" si="187"/>
        <v>#VALUE!</v>
      </c>
      <c r="AB295" s="23" t="e">
        <f t="shared" si="205"/>
        <v>#VALUE!</v>
      </c>
      <c r="AC295" t="e">
        <f t="shared" si="188"/>
        <v>#VALUE!</v>
      </c>
      <c r="AD295" t="e">
        <f t="shared" si="189"/>
        <v>#VALUE!</v>
      </c>
      <c r="AE295" t="e">
        <f t="shared" si="190"/>
        <v>#VALUE!</v>
      </c>
      <c r="AF295" t="e">
        <f t="shared" si="191"/>
        <v>#VALUE!</v>
      </c>
      <c r="AG295" t="e">
        <f t="shared" si="192"/>
        <v>#VALUE!</v>
      </c>
      <c r="AH295" t="e">
        <f t="shared" si="193"/>
        <v>#VALUE!</v>
      </c>
      <c r="AI295" t="e">
        <f t="shared" si="194"/>
        <v>#VALUE!</v>
      </c>
      <c r="AJ295" s="19" t="e">
        <f t="shared" si="206"/>
        <v>#VALUE!</v>
      </c>
      <c r="AK295" t="e">
        <f t="shared" si="195"/>
        <v>#VALUE!</v>
      </c>
      <c r="AL295" t="e">
        <f t="shared" si="196"/>
        <v>#VALUE!</v>
      </c>
      <c r="AM295" t="e">
        <f t="shared" si="197"/>
        <v>#VALUE!</v>
      </c>
      <c r="AN295" t="e">
        <f t="shared" si="198"/>
        <v>#VALUE!</v>
      </c>
      <c r="AO295" t="e">
        <f t="shared" si="199"/>
        <v>#VALUE!</v>
      </c>
      <c r="AP295" t="e">
        <f t="shared" si="200"/>
        <v>#VALUE!</v>
      </c>
      <c r="AQ295" t="e">
        <f t="shared" si="201"/>
        <v>#VALUE!</v>
      </c>
      <c r="AR295" s="123" t="e">
        <f t="shared" si="207"/>
        <v>#VALUE!</v>
      </c>
      <c r="AS295" t="e">
        <f t="shared" si="202"/>
        <v>#VALUE!</v>
      </c>
      <c r="AT295" s="181" t="e">
        <f>INDEX('stock fisico '!N:N, MATCH(B295, 'stock fisico '!B:B, 0))</f>
        <v>#N/A</v>
      </c>
      <c r="AU295" s="179" t="e">
        <f>INDEX('stock fisico '!D:D, MATCH(B295, 'stock fisico '!B:B, 0))</f>
        <v>#N/A</v>
      </c>
      <c r="AV295" s="177" t="e">
        <f>INDEX('stock fisico '!L:L, MATCH(B295, 'stock fisico '!B:B, 0))</f>
        <v>#N/A</v>
      </c>
    </row>
    <row r="296" spans="1:48" x14ac:dyDescent="0.25">
      <c r="A296" s="181" t="e">
        <f>INDEX('stock fisico '!M:M, MATCH(B296, 'stock fisico '!B:B, 0))</f>
        <v>#N/A</v>
      </c>
      <c r="C296" s="179" t="e">
        <f>INDEX('stock fisico '!C:C, MATCH(B296, 'stock fisico '!B:B, 0))</f>
        <v>#N/A</v>
      </c>
      <c r="D296" s="178" t="e">
        <f>INDEX('stock fisico '!I:I, MATCH(B296, 'stock fisico '!B:B, 0))</f>
        <v>#N/A</v>
      </c>
      <c r="E296" s="173" t="e">
        <f t="shared" si="208"/>
        <v>#VALUE!</v>
      </c>
      <c r="F296" t="e">
        <f t="shared" si="168"/>
        <v>#VALUE!</v>
      </c>
      <c r="G296" t="e">
        <f t="shared" si="169"/>
        <v>#VALUE!</v>
      </c>
      <c r="H296" t="e">
        <f t="shared" si="170"/>
        <v>#VALUE!</v>
      </c>
      <c r="I296" t="e">
        <f t="shared" si="171"/>
        <v>#VALUE!</v>
      </c>
      <c r="J296" t="e">
        <f t="shared" si="172"/>
        <v>#VALUE!</v>
      </c>
      <c r="K296" t="e">
        <f t="shared" si="173"/>
        <v>#VALUE!</v>
      </c>
      <c r="L296" s="175" t="e">
        <f t="shared" si="203"/>
        <v>#VALUE!</v>
      </c>
      <c r="M296" t="e">
        <f t="shared" si="174"/>
        <v>#VALUE!</v>
      </c>
      <c r="N296" t="e">
        <f t="shared" si="175"/>
        <v>#VALUE!</v>
      </c>
      <c r="O296" t="e">
        <f t="shared" si="176"/>
        <v>#VALUE!</v>
      </c>
      <c r="P296" t="e">
        <f t="shared" si="177"/>
        <v>#VALUE!</v>
      </c>
      <c r="Q296" t="e">
        <f t="shared" si="178"/>
        <v>#VALUE!</v>
      </c>
      <c r="R296" t="e">
        <f t="shared" si="179"/>
        <v>#VALUE!</v>
      </c>
      <c r="S296" t="e">
        <f t="shared" si="180"/>
        <v>#VALUE!</v>
      </c>
      <c r="T296" s="174" t="e">
        <f t="shared" si="204"/>
        <v>#VALUE!</v>
      </c>
      <c r="U296" t="e">
        <f t="shared" si="181"/>
        <v>#VALUE!</v>
      </c>
      <c r="V296" t="e">
        <f t="shared" si="182"/>
        <v>#VALUE!</v>
      </c>
      <c r="W296" t="e">
        <f t="shared" si="183"/>
        <v>#VALUE!</v>
      </c>
      <c r="X296" t="e">
        <f t="shared" si="184"/>
        <v>#VALUE!</v>
      </c>
      <c r="Y296" t="e">
        <f t="shared" si="185"/>
        <v>#VALUE!</v>
      </c>
      <c r="Z296" t="e">
        <f t="shared" si="186"/>
        <v>#VALUE!</v>
      </c>
      <c r="AA296" t="e">
        <f t="shared" si="187"/>
        <v>#VALUE!</v>
      </c>
      <c r="AB296" s="23" t="e">
        <f t="shared" si="205"/>
        <v>#VALUE!</v>
      </c>
      <c r="AC296" t="e">
        <f t="shared" si="188"/>
        <v>#VALUE!</v>
      </c>
      <c r="AD296" t="e">
        <f t="shared" si="189"/>
        <v>#VALUE!</v>
      </c>
      <c r="AE296" t="e">
        <f t="shared" si="190"/>
        <v>#VALUE!</v>
      </c>
      <c r="AF296" t="e">
        <f t="shared" si="191"/>
        <v>#VALUE!</v>
      </c>
      <c r="AG296" t="e">
        <f t="shared" si="192"/>
        <v>#VALUE!</v>
      </c>
      <c r="AH296" t="e">
        <f t="shared" si="193"/>
        <v>#VALUE!</v>
      </c>
      <c r="AI296" t="e">
        <f t="shared" si="194"/>
        <v>#VALUE!</v>
      </c>
      <c r="AJ296" s="19" t="e">
        <f t="shared" si="206"/>
        <v>#VALUE!</v>
      </c>
      <c r="AK296" t="e">
        <f t="shared" si="195"/>
        <v>#VALUE!</v>
      </c>
      <c r="AL296" t="e">
        <f t="shared" si="196"/>
        <v>#VALUE!</v>
      </c>
      <c r="AM296" t="e">
        <f t="shared" si="197"/>
        <v>#VALUE!</v>
      </c>
      <c r="AN296" t="e">
        <f t="shared" si="198"/>
        <v>#VALUE!</v>
      </c>
      <c r="AO296" t="e">
        <f t="shared" si="199"/>
        <v>#VALUE!</v>
      </c>
      <c r="AP296" t="e">
        <f t="shared" si="200"/>
        <v>#VALUE!</v>
      </c>
      <c r="AQ296" t="e">
        <f t="shared" si="201"/>
        <v>#VALUE!</v>
      </c>
      <c r="AR296" s="123" t="e">
        <f t="shared" si="207"/>
        <v>#VALUE!</v>
      </c>
      <c r="AS296" t="e">
        <f t="shared" si="202"/>
        <v>#VALUE!</v>
      </c>
      <c r="AT296" s="181" t="e">
        <f>INDEX('stock fisico '!N:N, MATCH(B296, 'stock fisico '!B:B, 0))</f>
        <v>#N/A</v>
      </c>
      <c r="AU296" s="179" t="e">
        <f>INDEX('stock fisico '!D:D, MATCH(B296, 'stock fisico '!B:B, 0))</f>
        <v>#N/A</v>
      </c>
      <c r="AV296" s="177" t="e">
        <f>INDEX('stock fisico '!L:L, MATCH(B296, 'stock fisico '!B:B, 0))</f>
        <v>#N/A</v>
      </c>
    </row>
    <row r="297" spans="1:48" x14ac:dyDescent="0.25">
      <c r="A297" s="181" t="e">
        <f>INDEX('stock fisico '!M:M, MATCH(B297, 'stock fisico '!B:B, 0))</f>
        <v>#N/A</v>
      </c>
      <c r="C297" s="179" t="e">
        <f>INDEX('stock fisico '!C:C, MATCH(B297, 'stock fisico '!B:B, 0))</f>
        <v>#N/A</v>
      </c>
      <c r="D297" s="178" t="e">
        <f>INDEX('stock fisico '!I:I, MATCH(B297, 'stock fisico '!B:B, 0))</f>
        <v>#N/A</v>
      </c>
      <c r="E297" s="173" t="e">
        <f t="shared" si="208"/>
        <v>#VALUE!</v>
      </c>
      <c r="F297" t="e">
        <f t="shared" si="168"/>
        <v>#VALUE!</v>
      </c>
      <c r="G297" t="e">
        <f t="shared" si="169"/>
        <v>#VALUE!</v>
      </c>
      <c r="H297" t="e">
        <f t="shared" si="170"/>
        <v>#VALUE!</v>
      </c>
      <c r="I297" t="e">
        <f t="shared" si="171"/>
        <v>#VALUE!</v>
      </c>
      <c r="J297" t="e">
        <f t="shared" si="172"/>
        <v>#VALUE!</v>
      </c>
      <c r="K297" t="e">
        <f t="shared" si="173"/>
        <v>#VALUE!</v>
      </c>
      <c r="L297" s="175" t="e">
        <f t="shared" si="203"/>
        <v>#VALUE!</v>
      </c>
      <c r="M297" t="e">
        <f t="shared" si="174"/>
        <v>#VALUE!</v>
      </c>
      <c r="N297" t="e">
        <f t="shared" si="175"/>
        <v>#VALUE!</v>
      </c>
      <c r="O297" t="e">
        <f t="shared" si="176"/>
        <v>#VALUE!</v>
      </c>
      <c r="P297" t="e">
        <f t="shared" si="177"/>
        <v>#VALUE!</v>
      </c>
      <c r="Q297" t="e">
        <f t="shared" si="178"/>
        <v>#VALUE!</v>
      </c>
      <c r="R297" t="e">
        <f t="shared" si="179"/>
        <v>#VALUE!</v>
      </c>
      <c r="S297" t="e">
        <f t="shared" si="180"/>
        <v>#VALUE!</v>
      </c>
      <c r="T297" s="174" t="e">
        <f t="shared" si="204"/>
        <v>#VALUE!</v>
      </c>
      <c r="U297" t="e">
        <f t="shared" si="181"/>
        <v>#VALUE!</v>
      </c>
      <c r="V297" t="e">
        <f t="shared" si="182"/>
        <v>#VALUE!</v>
      </c>
      <c r="W297" t="e">
        <f t="shared" si="183"/>
        <v>#VALUE!</v>
      </c>
      <c r="X297" t="e">
        <f t="shared" si="184"/>
        <v>#VALUE!</v>
      </c>
      <c r="Y297" t="e">
        <f t="shared" si="185"/>
        <v>#VALUE!</v>
      </c>
      <c r="Z297" t="e">
        <f t="shared" si="186"/>
        <v>#VALUE!</v>
      </c>
      <c r="AA297" t="e">
        <f t="shared" si="187"/>
        <v>#VALUE!</v>
      </c>
      <c r="AB297" s="23" t="e">
        <f t="shared" si="205"/>
        <v>#VALUE!</v>
      </c>
      <c r="AC297" t="e">
        <f t="shared" si="188"/>
        <v>#VALUE!</v>
      </c>
      <c r="AD297" t="e">
        <f t="shared" si="189"/>
        <v>#VALUE!</v>
      </c>
      <c r="AE297" t="e">
        <f t="shared" si="190"/>
        <v>#VALUE!</v>
      </c>
      <c r="AF297" t="e">
        <f t="shared" si="191"/>
        <v>#VALUE!</v>
      </c>
      <c r="AG297" t="e">
        <f t="shared" si="192"/>
        <v>#VALUE!</v>
      </c>
      <c r="AH297" t="e">
        <f t="shared" si="193"/>
        <v>#VALUE!</v>
      </c>
      <c r="AI297" t="e">
        <f t="shared" si="194"/>
        <v>#VALUE!</v>
      </c>
      <c r="AJ297" s="19" t="e">
        <f t="shared" si="206"/>
        <v>#VALUE!</v>
      </c>
      <c r="AK297" t="e">
        <f t="shared" si="195"/>
        <v>#VALUE!</v>
      </c>
      <c r="AL297" t="e">
        <f t="shared" si="196"/>
        <v>#VALUE!</v>
      </c>
      <c r="AM297" t="e">
        <f t="shared" si="197"/>
        <v>#VALUE!</v>
      </c>
      <c r="AN297" t="e">
        <f t="shared" si="198"/>
        <v>#VALUE!</v>
      </c>
      <c r="AO297" t="e">
        <f t="shared" si="199"/>
        <v>#VALUE!</v>
      </c>
      <c r="AP297" t="e">
        <f t="shared" si="200"/>
        <v>#VALUE!</v>
      </c>
      <c r="AQ297" t="e">
        <f t="shared" si="201"/>
        <v>#VALUE!</v>
      </c>
      <c r="AR297" s="123" t="e">
        <f t="shared" si="207"/>
        <v>#VALUE!</v>
      </c>
      <c r="AS297" t="e">
        <f t="shared" si="202"/>
        <v>#VALUE!</v>
      </c>
      <c r="AT297" s="181" t="e">
        <f>INDEX('stock fisico '!N:N, MATCH(B297, 'stock fisico '!B:B, 0))</f>
        <v>#N/A</v>
      </c>
      <c r="AU297" s="179" t="e">
        <f>INDEX('stock fisico '!D:D, MATCH(B297, 'stock fisico '!B:B, 0))</f>
        <v>#N/A</v>
      </c>
      <c r="AV297" s="177" t="e">
        <f>INDEX('stock fisico '!L:L, MATCH(B297, 'stock fisico '!B:B, 0))</f>
        <v>#N/A</v>
      </c>
    </row>
    <row r="298" spans="1:48" x14ac:dyDescent="0.25">
      <c r="A298" s="181" t="e">
        <f>INDEX('stock fisico '!M:M, MATCH(B298, 'stock fisico '!B:B, 0))</f>
        <v>#N/A</v>
      </c>
      <c r="C298" s="179" t="e">
        <f>INDEX('stock fisico '!C:C, MATCH(B298, 'stock fisico '!B:B, 0))</f>
        <v>#N/A</v>
      </c>
      <c r="D298" s="178" t="e">
        <f>INDEX('stock fisico '!I:I, MATCH(B298, 'stock fisico '!B:B, 0))</f>
        <v>#N/A</v>
      </c>
      <c r="E298" s="173" t="e">
        <f t="shared" si="208"/>
        <v>#VALUE!</v>
      </c>
      <c r="F298" t="e">
        <f t="shared" si="168"/>
        <v>#VALUE!</v>
      </c>
      <c r="G298" t="e">
        <f t="shared" si="169"/>
        <v>#VALUE!</v>
      </c>
      <c r="H298" t="e">
        <f t="shared" si="170"/>
        <v>#VALUE!</v>
      </c>
      <c r="I298" t="e">
        <f t="shared" si="171"/>
        <v>#VALUE!</v>
      </c>
      <c r="J298" t="e">
        <f t="shared" si="172"/>
        <v>#VALUE!</v>
      </c>
      <c r="K298" t="e">
        <f t="shared" si="173"/>
        <v>#VALUE!</v>
      </c>
      <c r="L298" s="175" t="e">
        <f t="shared" si="203"/>
        <v>#VALUE!</v>
      </c>
      <c r="M298" t="e">
        <f t="shared" si="174"/>
        <v>#VALUE!</v>
      </c>
      <c r="N298" t="e">
        <f t="shared" si="175"/>
        <v>#VALUE!</v>
      </c>
      <c r="O298" t="e">
        <f t="shared" si="176"/>
        <v>#VALUE!</v>
      </c>
      <c r="P298" t="e">
        <f t="shared" si="177"/>
        <v>#VALUE!</v>
      </c>
      <c r="Q298" t="e">
        <f t="shared" si="178"/>
        <v>#VALUE!</v>
      </c>
      <c r="R298" t="e">
        <f t="shared" si="179"/>
        <v>#VALUE!</v>
      </c>
      <c r="S298" t="e">
        <f t="shared" si="180"/>
        <v>#VALUE!</v>
      </c>
      <c r="T298" s="174" t="e">
        <f t="shared" si="204"/>
        <v>#VALUE!</v>
      </c>
      <c r="U298" t="e">
        <f t="shared" si="181"/>
        <v>#VALUE!</v>
      </c>
      <c r="V298" t="e">
        <f t="shared" si="182"/>
        <v>#VALUE!</v>
      </c>
      <c r="W298" t="e">
        <f t="shared" si="183"/>
        <v>#VALUE!</v>
      </c>
      <c r="X298" t="e">
        <f t="shared" si="184"/>
        <v>#VALUE!</v>
      </c>
      <c r="Y298" t="e">
        <f t="shared" si="185"/>
        <v>#VALUE!</v>
      </c>
      <c r="Z298" t="e">
        <f t="shared" si="186"/>
        <v>#VALUE!</v>
      </c>
      <c r="AA298" t="e">
        <f t="shared" si="187"/>
        <v>#VALUE!</v>
      </c>
      <c r="AB298" s="23" t="e">
        <f t="shared" si="205"/>
        <v>#VALUE!</v>
      </c>
      <c r="AC298" t="e">
        <f t="shared" si="188"/>
        <v>#VALUE!</v>
      </c>
      <c r="AD298" t="e">
        <f t="shared" si="189"/>
        <v>#VALUE!</v>
      </c>
      <c r="AE298" t="e">
        <f t="shared" si="190"/>
        <v>#VALUE!</v>
      </c>
      <c r="AF298" t="e">
        <f t="shared" si="191"/>
        <v>#VALUE!</v>
      </c>
      <c r="AG298" t="e">
        <f t="shared" si="192"/>
        <v>#VALUE!</v>
      </c>
      <c r="AH298" t="e">
        <f t="shared" si="193"/>
        <v>#VALUE!</v>
      </c>
      <c r="AI298" t="e">
        <f t="shared" si="194"/>
        <v>#VALUE!</v>
      </c>
      <c r="AJ298" s="19" t="e">
        <f t="shared" si="206"/>
        <v>#VALUE!</v>
      </c>
      <c r="AK298" t="e">
        <f t="shared" si="195"/>
        <v>#VALUE!</v>
      </c>
      <c r="AL298" t="e">
        <f t="shared" si="196"/>
        <v>#VALUE!</v>
      </c>
      <c r="AM298" t="e">
        <f t="shared" si="197"/>
        <v>#VALUE!</v>
      </c>
      <c r="AN298" t="e">
        <f t="shared" si="198"/>
        <v>#VALUE!</v>
      </c>
      <c r="AO298" t="e">
        <f t="shared" si="199"/>
        <v>#VALUE!</v>
      </c>
      <c r="AP298" t="e">
        <f t="shared" si="200"/>
        <v>#VALUE!</v>
      </c>
      <c r="AQ298" t="e">
        <f t="shared" si="201"/>
        <v>#VALUE!</v>
      </c>
      <c r="AR298" s="123" t="e">
        <f t="shared" si="207"/>
        <v>#VALUE!</v>
      </c>
      <c r="AS298" t="e">
        <f t="shared" si="202"/>
        <v>#VALUE!</v>
      </c>
      <c r="AT298" s="181" t="e">
        <f>INDEX('stock fisico '!N:N, MATCH(B298, 'stock fisico '!B:B, 0))</f>
        <v>#N/A</v>
      </c>
      <c r="AU298" s="179" t="e">
        <f>INDEX('stock fisico '!D:D, MATCH(B298, 'stock fisico '!B:B, 0))</f>
        <v>#N/A</v>
      </c>
      <c r="AV298" s="177" t="e">
        <f>INDEX('stock fisico '!L:L, MATCH(B298, 'stock fisico '!B:B, 0))</f>
        <v>#N/A</v>
      </c>
    </row>
    <row r="299" spans="1:48" x14ac:dyDescent="0.25">
      <c r="A299" s="181" t="e">
        <f>INDEX('stock fisico '!M:M, MATCH(B299, 'stock fisico '!B:B, 0))</f>
        <v>#N/A</v>
      </c>
      <c r="C299" s="179" t="e">
        <f>INDEX('stock fisico '!C:C, MATCH(B299, 'stock fisico '!B:B, 0))</f>
        <v>#N/A</v>
      </c>
      <c r="D299" s="178" t="e">
        <f>INDEX('stock fisico '!I:I, MATCH(B299, 'stock fisico '!B:B, 0))</f>
        <v>#N/A</v>
      </c>
      <c r="E299" s="173" t="e">
        <f t="shared" si="208"/>
        <v>#VALUE!</v>
      </c>
      <c r="F299" t="e">
        <f t="shared" si="168"/>
        <v>#VALUE!</v>
      </c>
      <c r="G299" t="e">
        <f t="shared" si="169"/>
        <v>#VALUE!</v>
      </c>
      <c r="H299" t="e">
        <f t="shared" si="170"/>
        <v>#VALUE!</v>
      </c>
      <c r="I299" t="e">
        <f t="shared" si="171"/>
        <v>#VALUE!</v>
      </c>
      <c r="J299" t="e">
        <f t="shared" si="172"/>
        <v>#VALUE!</v>
      </c>
      <c r="K299" t="e">
        <f t="shared" si="173"/>
        <v>#VALUE!</v>
      </c>
      <c r="L299" s="175" t="e">
        <f t="shared" si="203"/>
        <v>#VALUE!</v>
      </c>
      <c r="M299" t="e">
        <f t="shared" si="174"/>
        <v>#VALUE!</v>
      </c>
      <c r="N299" t="e">
        <f t="shared" si="175"/>
        <v>#VALUE!</v>
      </c>
      <c r="O299" t="e">
        <f t="shared" si="176"/>
        <v>#VALUE!</v>
      </c>
      <c r="P299" t="e">
        <f t="shared" si="177"/>
        <v>#VALUE!</v>
      </c>
      <c r="Q299" t="e">
        <f t="shared" si="178"/>
        <v>#VALUE!</v>
      </c>
      <c r="R299" t="e">
        <f t="shared" si="179"/>
        <v>#VALUE!</v>
      </c>
      <c r="S299" t="e">
        <f t="shared" si="180"/>
        <v>#VALUE!</v>
      </c>
      <c r="T299" s="174" t="e">
        <f t="shared" si="204"/>
        <v>#VALUE!</v>
      </c>
      <c r="U299" t="e">
        <f t="shared" si="181"/>
        <v>#VALUE!</v>
      </c>
      <c r="V299" t="e">
        <f t="shared" si="182"/>
        <v>#VALUE!</v>
      </c>
      <c r="W299" t="e">
        <f t="shared" si="183"/>
        <v>#VALUE!</v>
      </c>
      <c r="X299" t="e">
        <f t="shared" si="184"/>
        <v>#VALUE!</v>
      </c>
      <c r="Y299" t="e">
        <f t="shared" si="185"/>
        <v>#VALUE!</v>
      </c>
      <c r="Z299" t="e">
        <f t="shared" si="186"/>
        <v>#VALUE!</v>
      </c>
      <c r="AA299" t="e">
        <f t="shared" si="187"/>
        <v>#VALUE!</v>
      </c>
      <c r="AB299" s="23" t="e">
        <f t="shared" si="205"/>
        <v>#VALUE!</v>
      </c>
      <c r="AC299" t="e">
        <f t="shared" si="188"/>
        <v>#VALUE!</v>
      </c>
      <c r="AD299" t="e">
        <f t="shared" si="189"/>
        <v>#VALUE!</v>
      </c>
      <c r="AE299" t="e">
        <f t="shared" si="190"/>
        <v>#VALUE!</v>
      </c>
      <c r="AF299" t="e">
        <f t="shared" si="191"/>
        <v>#VALUE!</v>
      </c>
      <c r="AG299" t="e">
        <f t="shared" si="192"/>
        <v>#VALUE!</v>
      </c>
      <c r="AH299" t="e">
        <f t="shared" si="193"/>
        <v>#VALUE!</v>
      </c>
      <c r="AI299" t="e">
        <f t="shared" si="194"/>
        <v>#VALUE!</v>
      </c>
      <c r="AJ299" s="19" t="e">
        <f t="shared" si="206"/>
        <v>#VALUE!</v>
      </c>
      <c r="AK299" t="e">
        <f t="shared" si="195"/>
        <v>#VALUE!</v>
      </c>
      <c r="AL299" t="e">
        <f t="shared" si="196"/>
        <v>#VALUE!</v>
      </c>
      <c r="AM299" t="e">
        <f t="shared" si="197"/>
        <v>#VALUE!</v>
      </c>
      <c r="AN299" t="e">
        <f t="shared" si="198"/>
        <v>#VALUE!</v>
      </c>
      <c r="AO299" t="e">
        <f t="shared" si="199"/>
        <v>#VALUE!</v>
      </c>
      <c r="AP299" t="e">
        <f t="shared" si="200"/>
        <v>#VALUE!</v>
      </c>
      <c r="AQ299" t="e">
        <f t="shared" si="201"/>
        <v>#VALUE!</v>
      </c>
      <c r="AR299" s="123" t="e">
        <f t="shared" si="207"/>
        <v>#VALUE!</v>
      </c>
      <c r="AS299" t="e">
        <f t="shared" si="202"/>
        <v>#VALUE!</v>
      </c>
      <c r="AT299" s="181" t="e">
        <f>INDEX('stock fisico '!N:N, MATCH(B299, 'stock fisico '!B:B, 0))</f>
        <v>#N/A</v>
      </c>
      <c r="AU299" s="179" t="e">
        <f>INDEX('stock fisico '!D:D, MATCH(B299, 'stock fisico '!B:B, 0))</f>
        <v>#N/A</v>
      </c>
      <c r="AV299" s="177" t="e">
        <f>INDEX('stock fisico '!L:L, MATCH(B299, 'stock fisico '!B:B, 0))</f>
        <v>#N/A</v>
      </c>
    </row>
    <row r="300" spans="1:48" x14ac:dyDescent="0.25">
      <c r="A300" s="181" t="e">
        <f>INDEX('stock fisico '!M:M, MATCH(B300, 'stock fisico '!B:B, 0))</f>
        <v>#N/A</v>
      </c>
      <c r="C300" s="179" t="e">
        <f>INDEX('stock fisico '!C:C, MATCH(B300, 'stock fisico '!B:B, 0))</f>
        <v>#N/A</v>
      </c>
      <c r="D300" s="178" t="e">
        <f>INDEX('stock fisico '!I:I, MATCH(B300, 'stock fisico '!B:B, 0))</f>
        <v>#N/A</v>
      </c>
      <c r="E300" s="173" t="e">
        <f t="shared" si="208"/>
        <v>#VALUE!</v>
      </c>
      <c r="F300" t="e">
        <f t="shared" si="168"/>
        <v>#VALUE!</v>
      </c>
      <c r="G300" t="e">
        <f t="shared" si="169"/>
        <v>#VALUE!</v>
      </c>
      <c r="H300" t="e">
        <f t="shared" si="170"/>
        <v>#VALUE!</v>
      </c>
      <c r="I300" t="e">
        <f t="shared" si="171"/>
        <v>#VALUE!</v>
      </c>
      <c r="J300" t="e">
        <f t="shared" si="172"/>
        <v>#VALUE!</v>
      </c>
      <c r="K300" t="e">
        <f t="shared" si="173"/>
        <v>#VALUE!</v>
      </c>
      <c r="L300" s="175" t="e">
        <f t="shared" si="203"/>
        <v>#VALUE!</v>
      </c>
      <c r="M300" t="e">
        <f t="shared" si="174"/>
        <v>#VALUE!</v>
      </c>
      <c r="N300" t="e">
        <f t="shared" si="175"/>
        <v>#VALUE!</v>
      </c>
      <c r="O300" t="e">
        <f t="shared" si="176"/>
        <v>#VALUE!</v>
      </c>
      <c r="P300" t="e">
        <f t="shared" si="177"/>
        <v>#VALUE!</v>
      </c>
      <c r="Q300" t="e">
        <f t="shared" si="178"/>
        <v>#VALUE!</v>
      </c>
      <c r="R300" t="e">
        <f t="shared" si="179"/>
        <v>#VALUE!</v>
      </c>
      <c r="S300" t="e">
        <f t="shared" si="180"/>
        <v>#VALUE!</v>
      </c>
      <c r="T300" s="174" t="e">
        <f t="shared" si="204"/>
        <v>#VALUE!</v>
      </c>
      <c r="U300" t="e">
        <f t="shared" si="181"/>
        <v>#VALUE!</v>
      </c>
      <c r="V300" t="e">
        <f t="shared" si="182"/>
        <v>#VALUE!</v>
      </c>
      <c r="W300" t="e">
        <f t="shared" si="183"/>
        <v>#VALUE!</v>
      </c>
      <c r="X300" t="e">
        <f t="shared" si="184"/>
        <v>#VALUE!</v>
      </c>
      <c r="Y300" t="e">
        <f t="shared" si="185"/>
        <v>#VALUE!</v>
      </c>
      <c r="Z300" t="e">
        <f t="shared" si="186"/>
        <v>#VALUE!</v>
      </c>
      <c r="AA300" t="e">
        <f t="shared" si="187"/>
        <v>#VALUE!</v>
      </c>
      <c r="AB300" s="23" t="e">
        <f t="shared" si="205"/>
        <v>#VALUE!</v>
      </c>
      <c r="AC300" t="e">
        <f t="shared" si="188"/>
        <v>#VALUE!</v>
      </c>
      <c r="AD300" t="e">
        <f t="shared" si="189"/>
        <v>#VALUE!</v>
      </c>
      <c r="AE300" t="e">
        <f t="shared" si="190"/>
        <v>#VALUE!</v>
      </c>
      <c r="AF300" t="e">
        <f t="shared" si="191"/>
        <v>#VALUE!</v>
      </c>
      <c r="AG300" t="e">
        <f t="shared" si="192"/>
        <v>#VALUE!</v>
      </c>
      <c r="AH300" t="e">
        <f t="shared" si="193"/>
        <v>#VALUE!</v>
      </c>
      <c r="AI300" t="e">
        <f t="shared" si="194"/>
        <v>#VALUE!</v>
      </c>
      <c r="AJ300" s="19" t="e">
        <f t="shared" si="206"/>
        <v>#VALUE!</v>
      </c>
      <c r="AK300" t="e">
        <f t="shared" si="195"/>
        <v>#VALUE!</v>
      </c>
      <c r="AL300" t="e">
        <f t="shared" si="196"/>
        <v>#VALUE!</v>
      </c>
      <c r="AM300" t="e">
        <f t="shared" si="197"/>
        <v>#VALUE!</v>
      </c>
      <c r="AN300" t="e">
        <f t="shared" si="198"/>
        <v>#VALUE!</v>
      </c>
      <c r="AO300" t="e">
        <f t="shared" si="199"/>
        <v>#VALUE!</v>
      </c>
      <c r="AP300" t="e">
        <f t="shared" si="200"/>
        <v>#VALUE!</v>
      </c>
      <c r="AQ300" t="e">
        <f t="shared" si="201"/>
        <v>#VALUE!</v>
      </c>
      <c r="AR300" s="123" t="e">
        <f t="shared" si="207"/>
        <v>#VALUE!</v>
      </c>
      <c r="AS300" t="e">
        <f t="shared" si="202"/>
        <v>#VALUE!</v>
      </c>
      <c r="AT300" s="181" t="e">
        <f>INDEX('stock fisico '!N:N, MATCH(B300, 'stock fisico '!B:B, 0))</f>
        <v>#N/A</v>
      </c>
      <c r="AU300" s="179" t="e">
        <f>INDEX('stock fisico '!D:D, MATCH(B300, 'stock fisico '!B:B, 0))</f>
        <v>#N/A</v>
      </c>
      <c r="AV300" s="177" t="e">
        <f>INDEX('stock fisico '!L:L, MATCH(B300, 'stock fisico '!B:B, 0))</f>
        <v>#N/A</v>
      </c>
    </row>
    <row r="301" spans="1:48" x14ac:dyDescent="0.25">
      <c r="A301" s="181" t="e">
        <f>INDEX('stock fisico '!M:M, MATCH(B301, 'stock fisico '!B:B, 0))</f>
        <v>#N/A</v>
      </c>
      <c r="C301" s="179" t="e">
        <f>INDEX('stock fisico '!C:C, MATCH(B301, 'stock fisico '!B:B, 0))</f>
        <v>#N/A</v>
      </c>
      <c r="D301" s="178" t="e">
        <f>INDEX('stock fisico '!I:I, MATCH(B301, 'stock fisico '!B:B, 0))</f>
        <v>#N/A</v>
      </c>
      <c r="E301" s="173" t="e">
        <f t="shared" si="208"/>
        <v>#VALUE!</v>
      </c>
      <c r="F301" t="e">
        <f t="shared" si="168"/>
        <v>#VALUE!</v>
      </c>
      <c r="G301" t="e">
        <f t="shared" si="169"/>
        <v>#VALUE!</v>
      </c>
      <c r="H301" t="e">
        <f t="shared" si="170"/>
        <v>#VALUE!</v>
      </c>
      <c r="I301" t="e">
        <f t="shared" si="171"/>
        <v>#VALUE!</v>
      </c>
      <c r="J301" t="e">
        <f t="shared" si="172"/>
        <v>#VALUE!</v>
      </c>
      <c r="K301" t="e">
        <f t="shared" si="173"/>
        <v>#VALUE!</v>
      </c>
      <c r="L301" s="175" t="e">
        <f t="shared" si="203"/>
        <v>#VALUE!</v>
      </c>
      <c r="M301" t="e">
        <f t="shared" si="174"/>
        <v>#VALUE!</v>
      </c>
      <c r="N301" t="e">
        <f t="shared" si="175"/>
        <v>#VALUE!</v>
      </c>
      <c r="O301" t="e">
        <f t="shared" si="176"/>
        <v>#VALUE!</v>
      </c>
      <c r="P301" t="e">
        <f t="shared" si="177"/>
        <v>#VALUE!</v>
      </c>
      <c r="Q301" t="e">
        <f t="shared" si="178"/>
        <v>#VALUE!</v>
      </c>
      <c r="R301" t="e">
        <f t="shared" si="179"/>
        <v>#VALUE!</v>
      </c>
      <c r="S301" t="e">
        <f t="shared" si="180"/>
        <v>#VALUE!</v>
      </c>
      <c r="T301" s="174" t="e">
        <f t="shared" si="204"/>
        <v>#VALUE!</v>
      </c>
      <c r="U301" t="e">
        <f t="shared" si="181"/>
        <v>#VALUE!</v>
      </c>
      <c r="V301" t="e">
        <f t="shared" si="182"/>
        <v>#VALUE!</v>
      </c>
      <c r="W301" t="e">
        <f t="shared" si="183"/>
        <v>#VALUE!</v>
      </c>
      <c r="X301" t="e">
        <f t="shared" si="184"/>
        <v>#VALUE!</v>
      </c>
      <c r="Y301" t="e">
        <f t="shared" si="185"/>
        <v>#VALUE!</v>
      </c>
      <c r="Z301" t="e">
        <f t="shared" si="186"/>
        <v>#VALUE!</v>
      </c>
      <c r="AA301" t="e">
        <f t="shared" si="187"/>
        <v>#VALUE!</v>
      </c>
      <c r="AB301" s="23" t="e">
        <f t="shared" si="205"/>
        <v>#VALUE!</v>
      </c>
      <c r="AC301" t="e">
        <f t="shared" si="188"/>
        <v>#VALUE!</v>
      </c>
      <c r="AD301" t="e">
        <f t="shared" si="189"/>
        <v>#VALUE!</v>
      </c>
      <c r="AE301" t="e">
        <f t="shared" si="190"/>
        <v>#VALUE!</v>
      </c>
      <c r="AF301" t="e">
        <f t="shared" si="191"/>
        <v>#VALUE!</v>
      </c>
      <c r="AG301" t="e">
        <f t="shared" si="192"/>
        <v>#VALUE!</v>
      </c>
      <c r="AH301" t="e">
        <f t="shared" si="193"/>
        <v>#VALUE!</v>
      </c>
      <c r="AI301" t="e">
        <f t="shared" si="194"/>
        <v>#VALUE!</v>
      </c>
      <c r="AJ301" s="19" t="e">
        <f t="shared" si="206"/>
        <v>#VALUE!</v>
      </c>
      <c r="AK301" t="e">
        <f t="shared" si="195"/>
        <v>#VALUE!</v>
      </c>
      <c r="AL301" t="e">
        <f t="shared" si="196"/>
        <v>#VALUE!</v>
      </c>
      <c r="AM301" t="e">
        <f t="shared" si="197"/>
        <v>#VALUE!</v>
      </c>
      <c r="AN301" t="e">
        <f t="shared" si="198"/>
        <v>#VALUE!</v>
      </c>
      <c r="AO301" t="e">
        <f t="shared" si="199"/>
        <v>#VALUE!</v>
      </c>
      <c r="AP301" t="e">
        <f t="shared" si="200"/>
        <v>#VALUE!</v>
      </c>
      <c r="AQ301" t="e">
        <f t="shared" si="201"/>
        <v>#VALUE!</v>
      </c>
      <c r="AR301" s="123" t="e">
        <f t="shared" si="207"/>
        <v>#VALUE!</v>
      </c>
      <c r="AS301" t="e">
        <f t="shared" si="202"/>
        <v>#VALUE!</v>
      </c>
      <c r="AT301" s="181" t="e">
        <f>INDEX('stock fisico '!N:N, MATCH(B301, 'stock fisico '!B:B, 0))</f>
        <v>#N/A</v>
      </c>
      <c r="AU301" s="179" t="e">
        <f>INDEX('stock fisico '!D:D, MATCH(B301, 'stock fisico '!B:B, 0))</f>
        <v>#N/A</v>
      </c>
      <c r="AV301" s="177" t="e">
        <f>INDEX('stock fisico '!L:L, MATCH(B301, 'stock fisico '!B:B, 0))</f>
        <v>#N/A</v>
      </c>
    </row>
    <row r="302" spans="1:48" x14ac:dyDescent="0.25">
      <c r="A302" s="181" t="e">
        <f>INDEX('stock fisico '!M:M, MATCH(B302, 'stock fisico '!B:B, 0))</f>
        <v>#N/A</v>
      </c>
      <c r="C302" s="179" t="e">
        <f>INDEX('stock fisico '!C:C, MATCH(B302, 'stock fisico '!B:B, 0))</f>
        <v>#N/A</v>
      </c>
      <c r="D302" s="178" t="e">
        <f>INDEX('stock fisico '!I:I, MATCH(B302, 'stock fisico '!B:B, 0))</f>
        <v>#N/A</v>
      </c>
      <c r="E302" s="173" t="e">
        <f t="shared" si="208"/>
        <v>#VALUE!</v>
      </c>
      <c r="F302" t="e">
        <f t="shared" si="168"/>
        <v>#VALUE!</v>
      </c>
      <c r="G302" t="e">
        <f t="shared" si="169"/>
        <v>#VALUE!</v>
      </c>
      <c r="H302" t="e">
        <f t="shared" si="170"/>
        <v>#VALUE!</v>
      </c>
      <c r="I302" t="e">
        <f t="shared" si="171"/>
        <v>#VALUE!</v>
      </c>
      <c r="J302" t="e">
        <f t="shared" si="172"/>
        <v>#VALUE!</v>
      </c>
      <c r="K302" t="e">
        <f t="shared" si="173"/>
        <v>#VALUE!</v>
      </c>
      <c r="L302" s="175" t="e">
        <f t="shared" si="203"/>
        <v>#VALUE!</v>
      </c>
      <c r="M302" t="e">
        <f t="shared" si="174"/>
        <v>#VALUE!</v>
      </c>
      <c r="N302" t="e">
        <f t="shared" si="175"/>
        <v>#VALUE!</v>
      </c>
      <c r="O302" t="e">
        <f t="shared" si="176"/>
        <v>#VALUE!</v>
      </c>
      <c r="P302" t="e">
        <f t="shared" si="177"/>
        <v>#VALUE!</v>
      </c>
      <c r="Q302" t="e">
        <f t="shared" si="178"/>
        <v>#VALUE!</v>
      </c>
      <c r="R302" t="e">
        <f t="shared" si="179"/>
        <v>#VALUE!</v>
      </c>
      <c r="S302" t="e">
        <f t="shared" si="180"/>
        <v>#VALUE!</v>
      </c>
      <c r="T302" s="174" t="e">
        <f t="shared" si="204"/>
        <v>#VALUE!</v>
      </c>
      <c r="U302" t="e">
        <f t="shared" si="181"/>
        <v>#VALUE!</v>
      </c>
      <c r="V302" t="e">
        <f t="shared" si="182"/>
        <v>#VALUE!</v>
      </c>
      <c r="W302" t="e">
        <f t="shared" si="183"/>
        <v>#VALUE!</v>
      </c>
      <c r="X302" t="e">
        <f t="shared" si="184"/>
        <v>#VALUE!</v>
      </c>
      <c r="Y302" t="e">
        <f t="shared" si="185"/>
        <v>#VALUE!</v>
      </c>
      <c r="Z302" t="e">
        <f t="shared" si="186"/>
        <v>#VALUE!</v>
      </c>
      <c r="AA302" t="e">
        <f t="shared" si="187"/>
        <v>#VALUE!</v>
      </c>
      <c r="AB302" s="23" t="e">
        <f t="shared" si="205"/>
        <v>#VALUE!</v>
      </c>
      <c r="AC302" t="e">
        <f t="shared" si="188"/>
        <v>#VALUE!</v>
      </c>
      <c r="AD302" t="e">
        <f t="shared" si="189"/>
        <v>#VALUE!</v>
      </c>
      <c r="AE302" t="e">
        <f t="shared" si="190"/>
        <v>#VALUE!</v>
      </c>
      <c r="AF302" t="e">
        <f t="shared" si="191"/>
        <v>#VALUE!</v>
      </c>
      <c r="AG302" t="e">
        <f t="shared" si="192"/>
        <v>#VALUE!</v>
      </c>
      <c r="AH302" t="e">
        <f t="shared" si="193"/>
        <v>#VALUE!</v>
      </c>
      <c r="AI302" t="e">
        <f t="shared" si="194"/>
        <v>#VALUE!</v>
      </c>
      <c r="AJ302" s="19" t="e">
        <f t="shared" si="206"/>
        <v>#VALUE!</v>
      </c>
      <c r="AK302" t="e">
        <f t="shared" si="195"/>
        <v>#VALUE!</v>
      </c>
      <c r="AL302" t="e">
        <f t="shared" si="196"/>
        <v>#VALUE!</v>
      </c>
      <c r="AM302" t="e">
        <f t="shared" si="197"/>
        <v>#VALUE!</v>
      </c>
      <c r="AN302" t="e">
        <f t="shared" si="198"/>
        <v>#VALUE!</v>
      </c>
      <c r="AO302" t="e">
        <f t="shared" si="199"/>
        <v>#VALUE!</v>
      </c>
      <c r="AP302" t="e">
        <f t="shared" si="200"/>
        <v>#VALUE!</v>
      </c>
      <c r="AQ302" t="e">
        <f t="shared" si="201"/>
        <v>#VALUE!</v>
      </c>
      <c r="AR302" s="123" t="e">
        <f t="shared" si="207"/>
        <v>#VALUE!</v>
      </c>
      <c r="AS302" t="e">
        <f t="shared" si="202"/>
        <v>#VALUE!</v>
      </c>
      <c r="AT302" s="181" t="e">
        <f>INDEX('stock fisico '!N:N, MATCH(B302, 'stock fisico '!B:B, 0))</f>
        <v>#N/A</v>
      </c>
      <c r="AU302" s="179" t="e">
        <f>INDEX('stock fisico '!D:D, MATCH(B302, 'stock fisico '!B:B, 0))</f>
        <v>#N/A</v>
      </c>
      <c r="AV302" s="177" t="e">
        <f>INDEX('stock fisico '!L:L, MATCH(B302, 'stock fisico '!B:B, 0))</f>
        <v>#N/A</v>
      </c>
    </row>
    <row r="303" spans="1:48" x14ac:dyDescent="0.25">
      <c r="A303" s="181" t="e">
        <f>INDEX('stock fisico '!M:M, MATCH(B303, 'stock fisico '!B:B, 0))</f>
        <v>#N/A</v>
      </c>
      <c r="C303" s="179" t="e">
        <f>INDEX('stock fisico '!C:C, MATCH(B303, 'stock fisico '!B:B, 0))</f>
        <v>#N/A</v>
      </c>
      <c r="D303" s="178" t="e">
        <f>INDEX('stock fisico '!I:I, MATCH(B303, 'stock fisico '!B:B, 0))</f>
        <v>#N/A</v>
      </c>
      <c r="E303" s="173" t="e">
        <f t="shared" si="208"/>
        <v>#VALUE!</v>
      </c>
      <c r="F303" t="e">
        <f t="shared" si="168"/>
        <v>#VALUE!</v>
      </c>
      <c r="G303" t="e">
        <f t="shared" si="169"/>
        <v>#VALUE!</v>
      </c>
      <c r="H303" t="e">
        <f t="shared" si="170"/>
        <v>#VALUE!</v>
      </c>
      <c r="I303" t="e">
        <f t="shared" si="171"/>
        <v>#VALUE!</v>
      </c>
      <c r="J303" t="e">
        <f t="shared" si="172"/>
        <v>#VALUE!</v>
      </c>
      <c r="K303" t="e">
        <f t="shared" si="173"/>
        <v>#VALUE!</v>
      </c>
      <c r="L303" s="175" t="e">
        <f t="shared" si="203"/>
        <v>#VALUE!</v>
      </c>
      <c r="M303" t="e">
        <f t="shared" si="174"/>
        <v>#VALUE!</v>
      </c>
      <c r="N303" t="e">
        <f t="shared" si="175"/>
        <v>#VALUE!</v>
      </c>
      <c r="O303" t="e">
        <f t="shared" si="176"/>
        <v>#VALUE!</v>
      </c>
      <c r="P303" t="e">
        <f t="shared" si="177"/>
        <v>#VALUE!</v>
      </c>
      <c r="Q303" t="e">
        <f t="shared" si="178"/>
        <v>#VALUE!</v>
      </c>
      <c r="R303" t="e">
        <f t="shared" si="179"/>
        <v>#VALUE!</v>
      </c>
      <c r="S303" t="e">
        <f t="shared" si="180"/>
        <v>#VALUE!</v>
      </c>
      <c r="T303" s="174" t="e">
        <f t="shared" si="204"/>
        <v>#VALUE!</v>
      </c>
      <c r="U303" t="e">
        <f t="shared" si="181"/>
        <v>#VALUE!</v>
      </c>
      <c r="V303" t="e">
        <f t="shared" si="182"/>
        <v>#VALUE!</v>
      </c>
      <c r="W303" t="e">
        <f t="shared" si="183"/>
        <v>#VALUE!</v>
      </c>
      <c r="X303" t="e">
        <f t="shared" si="184"/>
        <v>#VALUE!</v>
      </c>
      <c r="Y303" t="e">
        <f t="shared" si="185"/>
        <v>#VALUE!</v>
      </c>
      <c r="Z303" t="e">
        <f t="shared" si="186"/>
        <v>#VALUE!</v>
      </c>
      <c r="AA303" t="e">
        <f t="shared" si="187"/>
        <v>#VALUE!</v>
      </c>
      <c r="AB303" s="23" t="e">
        <f t="shared" si="205"/>
        <v>#VALUE!</v>
      </c>
      <c r="AC303" t="e">
        <f t="shared" si="188"/>
        <v>#VALUE!</v>
      </c>
      <c r="AD303" t="e">
        <f t="shared" si="189"/>
        <v>#VALUE!</v>
      </c>
      <c r="AE303" t="e">
        <f t="shared" si="190"/>
        <v>#VALUE!</v>
      </c>
      <c r="AF303" t="e">
        <f t="shared" si="191"/>
        <v>#VALUE!</v>
      </c>
      <c r="AG303" t="e">
        <f t="shared" si="192"/>
        <v>#VALUE!</v>
      </c>
      <c r="AH303" t="e">
        <f t="shared" si="193"/>
        <v>#VALUE!</v>
      </c>
      <c r="AI303" t="e">
        <f t="shared" si="194"/>
        <v>#VALUE!</v>
      </c>
      <c r="AJ303" s="19" t="e">
        <f t="shared" si="206"/>
        <v>#VALUE!</v>
      </c>
      <c r="AK303" t="e">
        <f t="shared" si="195"/>
        <v>#VALUE!</v>
      </c>
      <c r="AL303" t="e">
        <f t="shared" si="196"/>
        <v>#VALUE!</v>
      </c>
      <c r="AM303" t="e">
        <f t="shared" si="197"/>
        <v>#VALUE!</v>
      </c>
      <c r="AN303" t="e">
        <f t="shared" si="198"/>
        <v>#VALUE!</v>
      </c>
      <c r="AO303" t="e">
        <f t="shared" si="199"/>
        <v>#VALUE!</v>
      </c>
      <c r="AP303" t="e">
        <f t="shared" si="200"/>
        <v>#VALUE!</v>
      </c>
      <c r="AQ303" t="e">
        <f t="shared" si="201"/>
        <v>#VALUE!</v>
      </c>
      <c r="AR303" s="123" t="e">
        <f t="shared" si="207"/>
        <v>#VALUE!</v>
      </c>
      <c r="AS303" t="e">
        <f t="shared" si="202"/>
        <v>#VALUE!</v>
      </c>
      <c r="AT303" s="181" t="e">
        <f>INDEX('stock fisico '!N:N, MATCH(B303, 'stock fisico '!B:B, 0))</f>
        <v>#N/A</v>
      </c>
      <c r="AU303" s="179" t="e">
        <f>INDEX('stock fisico '!D:D, MATCH(B303, 'stock fisico '!B:B, 0))</f>
        <v>#N/A</v>
      </c>
      <c r="AV303" s="177" t="e">
        <f>INDEX('stock fisico '!L:L, MATCH(B303, 'stock fisico '!B:B, 0))</f>
        <v>#N/A</v>
      </c>
    </row>
    <row r="304" spans="1:48" x14ac:dyDescent="0.25">
      <c r="A304" s="181" t="e">
        <f>INDEX('stock fisico '!M:M, MATCH(B304, 'stock fisico '!B:B, 0))</f>
        <v>#N/A</v>
      </c>
      <c r="C304" s="179" t="e">
        <f>INDEX('stock fisico '!C:C, MATCH(B304, 'stock fisico '!B:B, 0))</f>
        <v>#N/A</v>
      </c>
      <c r="D304" s="178" t="e">
        <f>INDEX('stock fisico '!I:I, MATCH(B304, 'stock fisico '!B:B, 0))</f>
        <v>#N/A</v>
      </c>
      <c r="E304" s="173" t="e">
        <f t="shared" si="208"/>
        <v>#VALUE!</v>
      </c>
      <c r="F304" t="e">
        <f t="shared" si="168"/>
        <v>#VALUE!</v>
      </c>
      <c r="G304" t="e">
        <f t="shared" si="169"/>
        <v>#VALUE!</v>
      </c>
      <c r="H304" t="e">
        <f t="shared" si="170"/>
        <v>#VALUE!</v>
      </c>
      <c r="I304" t="e">
        <f t="shared" si="171"/>
        <v>#VALUE!</v>
      </c>
      <c r="J304" t="e">
        <f t="shared" si="172"/>
        <v>#VALUE!</v>
      </c>
      <c r="K304" t="e">
        <f t="shared" si="173"/>
        <v>#VALUE!</v>
      </c>
      <c r="L304" s="175" t="e">
        <f t="shared" si="203"/>
        <v>#VALUE!</v>
      </c>
      <c r="M304" t="e">
        <f t="shared" si="174"/>
        <v>#VALUE!</v>
      </c>
      <c r="N304" t="e">
        <f t="shared" si="175"/>
        <v>#VALUE!</v>
      </c>
      <c r="O304" t="e">
        <f t="shared" si="176"/>
        <v>#VALUE!</v>
      </c>
      <c r="P304" t="e">
        <f t="shared" si="177"/>
        <v>#VALUE!</v>
      </c>
      <c r="Q304" t="e">
        <f t="shared" si="178"/>
        <v>#VALUE!</v>
      </c>
      <c r="R304" t="e">
        <f t="shared" si="179"/>
        <v>#VALUE!</v>
      </c>
      <c r="S304" t="e">
        <f t="shared" si="180"/>
        <v>#VALUE!</v>
      </c>
      <c r="T304" s="174" t="e">
        <f t="shared" si="204"/>
        <v>#VALUE!</v>
      </c>
      <c r="U304" t="e">
        <f t="shared" si="181"/>
        <v>#VALUE!</v>
      </c>
      <c r="V304" t="e">
        <f t="shared" si="182"/>
        <v>#VALUE!</v>
      </c>
      <c r="W304" t="e">
        <f t="shared" si="183"/>
        <v>#VALUE!</v>
      </c>
      <c r="X304" t="e">
        <f t="shared" si="184"/>
        <v>#VALUE!</v>
      </c>
      <c r="Y304" t="e">
        <f t="shared" si="185"/>
        <v>#VALUE!</v>
      </c>
      <c r="Z304" t="e">
        <f t="shared" si="186"/>
        <v>#VALUE!</v>
      </c>
      <c r="AA304" t="e">
        <f t="shared" si="187"/>
        <v>#VALUE!</v>
      </c>
      <c r="AB304" s="23" t="e">
        <f t="shared" si="205"/>
        <v>#VALUE!</v>
      </c>
      <c r="AC304" t="e">
        <f t="shared" si="188"/>
        <v>#VALUE!</v>
      </c>
      <c r="AD304" t="e">
        <f t="shared" si="189"/>
        <v>#VALUE!</v>
      </c>
      <c r="AE304" t="e">
        <f t="shared" si="190"/>
        <v>#VALUE!</v>
      </c>
      <c r="AF304" t="e">
        <f t="shared" si="191"/>
        <v>#VALUE!</v>
      </c>
      <c r="AG304" t="e">
        <f t="shared" si="192"/>
        <v>#VALUE!</v>
      </c>
      <c r="AH304" t="e">
        <f t="shared" si="193"/>
        <v>#VALUE!</v>
      </c>
      <c r="AI304" t="e">
        <f t="shared" si="194"/>
        <v>#VALUE!</v>
      </c>
      <c r="AJ304" s="19" t="e">
        <f t="shared" si="206"/>
        <v>#VALUE!</v>
      </c>
      <c r="AK304" t="e">
        <f t="shared" si="195"/>
        <v>#VALUE!</v>
      </c>
      <c r="AL304" t="e">
        <f t="shared" si="196"/>
        <v>#VALUE!</v>
      </c>
      <c r="AM304" t="e">
        <f t="shared" si="197"/>
        <v>#VALUE!</v>
      </c>
      <c r="AN304" t="e">
        <f t="shared" si="198"/>
        <v>#VALUE!</v>
      </c>
      <c r="AO304" t="e">
        <f t="shared" si="199"/>
        <v>#VALUE!</v>
      </c>
      <c r="AP304" t="e">
        <f t="shared" si="200"/>
        <v>#VALUE!</v>
      </c>
      <c r="AQ304" t="e">
        <f t="shared" si="201"/>
        <v>#VALUE!</v>
      </c>
      <c r="AR304" s="123" t="e">
        <f t="shared" si="207"/>
        <v>#VALUE!</v>
      </c>
      <c r="AS304" t="e">
        <f t="shared" si="202"/>
        <v>#VALUE!</v>
      </c>
      <c r="AT304" s="181" t="e">
        <f>INDEX('stock fisico '!N:N, MATCH(B304, 'stock fisico '!B:B, 0))</f>
        <v>#N/A</v>
      </c>
      <c r="AU304" s="179" t="e">
        <f>INDEX('stock fisico '!D:D, MATCH(B304, 'stock fisico '!B:B, 0))</f>
        <v>#N/A</v>
      </c>
      <c r="AV304" s="177" t="e">
        <f>INDEX('stock fisico '!L:L, MATCH(B304, 'stock fisico '!B:B, 0))</f>
        <v>#N/A</v>
      </c>
    </row>
    <row r="305" spans="1:48" x14ac:dyDescent="0.25">
      <c r="A305" s="181" t="e">
        <f>INDEX('stock fisico '!M:M, MATCH(B305, 'stock fisico '!B:B, 0))</f>
        <v>#N/A</v>
      </c>
      <c r="C305" s="179" t="e">
        <f>INDEX('stock fisico '!C:C, MATCH(B305, 'stock fisico '!B:B, 0))</f>
        <v>#N/A</v>
      </c>
      <c r="D305" s="178" t="e">
        <f>INDEX('stock fisico '!I:I, MATCH(B305, 'stock fisico '!B:B, 0))</f>
        <v>#N/A</v>
      </c>
      <c r="E305" s="173" t="e">
        <f t="shared" si="208"/>
        <v>#VALUE!</v>
      </c>
      <c r="F305" t="e">
        <f t="shared" si="168"/>
        <v>#VALUE!</v>
      </c>
      <c r="G305" t="e">
        <f t="shared" si="169"/>
        <v>#VALUE!</v>
      </c>
      <c r="H305" t="e">
        <f t="shared" si="170"/>
        <v>#VALUE!</v>
      </c>
      <c r="I305" t="e">
        <f t="shared" si="171"/>
        <v>#VALUE!</v>
      </c>
      <c r="J305" t="e">
        <f t="shared" si="172"/>
        <v>#VALUE!</v>
      </c>
      <c r="K305" t="e">
        <f t="shared" si="173"/>
        <v>#VALUE!</v>
      </c>
      <c r="L305" s="175" t="e">
        <f t="shared" si="203"/>
        <v>#VALUE!</v>
      </c>
      <c r="M305" t="e">
        <f t="shared" si="174"/>
        <v>#VALUE!</v>
      </c>
      <c r="N305" t="e">
        <f t="shared" si="175"/>
        <v>#VALUE!</v>
      </c>
      <c r="O305" t="e">
        <f t="shared" si="176"/>
        <v>#VALUE!</v>
      </c>
      <c r="P305" t="e">
        <f t="shared" si="177"/>
        <v>#VALUE!</v>
      </c>
      <c r="Q305" t="e">
        <f t="shared" si="178"/>
        <v>#VALUE!</v>
      </c>
      <c r="R305" t="e">
        <f t="shared" si="179"/>
        <v>#VALUE!</v>
      </c>
      <c r="S305" t="e">
        <f t="shared" si="180"/>
        <v>#VALUE!</v>
      </c>
      <c r="T305" s="174" t="e">
        <f t="shared" si="204"/>
        <v>#VALUE!</v>
      </c>
      <c r="U305" t="e">
        <f t="shared" si="181"/>
        <v>#VALUE!</v>
      </c>
      <c r="V305" t="e">
        <f t="shared" si="182"/>
        <v>#VALUE!</v>
      </c>
      <c r="W305" t="e">
        <f t="shared" si="183"/>
        <v>#VALUE!</v>
      </c>
      <c r="X305" t="e">
        <f t="shared" si="184"/>
        <v>#VALUE!</v>
      </c>
      <c r="Y305" t="e">
        <f t="shared" si="185"/>
        <v>#VALUE!</v>
      </c>
      <c r="Z305" t="e">
        <f t="shared" si="186"/>
        <v>#VALUE!</v>
      </c>
      <c r="AA305" t="e">
        <f t="shared" si="187"/>
        <v>#VALUE!</v>
      </c>
      <c r="AB305" s="23" t="e">
        <f t="shared" si="205"/>
        <v>#VALUE!</v>
      </c>
      <c r="AC305" t="e">
        <f t="shared" si="188"/>
        <v>#VALUE!</v>
      </c>
      <c r="AD305" t="e">
        <f t="shared" si="189"/>
        <v>#VALUE!</v>
      </c>
      <c r="AE305" t="e">
        <f t="shared" si="190"/>
        <v>#VALUE!</v>
      </c>
      <c r="AF305" t="e">
        <f t="shared" si="191"/>
        <v>#VALUE!</v>
      </c>
      <c r="AG305" t="e">
        <f t="shared" si="192"/>
        <v>#VALUE!</v>
      </c>
      <c r="AH305" t="e">
        <f t="shared" si="193"/>
        <v>#VALUE!</v>
      </c>
      <c r="AI305" t="e">
        <f t="shared" si="194"/>
        <v>#VALUE!</v>
      </c>
      <c r="AJ305" s="19" t="e">
        <f t="shared" si="206"/>
        <v>#VALUE!</v>
      </c>
      <c r="AK305" t="e">
        <f t="shared" si="195"/>
        <v>#VALUE!</v>
      </c>
      <c r="AL305" t="e">
        <f t="shared" si="196"/>
        <v>#VALUE!</v>
      </c>
      <c r="AM305" t="e">
        <f t="shared" si="197"/>
        <v>#VALUE!</v>
      </c>
      <c r="AN305" t="e">
        <f t="shared" si="198"/>
        <v>#VALUE!</v>
      </c>
      <c r="AO305" t="e">
        <f t="shared" si="199"/>
        <v>#VALUE!</v>
      </c>
      <c r="AP305" t="e">
        <f t="shared" si="200"/>
        <v>#VALUE!</v>
      </c>
      <c r="AQ305" t="e">
        <f t="shared" si="201"/>
        <v>#VALUE!</v>
      </c>
      <c r="AR305" s="123" t="e">
        <f t="shared" si="207"/>
        <v>#VALUE!</v>
      </c>
      <c r="AS305" t="e">
        <f t="shared" si="202"/>
        <v>#VALUE!</v>
      </c>
      <c r="AT305" s="181" t="e">
        <f>INDEX('stock fisico '!N:N, MATCH(B305, 'stock fisico '!B:B, 0))</f>
        <v>#N/A</v>
      </c>
      <c r="AU305" s="179" t="e">
        <f>INDEX('stock fisico '!D:D, MATCH(B305, 'stock fisico '!B:B, 0))</f>
        <v>#N/A</v>
      </c>
      <c r="AV305" s="177" t="e">
        <f>INDEX('stock fisico '!L:L, MATCH(B305, 'stock fisico '!B:B, 0))</f>
        <v>#N/A</v>
      </c>
    </row>
    <row r="306" spans="1:48" x14ac:dyDescent="0.25">
      <c r="A306" s="181" t="e">
        <f>INDEX('stock fisico '!M:M, MATCH(B306, 'stock fisico '!B:B, 0))</f>
        <v>#N/A</v>
      </c>
      <c r="C306" s="179" t="e">
        <f>INDEX('stock fisico '!C:C, MATCH(B306, 'stock fisico '!B:B, 0))</f>
        <v>#N/A</v>
      </c>
      <c r="D306" s="178" t="e">
        <f>INDEX('stock fisico '!I:I, MATCH(B306, 'stock fisico '!B:B, 0))</f>
        <v>#N/A</v>
      </c>
      <c r="E306" s="173" t="e">
        <f t="shared" si="208"/>
        <v>#VALUE!</v>
      </c>
      <c r="F306" t="e">
        <f t="shared" si="168"/>
        <v>#VALUE!</v>
      </c>
      <c r="G306" t="e">
        <f t="shared" si="169"/>
        <v>#VALUE!</v>
      </c>
      <c r="H306" t="e">
        <f t="shared" si="170"/>
        <v>#VALUE!</v>
      </c>
      <c r="I306" t="e">
        <f t="shared" si="171"/>
        <v>#VALUE!</v>
      </c>
      <c r="J306" t="e">
        <f t="shared" si="172"/>
        <v>#VALUE!</v>
      </c>
      <c r="K306" t="e">
        <f t="shared" si="173"/>
        <v>#VALUE!</v>
      </c>
      <c r="L306" s="175" t="e">
        <f t="shared" si="203"/>
        <v>#VALUE!</v>
      </c>
      <c r="M306" t="e">
        <f t="shared" si="174"/>
        <v>#VALUE!</v>
      </c>
      <c r="N306" t="e">
        <f t="shared" si="175"/>
        <v>#VALUE!</v>
      </c>
      <c r="O306" t="e">
        <f t="shared" si="176"/>
        <v>#VALUE!</v>
      </c>
      <c r="P306" t="e">
        <f t="shared" si="177"/>
        <v>#VALUE!</v>
      </c>
      <c r="Q306" t="e">
        <f t="shared" si="178"/>
        <v>#VALUE!</v>
      </c>
      <c r="R306" t="e">
        <f t="shared" si="179"/>
        <v>#VALUE!</v>
      </c>
      <c r="S306" t="e">
        <f t="shared" si="180"/>
        <v>#VALUE!</v>
      </c>
      <c r="T306" s="174" t="e">
        <f t="shared" si="204"/>
        <v>#VALUE!</v>
      </c>
      <c r="U306" t="e">
        <f t="shared" si="181"/>
        <v>#VALUE!</v>
      </c>
      <c r="V306" t="e">
        <f t="shared" si="182"/>
        <v>#VALUE!</v>
      </c>
      <c r="W306" t="e">
        <f t="shared" si="183"/>
        <v>#VALUE!</v>
      </c>
      <c r="X306" t="e">
        <f t="shared" si="184"/>
        <v>#VALUE!</v>
      </c>
      <c r="Y306" t="e">
        <f t="shared" si="185"/>
        <v>#VALUE!</v>
      </c>
      <c r="Z306" t="e">
        <f t="shared" si="186"/>
        <v>#VALUE!</v>
      </c>
      <c r="AA306" t="e">
        <f t="shared" si="187"/>
        <v>#VALUE!</v>
      </c>
      <c r="AB306" s="23" t="e">
        <f t="shared" si="205"/>
        <v>#VALUE!</v>
      </c>
      <c r="AC306" t="e">
        <f t="shared" si="188"/>
        <v>#VALUE!</v>
      </c>
      <c r="AD306" t="e">
        <f t="shared" si="189"/>
        <v>#VALUE!</v>
      </c>
      <c r="AE306" t="e">
        <f t="shared" si="190"/>
        <v>#VALUE!</v>
      </c>
      <c r="AF306" t="e">
        <f t="shared" si="191"/>
        <v>#VALUE!</v>
      </c>
      <c r="AG306" t="e">
        <f t="shared" si="192"/>
        <v>#VALUE!</v>
      </c>
      <c r="AH306" t="e">
        <f t="shared" si="193"/>
        <v>#VALUE!</v>
      </c>
      <c r="AI306" t="e">
        <f t="shared" si="194"/>
        <v>#VALUE!</v>
      </c>
      <c r="AJ306" s="19" t="e">
        <f t="shared" si="206"/>
        <v>#VALUE!</v>
      </c>
      <c r="AK306" t="e">
        <f t="shared" si="195"/>
        <v>#VALUE!</v>
      </c>
      <c r="AL306" t="e">
        <f t="shared" si="196"/>
        <v>#VALUE!</v>
      </c>
      <c r="AM306" t="e">
        <f t="shared" si="197"/>
        <v>#VALUE!</v>
      </c>
      <c r="AN306" t="e">
        <f t="shared" si="198"/>
        <v>#VALUE!</v>
      </c>
      <c r="AO306" t="e">
        <f t="shared" si="199"/>
        <v>#VALUE!</v>
      </c>
      <c r="AP306" t="e">
        <f t="shared" si="200"/>
        <v>#VALUE!</v>
      </c>
      <c r="AQ306" t="e">
        <f t="shared" si="201"/>
        <v>#VALUE!</v>
      </c>
      <c r="AR306" s="123" t="e">
        <f t="shared" si="207"/>
        <v>#VALUE!</v>
      </c>
      <c r="AS306" t="e">
        <f t="shared" si="202"/>
        <v>#VALUE!</v>
      </c>
      <c r="AT306" s="181" t="e">
        <f>INDEX('stock fisico '!N:N, MATCH(B306, 'stock fisico '!B:B, 0))</f>
        <v>#N/A</v>
      </c>
      <c r="AU306" s="179" t="e">
        <f>INDEX('stock fisico '!D:D, MATCH(B306, 'stock fisico '!B:B, 0))</f>
        <v>#N/A</v>
      </c>
      <c r="AV306" s="177" t="e">
        <f>INDEX('stock fisico '!L:L, MATCH(B306, 'stock fisico '!B:B, 0))</f>
        <v>#N/A</v>
      </c>
    </row>
    <row r="307" spans="1:48" x14ac:dyDescent="0.25">
      <c r="A307" s="181" t="e">
        <f>INDEX('stock fisico '!M:M, MATCH(B307, 'stock fisico '!B:B, 0))</f>
        <v>#N/A</v>
      </c>
      <c r="C307" s="179" t="e">
        <f>INDEX('stock fisico '!C:C, MATCH(B307, 'stock fisico '!B:B, 0))</f>
        <v>#N/A</v>
      </c>
      <c r="D307" s="178" t="e">
        <f>INDEX('stock fisico '!I:I, MATCH(B307, 'stock fisico '!B:B, 0))</f>
        <v>#N/A</v>
      </c>
      <c r="E307" s="173" t="e">
        <f t="shared" si="208"/>
        <v>#VALUE!</v>
      </c>
      <c r="F307" t="e">
        <f t="shared" si="168"/>
        <v>#VALUE!</v>
      </c>
      <c r="G307" t="e">
        <f t="shared" si="169"/>
        <v>#VALUE!</v>
      </c>
      <c r="H307" t="e">
        <f t="shared" si="170"/>
        <v>#VALUE!</v>
      </c>
      <c r="I307" t="e">
        <f t="shared" si="171"/>
        <v>#VALUE!</v>
      </c>
      <c r="J307" t="e">
        <f t="shared" si="172"/>
        <v>#VALUE!</v>
      </c>
      <c r="K307" t="e">
        <f t="shared" si="173"/>
        <v>#VALUE!</v>
      </c>
      <c r="L307" s="175" t="e">
        <f t="shared" si="203"/>
        <v>#VALUE!</v>
      </c>
      <c r="M307" t="e">
        <f t="shared" si="174"/>
        <v>#VALUE!</v>
      </c>
      <c r="N307" t="e">
        <f t="shared" si="175"/>
        <v>#VALUE!</v>
      </c>
      <c r="O307" t="e">
        <f t="shared" si="176"/>
        <v>#VALUE!</v>
      </c>
      <c r="P307" t="e">
        <f t="shared" si="177"/>
        <v>#VALUE!</v>
      </c>
      <c r="Q307" t="e">
        <f t="shared" si="178"/>
        <v>#VALUE!</v>
      </c>
      <c r="R307" t="e">
        <f t="shared" si="179"/>
        <v>#VALUE!</v>
      </c>
      <c r="S307" t="e">
        <f t="shared" si="180"/>
        <v>#VALUE!</v>
      </c>
      <c r="T307" s="174" t="e">
        <f t="shared" si="204"/>
        <v>#VALUE!</v>
      </c>
      <c r="U307" t="e">
        <f t="shared" si="181"/>
        <v>#VALUE!</v>
      </c>
      <c r="V307" t="e">
        <f t="shared" si="182"/>
        <v>#VALUE!</v>
      </c>
      <c r="W307" t="e">
        <f t="shared" si="183"/>
        <v>#VALUE!</v>
      </c>
      <c r="X307" t="e">
        <f t="shared" si="184"/>
        <v>#VALUE!</v>
      </c>
      <c r="Y307" t="e">
        <f t="shared" si="185"/>
        <v>#VALUE!</v>
      </c>
      <c r="Z307" t="e">
        <f t="shared" si="186"/>
        <v>#VALUE!</v>
      </c>
      <c r="AA307" t="e">
        <f t="shared" si="187"/>
        <v>#VALUE!</v>
      </c>
      <c r="AB307" s="23" t="e">
        <f t="shared" si="205"/>
        <v>#VALUE!</v>
      </c>
      <c r="AC307" t="e">
        <f t="shared" si="188"/>
        <v>#VALUE!</v>
      </c>
      <c r="AD307" t="e">
        <f t="shared" si="189"/>
        <v>#VALUE!</v>
      </c>
      <c r="AE307" t="e">
        <f t="shared" si="190"/>
        <v>#VALUE!</v>
      </c>
      <c r="AF307" t="e">
        <f t="shared" si="191"/>
        <v>#VALUE!</v>
      </c>
      <c r="AG307" t="e">
        <f t="shared" si="192"/>
        <v>#VALUE!</v>
      </c>
      <c r="AH307" t="e">
        <f t="shared" si="193"/>
        <v>#VALUE!</v>
      </c>
      <c r="AI307" t="e">
        <f t="shared" si="194"/>
        <v>#VALUE!</v>
      </c>
      <c r="AJ307" s="19" t="e">
        <f t="shared" si="206"/>
        <v>#VALUE!</v>
      </c>
      <c r="AK307" t="e">
        <f t="shared" si="195"/>
        <v>#VALUE!</v>
      </c>
      <c r="AL307" t="e">
        <f t="shared" si="196"/>
        <v>#VALUE!</v>
      </c>
      <c r="AM307" t="e">
        <f t="shared" si="197"/>
        <v>#VALUE!</v>
      </c>
      <c r="AN307" t="e">
        <f t="shared" si="198"/>
        <v>#VALUE!</v>
      </c>
      <c r="AO307" t="e">
        <f t="shared" si="199"/>
        <v>#VALUE!</v>
      </c>
      <c r="AP307" t="e">
        <f t="shared" si="200"/>
        <v>#VALUE!</v>
      </c>
      <c r="AQ307" t="e">
        <f t="shared" si="201"/>
        <v>#VALUE!</v>
      </c>
      <c r="AR307" s="123" t="e">
        <f t="shared" si="207"/>
        <v>#VALUE!</v>
      </c>
      <c r="AS307" t="e">
        <f t="shared" si="202"/>
        <v>#VALUE!</v>
      </c>
      <c r="AT307" s="181" t="e">
        <f>INDEX('stock fisico '!N:N, MATCH(B307, 'stock fisico '!B:B, 0))</f>
        <v>#N/A</v>
      </c>
      <c r="AU307" s="179" t="e">
        <f>INDEX('stock fisico '!D:D, MATCH(B307, 'stock fisico '!B:B, 0))</f>
        <v>#N/A</v>
      </c>
      <c r="AV307" s="177" t="e">
        <f>INDEX('stock fisico '!L:L, MATCH(B307, 'stock fisico '!B:B, 0))</f>
        <v>#N/A</v>
      </c>
    </row>
    <row r="308" spans="1:48" x14ac:dyDescent="0.25">
      <c r="A308" s="181" t="e">
        <f>INDEX('stock fisico '!M:M, MATCH(B308, 'stock fisico '!B:B, 0))</f>
        <v>#N/A</v>
      </c>
      <c r="C308" s="179" t="e">
        <f>INDEX('stock fisico '!C:C, MATCH(B308, 'stock fisico '!B:B, 0))</f>
        <v>#N/A</v>
      </c>
      <c r="D308" s="178" t="e">
        <f>INDEX('stock fisico '!I:I, MATCH(B308, 'stock fisico '!B:B, 0))</f>
        <v>#N/A</v>
      </c>
      <c r="E308" s="173" t="e">
        <f t="shared" si="208"/>
        <v>#VALUE!</v>
      </c>
      <c r="F308" t="e">
        <f t="shared" si="168"/>
        <v>#VALUE!</v>
      </c>
      <c r="G308" t="e">
        <f t="shared" si="169"/>
        <v>#VALUE!</v>
      </c>
      <c r="H308" t="e">
        <f t="shared" si="170"/>
        <v>#VALUE!</v>
      </c>
      <c r="I308" t="e">
        <f t="shared" si="171"/>
        <v>#VALUE!</v>
      </c>
      <c r="J308" t="e">
        <f t="shared" si="172"/>
        <v>#VALUE!</v>
      </c>
      <c r="K308" t="e">
        <f t="shared" si="173"/>
        <v>#VALUE!</v>
      </c>
      <c r="L308" s="175" t="e">
        <f t="shared" si="203"/>
        <v>#VALUE!</v>
      </c>
      <c r="M308" t="e">
        <f t="shared" si="174"/>
        <v>#VALUE!</v>
      </c>
      <c r="N308" t="e">
        <f t="shared" si="175"/>
        <v>#VALUE!</v>
      </c>
      <c r="O308" t="e">
        <f t="shared" si="176"/>
        <v>#VALUE!</v>
      </c>
      <c r="P308" t="e">
        <f t="shared" si="177"/>
        <v>#VALUE!</v>
      </c>
      <c r="Q308" t="e">
        <f t="shared" si="178"/>
        <v>#VALUE!</v>
      </c>
      <c r="R308" t="e">
        <f t="shared" si="179"/>
        <v>#VALUE!</v>
      </c>
      <c r="S308" t="e">
        <f t="shared" si="180"/>
        <v>#VALUE!</v>
      </c>
      <c r="T308" s="174" t="e">
        <f t="shared" si="204"/>
        <v>#VALUE!</v>
      </c>
      <c r="U308" t="e">
        <f t="shared" si="181"/>
        <v>#VALUE!</v>
      </c>
      <c r="V308" t="e">
        <f t="shared" si="182"/>
        <v>#VALUE!</v>
      </c>
      <c r="W308" t="e">
        <f t="shared" si="183"/>
        <v>#VALUE!</v>
      </c>
      <c r="X308" t="e">
        <f t="shared" si="184"/>
        <v>#VALUE!</v>
      </c>
      <c r="Y308" t="e">
        <f t="shared" si="185"/>
        <v>#VALUE!</v>
      </c>
      <c r="Z308" t="e">
        <f t="shared" si="186"/>
        <v>#VALUE!</v>
      </c>
      <c r="AA308" t="e">
        <f t="shared" si="187"/>
        <v>#VALUE!</v>
      </c>
      <c r="AB308" s="23" t="e">
        <f t="shared" si="205"/>
        <v>#VALUE!</v>
      </c>
      <c r="AC308" t="e">
        <f t="shared" si="188"/>
        <v>#VALUE!</v>
      </c>
      <c r="AD308" t="e">
        <f t="shared" si="189"/>
        <v>#VALUE!</v>
      </c>
      <c r="AE308" t="e">
        <f t="shared" si="190"/>
        <v>#VALUE!</v>
      </c>
      <c r="AF308" t="e">
        <f t="shared" si="191"/>
        <v>#VALUE!</v>
      </c>
      <c r="AG308" t="e">
        <f t="shared" si="192"/>
        <v>#VALUE!</v>
      </c>
      <c r="AH308" t="e">
        <f t="shared" si="193"/>
        <v>#VALUE!</v>
      </c>
      <c r="AI308" t="e">
        <f t="shared" si="194"/>
        <v>#VALUE!</v>
      </c>
      <c r="AJ308" s="19" t="e">
        <f t="shared" si="206"/>
        <v>#VALUE!</v>
      </c>
      <c r="AK308" t="e">
        <f t="shared" si="195"/>
        <v>#VALUE!</v>
      </c>
      <c r="AL308" t="e">
        <f t="shared" si="196"/>
        <v>#VALUE!</v>
      </c>
      <c r="AM308" t="e">
        <f t="shared" si="197"/>
        <v>#VALUE!</v>
      </c>
      <c r="AN308" t="e">
        <f t="shared" si="198"/>
        <v>#VALUE!</v>
      </c>
      <c r="AO308" t="e">
        <f t="shared" si="199"/>
        <v>#VALUE!</v>
      </c>
      <c r="AP308" t="e">
        <f t="shared" si="200"/>
        <v>#VALUE!</v>
      </c>
      <c r="AQ308" t="e">
        <f t="shared" si="201"/>
        <v>#VALUE!</v>
      </c>
      <c r="AR308" s="123" t="e">
        <f t="shared" si="207"/>
        <v>#VALUE!</v>
      </c>
      <c r="AS308" t="e">
        <f t="shared" si="202"/>
        <v>#VALUE!</v>
      </c>
      <c r="AT308" s="181" t="e">
        <f>INDEX('stock fisico '!N:N, MATCH(B308, 'stock fisico '!B:B, 0))</f>
        <v>#N/A</v>
      </c>
      <c r="AU308" s="179" t="e">
        <f>INDEX('stock fisico '!D:D, MATCH(B308, 'stock fisico '!B:B, 0))</f>
        <v>#N/A</v>
      </c>
      <c r="AV308" s="177" t="e">
        <f>INDEX('stock fisico '!L:L, MATCH(B308, 'stock fisico '!B:B, 0))</f>
        <v>#N/A</v>
      </c>
    </row>
    <row r="309" spans="1:48" x14ac:dyDescent="0.25">
      <c r="A309" s="181" t="e">
        <f>INDEX('stock fisico '!M:M, MATCH(B309, 'stock fisico '!B:B, 0))</f>
        <v>#N/A</v>
      </c>
      <c r="C309" s="179" t="e">
        <f>INDEX('stock fisico '!C:C, MATCH(B309, 'stock fisico '!B:B, 0))</f>
        <v>#N/A</v>
      </c>
      <c r="D309" s="178" t="e">
        <f>INDEX('stock fisico '!I:I, MATCH(B309, 'stock fisico '!B:B, 0))</f>
        <v>#N/A</v>
      </c>
      <c r="E309" s="173" t="e">
        <f t="shared" si="208"/>
        <v>#VALUE!</v>
      </c>
      <c r="F309" t="e">
        <f t="shared" si="168"/>
        <v>#VALUE!</v>
      </c>
      <c r="G309" t="e">
        <f t="shared" si="169"/>
        <v>#VALUE!</v>
      </c>
      <c r="H309" t="e">
        <f t="shared" si="170"/>
        <v>#VALUE!</v>
      </c>
      <c r="I309" t="e">
        <f t="shared" si="171"/>
        <v>#VALUE!</v>
      </c>
      <c r="J309" t="e">
        <f t="shared" si="172"/>
        <v>#VALUE!</v>
      </c>
      <c r="K309" t="e">
        <f t="shared" si="173"/>
        <v>#VALUE!</v>
      </c>
      <c r="L309" s="175" t="e">
        <f t="shared" si="203"/>
        <v>#VALUE!</v>
      </c>
      <c r="M309" t="e">
        <f t="shared" si="174"/>
        <v>#VALUE!</v>
      </c>
      <c r="N309" t="e">
        <f t="shared" si="175"/>
        <v>#VALUE!</v>
      </c>
      <c r="O309" t="e">
        <f t="shared" si="176"/>
        <v>#VALUE!</v>
      </c>
      <c r="P309" t="e">
        <f t="shared" si="177"/>
        <v>#VALUE!</v>
      </c>
      <c r="Q309" t="e">
        <f t="shared" si="178"/>
        <v>#VALUE!</v>
      </c>
      <c r="R309" t="e">
        <f t="shared" si="179"/>
        <v>#VALUE!</v>
      </c>
      <c r="S309" t="e">
        <f t="shared" si="180"/>
        <v>#VALUE!</v>
      </c>
      <c r="T309" s="174" t="e">
        <f t="shared" si="204"/>
        <v>#VALUE!</v>
      </c>
      <c r="U309" t="e">
        <f t="shared" si="181"/>
        <v>#VALUE!</v>
      </c>
      <c r="V309" t="e">
        <f t="shared" si="182"/>
        <v>#VALUE!</v>
      </c>
      <c r="W309" t="e">
        <f t="shared" si="183"/>
        <v>#VALUE!</v>
      </c>
      <c r="X309" t="e">
        <f t="shared" si="184"/>
        <v>#VALUE!</v>
      </c>
      <c r="Y309" t="e">
        <f t="shared" si="185"/>
        <v>#VALUE!</v>
      </c>
      <c r="Z309" t="e">
        <f t="shared" si="186"/>
        <v>#VALUE!</v>
      </c>
      <c r="AA309" t="e">
        <f t="shared" si="187"/>
        <v>#VALUE!</v>
      </c>
      <c r="AB309" s="23" t="e">
        <f t="shared" si="205"/>
        <v>#VALUE!</v>
      </c>
      <c r="AC309" t="e">
        <f t="shared" si="188"/>
        <v>#VALUE!</v>
      </c>
      <c r="AD309" t="e">
        <f t="shared" si="189"/>
        <v>#VALUE!</v>
      </c>
      <c r="AE309" t="e">
        <f t="shared" si="190"/>
        <v>#VALUE!</v>
      </c>
      <c r="AF309" t="e">
        <f t="shared" si="191"/>
        <v>#VALUE!</v>
      </c>
      <c r="AG309" t="e">
        <f t="shared" si="192"/>
        <v>#VALUE!</v>
      </c>
      <c r="AH309" t="e">
        <f t="shared" si="193"/>
        <v>#VALUE!</v>
      </c>
      <c r="AI309" t="e">
        <f t="shared" si="194"/>
        <v>#VALUE!</v>
      </c>
      <c r="AJ309" s="19" t="e">
        <f t="shared" si="206"/>
        <v>#VALUE!</v>
      </c>
      <c r="AK309" t="e">
        <f t="shared" si="195"/>
        <v>#VALUE!</v>
      </c>
      <c r="AL309" t="e">
        <f t="shared" si="196"/>
        <v>#VALUE!</v>
      </c>
      <c r="AM309" t="e">
        <f t="shared" si="197"/>
        <v>#VALUE!</v>
      </c>
      <c r="AN309" t="e">
        <f t="shared" si="198"/>
        <v>#VALUE!</v>
      </c>
      <c r="AO309" t="e">
        <f t="shared" si="199"/>
        <v>#VALUE!</v>
      </c>
      <c r="AP309" t="e">
        <f t="shared" si="200"/>
        <v>#VALUE!</v>
      </c>
      <c r="AQ309" t="e">
        <f t="shared" si="201"/>
        <v>#VALUE!</v>
      </c>
      <c r="AR309" s="123" t="e">
        <f t="shared" si="207"/>
        <v>#VALUE!</v>
      </c>
      <c r="AS309" t="e">
        <f t="shared" si="202"/>
        <v>#VALUE!</v>
      </c>
      <c r="AT309" s="181" t="e">
        <f>INDEX('stock fisico '!N:N, MATCH(B309, 'stock fisico '!B:B, 0))</f>
        <v>#N/A</v>
      </c>
      <c r="AU309" s="179" t="e">
        <f>INDEX('stock fisico '!D:D, MATCH(B309, 'stock fisico '!B:B, 0))</f>
        <v>#N/A</v>
      </c>
      <c r="AV309" s="177" t="e">
        <f>INDEX('stock fisico '!L:L, MATCH(B309, 'stock fisico '!B:B, 0))</f>
        <v>#N/A</v>
      </c>
    </row>
    <row r="310" spans="1:48" x14ac:dyDescent="0.25">
      <c r="A310" s="181" t="e">
        <f>INDEX('stock fisico '!M:M, MATCH(B310, 'stock fisico '!B:B, 0))</f>
        <v>#N/A</v>
      </c>
      <c r="C310" s="179" t="e">
        <f>INDEX('stock fisico '!C:C, MATCH(B310, 'stock fisico '!B:B, 0))</f>
        <v>#N/A</v>
      </c>
      <c r="D310" s="178" t="e">
        <f>INDEX('stock fisico '!I:I, MATCH(B310, 'stock fisico '!B:B, 0))</f>
        <v>#N/A</v>
      </c>
      <c r="E310" s="173" t="e">
        <f t="shared" si="208"/>
        <v>#VALUE!</v>
      </c>
      <c r="F310" t="e">
        <f t="shared" si="168"/>
        <v>#VALUE!</v>
      </c>
      <c r="G310" t="e">
        <f t="shared" si="169"/>
        <v>#VALUE!</v>
      </c>
      <c r="H310" t="e">
        <f t="shared" si="170"/>
        <v>#VALUE!</v>
      </c>
      <c r="I310" t="e">
        <f t="shared" si="171"/>
        <v>#VALUE!</v>
      </c>
      <c r="J310" t="e">
        <f t="shared" si="172"/>
        <v>#VALUE!</v>
      </c>
      <c r="K310" t="e">
        <f t="shared" si="173"/>
        <v>#VALUE!</v>
      </c>
      <c r="L310" s="175" t="e">
        <f t="shared" si="203"/>
        <v>#VALUE!</v>
      </c>
      <c r="M310" t="e">
        <f t="shared" si="174"/>
        <v>#VALUE!</v>
      </c>
      <c r="N310" t="e">
        <f t="shared" si="175"/>
        <v>#VALUE!</v>
      </c>
      <c r="O310" t="e">
        <f t="shared" si="176"/>
        <v>#VALUE!</v>
      </c>
      <c r="P310" t="e">
        <f t="shared" si="177"/>
        <v>#VALUE!</v>
      </c>
      <c r="Q310" t="e">
        <f t="shared" si="178"/>
        <v>#VALUE!</v>
      </c>
      <c r="R310" t="e">
        <f t="shared" si="179"/>
        <v>#VALUE!</v>
      </c>
      <c r="S310" t="e">
        <f t="shared" si="180"/>
        <v>#VALUE!</v>
      </c>
      <c r="T310" s="174" t="e">
        <f t="shared" si="204"/>
        <v>#VALUE!</v>
      </c>
      <c r="U310" t="e">
        <f t="shared" si="181"/>
        <v>#VALUE!</v>
      </c>
      <c r="V310" t="e">
        <f t="shared" si="182"/>
        <v>#VALUE!</v>
      </c>
      <c r="W310" t="e">
        <f t="shared" si="183"/>
        <v>#VALUE!</v>
      </c>
      <c r="X310" t="e">
        <f t="shared" si="184"/>
        <v>#VALUE!</v>
      </c>
      <c r="Y310" t="e">
        <f t="shared" si="185"/>
        <v>#VALUE!</v>
      </c>
      <c r="Z310" t="e">
        <f t="shared" si="186"/>
        <v>#VALUE!</v>
      </c>
      <c r="AA310" t="e">
        <f t="shared" si="187"/>
        <v>#VALUE!</v>
      </c>
      <c r="AB310" s="23" t="e">
        <f t="shared" si="205"/>
        <v>#VALUE!</v>
      </c>
      <c r="AC310" t="e">
        <f t="shared" si="188"/>
        <v>#VALUE!</v>
      </c>
      <c r="AD310" t="e">
        <f t="shared" si="189"/>
        <v>#VALUE!</v>
      </c>
      <c r="AE310" t="e">
        <f t="shared" si="190"/>
        <v>#VALUE!</v>
      </c>
      <c r="AF310" t="e">
        <f t="shared" si="191"/>
        <v>#VALUE!</v>
      </c>
      <c r="AG310" t="e">
        <f t="shared" si="192"/>
        <v>#VALUE!</v>
      </c>
      <c r="AH310" t="e">
        <f t="shared" si="193"/>
        <v>#VALUE!</v>
      </c>
      <c r="AI310" t="e">
        <f t="shared" si="194"/>
        <v>#VALUE!</v>
      </c>
      <c r="AJ310" s="19" t="e">
        <f t="shared" si="206"/>
        <v>#VALUE!</v>
      </c>
      <c r="AK310" t="e">
        <f t="shared" si="195"/>
        <v>#VALUE!</v>
      </c>
      <c r="AL310" t="e">
        <f t="shared" si="196"/>
        <v>#VALUE!</v>
      </c>
      <c r="AM310" t="e">
        <f t="shared" si="197"/>
        <v>#VALUE!</v>
      </c>
      <c r="AN310" t="e">
        <f t="shared" si="198"/>
        <v>#VALUE!</v>
      </c>
      <c r="AO310" t="e">
        <f t="shared" si="199"/>
        <v>#VALUE!</v>
      </c>
      <c r="AP310" t="e">
        <f t="shared" si="200"/>
        <v>#VALUE!</v>
      </c>
      <c r="AQ310" t="e">
        <f t="shared" si="201"/>
        <v>#VALUE!</v>
      </c>
      <c r="AR310" s="123" t="e">
        <f t="shared" si="207"/>
        <v>#VALUE!</v>
      </c>
      <c r="AS310" t="e">
        <f t="shared" si="202"/>
        <v>#VALUE!</v>
      </c>
      <c r="AT310" s="181" t="e">
        <f>INDEX('stock fisico '!N:N, MATCH(B310, 'stock fisico '!B:B, 0))</f>
        <v>#N/A</v>
      </c>
      <c r="AU310" s="179" t="e">
        <f>INDEX('stock fisico '!D:D, MATCH(B310, 'stock fisico '!B:B, 0))</f>
        <v>#N/A</v>
      </c>
      <c r="AV310" s="177" t="e">
        <f>INDEX('stock fisico '!L:L, MATCH(B310, 'stock fisico '!B:B, 0))</f>
        <v>#N/A</v>
      </c>
    </row>
    <row r="311" spans="1:48" x14ac:dyDescent="0.25">
      <c r="A311" s="181" t="e">
        <f>INDEX('stock fisico '!M:M, MATCH(B311, 'stock fisico '!B:B, 0))</f>
        <v>#N/A</v>
      </c>
      <c r="C311" s="179" t="e">
        <f>INDEX('stock fisico '!C:C, MATCH(B311, 'stock fisico '!B:B, 0))</f>
        <v>#N/A</v>
      </c>
      <c r="D311" s="178" t="e">
        <f>INDEX('stock fisico '!I:I, MATCH(B311, 'stock fisico '!B:B, 0))</f>
        <v>#N/A</v>
      </c>
      <c r="E311" s="173" t="e">
        <f t="shared" si="208"/>
        <v>#VALUE!</v>
      </c>
      <c r="F311" t="e">
        <f t="shared" si="168"/>
        <v>#VALUE!</v>
      </c>
      <c r="G311" t="e">
        <f t="shared" si="169"/>
        <v>#VALUE!</v>
      </c>
      <c r="H311" t="e">
        <f t="shared" si="170"/>
        <v>#VALUE!</v>
      </c>
      <c r="I311" t="e">
        <f t="shared" si="171"/>
        <v>#VALUE!</v>
      </c>
      <c r="J311" t="e">
        <f t="shared" si="172"/>
        <v>#VALUE!</v>
      </c>
      <c r="K311" t="e">
        <f t="shared" si="173"/>
        <v>#VALUE!</v>
      </c>
      <c r="L311" s="175" t="e">
        <f t="shared" si="203"/>
        <v>#VALUE!</v>
      </c>
      <c r="M311" t="e">
        <f t="shared" si="174"/>
        <v>#VALUE!</v>
      </c>
      <c r="N311" t="e">
        <f t="shared" si="175"/>
        <v>#VALUE!</v>
      </c>
      <c r="O311" t="e">
        <f t="shared" si="176"/>
        <v>#VALUE!</v>
      </c>
      <c r="P311" t="e">
        <f t="shared" si="177"/>
        <v>#VALUE!</v>
      </c>
      <c r="Q311" t="e">
        <f t="shared" si="178"/>
        <v>#VALUE!</v>
      </c>
      <c r="R311" t="e">
        <f t="shared" si="179"/>
        <v>#VALUE!</v>
      </c>
      <c r="S311" t="e">
        <f t="shared" si="180"/>
        <v>#VALUE!</v>
      </c>
      <c r="T311" s="174" t="e">
        <f t="shared" si="204"/>
        <v>#VALUE!</v>
      </c>
      <c r="U311" t="e">
        <f t="shared" si="181"/>
        <v>#VALUE!</v>
      </c>
      <c r="V311" t="e">
        <f t="shared" si="182"/>
        <v>#VALUE!</v>
      </c>
      <c r="W311" t="e">
        <f t="shared" si="183"/>
        <v>#VALUE!</v>
      </c>
      <c r="X311" t="e">
        <f t="shared" si="184"/>
        <v>#VALUE!</v>
      </c>
      <c r="Y311" t="e">
        <f t="shared" si="185"/>
        <v>#VALUE!</v>
      </c>
      <c r="Z311" t="e">
        <f t="shared" si="186"/>
        <v>#VALUE!</v>
      </c>
      <c r="AA311" t="e">
        <f t="shared" si="187"/>
        <v>#VALUE!</v>
      </c>
      <c r="AB311" s="23" t="e">
        <f t="shared" si="205"/>
        <v>#VALUE!</v>
      </c>
      <c r="AC311" t="e">
        <f t="shared" si="188"/>
        <v>#VALUE!</v>
      </c>
      <c r="AD311" t="e">
        <f t="shared" si="189"/>
        <v>#VALUE!</v>
      </c>
      <c r="AE311" t="e">
        <f t="shared" si="190"/>
        <v>#VALUE!</v>
      </c>
      <c r="AF311" t="e">
        <f t="shared" si="191"/>
        <v>#VALUE!</v>
      </c>
      <c r="AG311" t="e">
        <f t="shared" si="192"/>
        <v>#VALUE!</v>
      </c>
      <c r="AH311" t="e">
        <f t="shared" si="193"/>
        <v>#VALUE!</v>
      </c>
      <c r="AI311" t="e">
        <f t="shared" si="194"/>
        <v>#VALUE!</v>
      </c>
      <c r="AJ311" s="19" t="e">
        <f t="shared" si="206"/>
        <v>#VALUE!</v>
      </c>
      <c r="AK311" t="e">
        <f t="shared" si="195"/>
        <v>#VALUE!</v>
      </c>
      <c r="AL311" t="e">
        <f t="shared" si="196"/>
        <v>#VALUE!</v>
      </c>
      <c r="AM311" t="e">
        <f t="shared" si="197"/>
        <v>#VALUE!</v>
      </c>
      <c r="AN311" t="e">
        <f t="shared" si="198"/>
        <v>#VALUE!</v>
      </c>
      <c r="AO311" t="e">
        <f t="shared" si="199"/>
        <v>#VALUE!</v>
      </c>
      <c r="AP311" t="e">
        <f t="shared" si="200"/>
        <v>#VALUE!</v>
      </c>
      <c r="AQ311" t="e">
        <f t="shared" si="201"/>
        <v>#VALUE!</v>
      </c>
      <c r="AR311" s="123" t="e">
        <f t="shared" si="207"/>
        <v>#VALUE!</v>
      </c>
      <c r="AS311" t="e">
        <f t="shared" si="202"/>
        <v>#VALUE!</v>
      </c>
      <c r="AT311" s="181" t="e">
        <f>INDEX('stock fisico '!N:N, MATCH(B311, 'stock fisico '!B:B, 0))</f>
        <v>#N/A</v>
      </c>
      <c r="AU311" s="179" t="e">
        <f>INDEX('stock fisico '!D:D, MATCH(B311, 'stock fisico '!B:B, 0))</f>
        <v>#N/A</v>
      </c>
      <c r="AV311" s="177" t="e">
        <f>INDEX('stock fisico '!L:L, MATCH(B311, 'stock fisico '!B:B, 0))</f>
        <v>#N/A</v>
      </c>
    </row>
    <row r="312" spans="1:48" x14ac:dyDescent="0.25">
      <c r="A312" s="181" t="e">
        <f>INDEX('stock fisico '!M:M, MATCH(B312, 'stock fisico '!B:B, 0))</f>
        <v>#N/A</v>
      </c>
      <c r="C312" s="179" t="e">
        <f>INDEX('stock fisico '!C:C, MATCH(B312, 'stock fisico '!B:B, 0))</f>
        <v>#N/A</v>
      </c>
      <c r="D312" s="178" t="e">
        <f>INDEX('stock fisico '!I:I, MATCH(B312, 'stock fisico '!B:B, 0))</f>
        <v>#N/A</v>
      </c>
      <c r="E312" s="173" t="e">
        <f t="shared" si="208"/>
        <v>#VALUE!</v>
      </c>
      <c r="F312" t="e">
        <f t="shared" si="168"/>
        <v>#VALUE!</v>
      </c>
      <c r="G312" t="e">
        <f t="shared" si="169"/>
        <v>#VALUE!</v>
      </c>
      <c r="H312" t="e">
        <f t="shared" si="170"/>
        <v>#VALUE!</v>
      </c>
      <c r="I312" t="e">
        <f t="shared" si="171"/>
        <v>#VALUE!</v>
      </c>
      <c r="J312" t="e">
        <f t="shared" si="172"/>
        <v>#VALUE!</v>
      </c>
      <c r="K312" t="e">
        <f t="shared" si="173"/>
        <v>#VALUE!</v>
      </c>
      <c r="L312" s="175" t="e">
        <f t="shared" si="203"/>
        <v>#VALUE!</v>
      </c>
      <c r="M312" t="e">
        <f t="shared" si="174"/>
        <v>#VALUE!</v>
      </c>
      <c r="N312" t="e">
        <f t="shared" si="175"/>
        <v>#VALUE!</v>
      </c>
      <c r="O312" t="e">
        <f t="shared" si="176"/>
        <v>#VALUE!</v>
      </c>
      <c r="P312" t="e">
        <f t="shared" si="177"/>
        <v>#VALUE!</v>
      </c>
      <c r="Q312" t="e">
        <f t="shared" si="178"/>
        <v>#VALUE!</v>
      </c>
      <c r="R312" t="e">
        <f t="shared" si="179"/>
        <v>#VALUE!</v>
      </c>
      <c r="S312" t="e">
        <f t="shared" si="180"/>
        <v>#VALUE!</v>
      </c>
      <c r="T312" s="174" t="e">
        <f t="shared" si="204"/>
        <v>#VALUE!</v>
      </c>
      <c r="U312" t="e">
        <f t="shared" si="181"/>
        <v>#VALUE!</v>
      </c>
      <c r="V312" t="e">
        <f t="shared" si="182"/>
        <v>#VALUE!</v>
      </c>
      <c r="W312" t="e">
        <f t="shared" si="183"/>
        <v>#VALUE!</v>
      </c>
      <c r="X312" t="e">
        <f t="shared" si="184"/>
        <v>#VALUE!</v>
      </c>
      <c r="Y312" t="e">
        <f t="shared" si="185"/>
        <v>#VALUE!</v>
      </c>
      <c r="Z312" t="e">
        <f t="shared" si="186"/>
        <v>#VALUE!</v>
      </c>
      <c r="AA312" t="e">
        <f t="shared" si="187"/>
        <v>#VALUE!</v>
      </c>
      <c r="AB312" s="23" t="e">
        <f t="shared" si="205"/>
        <v>#VALUE!</v>
      </c>
      <c r="AC312" t="e">
        <f t="shared" si="188"/>
        <v>#VALUE!</v>
      </c>
      <c r="AD312" t="e">
        <f t="shared" si="189"/>
        <v>#VALUE!</v>
      </c>
      <c r="AE312" t="e">
        <f t="shared" si="190"/>
        <v>#VALUE!</v>
      </c>
      <c r="AF312" t="e">
        <f t="shared" si="191"/>
        <v>#VALUE!</v>
      </c>
      <c r="AG312" t="e">
        <f t="shared" si="192"/>
        <v>#VALUE!</v>
      </c>
      <c r="AH312" t="e">
        <f t="shared" si="193"/>
        <v>#VALUE!</v>
      </c>
      <c r="AI312" t="e">
        <f t="shared" si="194"/>
        <v>#VALUE!</v>
      </c>
      <c r="AJ312" s="19" t="e">
        <f t="shared" si="206"/>
        <v>#VALUE!</v>
      </c>
      <c r="AK312" t="e">
        <f t="shared" si="195"/>
        <v>#VALUE!</v>
      </c>
      <c r="AL312" t="e">
        <f t="shared" si="196"/>
        <v>#VALUE!</v>
      </c>
      <c r="AM312" t="e">
        <f t="shared" si="197"/>
        <v>#VALUE!</v>
      </c>
      <c r="AN312" t="e">
        <f t="shared" si="198"/>
        <v>#VALUE!</v>
      </c>
      <c r="AO312" t="e">
        <f t="shared" si="199"/>
        <v>#VALUE!</v>
      </c>
      <c r="AP312" t="e">
        <f t="shared" si="200"/>
        <v>#VALUE!</v>
      </c>
      <c r="AQ312" t="e">
        <f t="shared" si="201"/>
        <v>#VALUE!</v>
      </c>
      <c r="AR312" s="123" t="e">
        <f t="shared" si="207"/>
        <v>#VALUE!</v>
      </c>
      <c r="AS312" t="e">
        <f t="shared" si="202"/>
        <v>#VALUE!</v>
      </c>
      <c r="AT312" s="181" t="e">
        <f>INDEX('stock fisico '!N:N, MATCH(B312, 'stock fisico '!B:B, 0))</f>
        <v>#N/A</v>
      </c>
      <c r="AU312" s="179" t="e">
        <f>INDEX('stock fisico '!D:D, MATCH(B312, 'stock fisico '!B:B, 0))</f>
        <v>#N/A</v>
      </c>
      <c r="AV312" s="177" t="e">
        <f>INDEX('stock fisico '!L:L, MATCH(B312, 'stock fisico '!B:B, 0))</f>
        <v>#N/A</v>
      </c>
    </row>
    <row r="313" spans="1:48" x14ac:dyDescent="0.25">
      <c r="A313" s="181" t="e">
        <f>INDEX('stock fisico '!M:M, MATCH(B313, 'stock fisico '!B:B, 0))</f>
        <v>#N/A</v>
      </c>
      <c r="C313" s="179" t="e">
        <f>INDEX('stock fisico '!C:C, MATCH(B313, 'stock fisico '!B:B, 0))</f>
        <v>#N/A</v>
      </c>
      <c r="D313" s="178" t="e">
        <f>INDEX('stock fisico '!I:I, MATCH(B313, 'stock fisico '!B:B, 0))</f>
        <v>#N/A</v>
      </c>
      <c r="E313" s="173" t="e">
        <f t="shared" si="208"/>
        <v>#VALUE!</v>
      </c>
      <c r="F313" t="e">
        <f t="shared" si="168"/>
        <v>#VALUE!</v>
      </c>
      <c r="G313" t="e">
        <f t="shared" si="169"/>
        <v>#VALUE!</v>
      </c>
      <c r="H313" t="e">
        <f t="shared" si="170"/>
        <v>#VALUE!</v>
      </c>
      <c r="I313" t="e">
        <f t="shared" si="171"/>
        <v>#VALUE!</v>
      </c>
      <c r="J313" t="e">
        <f t="shared" si="172"/>
        <v>#VALUE!</v>
      </c>
      <c r="K313" t="e">
        <f t="shared" si="173"/>
        <v>#VALUE!</v>
      </c>
      <c r="L313" s="175" t="e">
        <f t="shared" si="203"/>
        <v>#VALUE!</v>
      </c>
      <c r="M313" t="e">
        <f t="shared" si="174"/>
        <v>#VALUE!</v>
      </c>
      <c r="N313" t="e">
        <f t="shared" si="175"/>
        <v>#VALUE!</v>
      </c>
      <c r="O313" t="e">
        <f t="shared" si="176"/>
        <v>#VALUE!</v>
      </c>
      <c r="P313" t="e">
        <f t="shared" si="177"/>
        <v>#VALUE!</v>
      </c>
      <c r="Q313" t="e">
        <f t="shared" si="178"/>
        <v>#VALUE!</v>
      </c>
      <c r="R313" t="e">
        <f t="shared" si="179"/>
        <v>#VALUE!</v>
      </c>
      <c r="S313" t="e">
        <f t="shared" si="180"/>
        <v>#VALUE!</v>
      </c>
      <c r="T313" s="174" t="e">
        <f t="shared" si="204"/>
        <v>#VALUE!</v>
      </c>
      <c r="U313" t="e">
        <f t="shared" si="181"/>
        <v>#VALUE!</v>
      </c>
      <c r="V313" t="e">
        <f t="shared" si="182"/>
        <v>#VALUE!</v>
      </c>
      <c r="W313" t="e">
        <f t="shared" si="183"/>
        <v>#VALUE!</v>
      </c>
      <c r="X313" t="e">
        <f t="shared" si="184"/>
        <v>#VALUE!</v>
      </c>
      <c r="Y313" t="e">
        <f t="shared" si="185"/>
        <v>#VALUE!</v>
      </c>
      <c r="Z313" t="e">
        <f t="shared" si="186"/>
        <v>#VALUE!</v>
      </c>
      <c r="AA313" t="e">
        <f t="shared" si="187"/>
        <v>#VALUE!</v>
      </c>
      <c r="AB313" s="23" t="e">
        <f t="shared" si="205"/>
        <v>#VALUE!</v>
      </c>
      <c r="AC313" t="e">
        <f t="shared" si="188"/>
        <v>#VALUE!</v>
      </c>
      <c r="AD313" t="e">
        <f t="shared" si="189"/>
        <v>#VALUE!</v>
      </c>
      <c r="AE313" t="e">
        <f t="shared" si="190"/>
        <v>#VALUE!</v>
      </c>
      <c r="AF313" t="e">
        <f t="shared" si="191"/>
        <v>#VALUE!</v>
      </c>
      <c r="AG313" t="e">
        <f t="shared" si="192"/>
        <v>#VALUE!</v>
      </c>
      <c r="AH313" t="e">
        <f t="shared" si="193"/>
        <v>#VALUE!</v>
      </c>
      <c r="AI313" t="e">
        <f t="shared" si="194"/>
        <v>#VALUE!</v>
      </c>
      <c r="AJ313" s="19" t="e">
        <f t="shared" si="206"/>
        <v>#VALUE!</v>
      </c>
      <c r="AK313" t="e">
        <f t="shared" si="195"/>
        <v>#VALUE!</v>
      </c>
      <c r="AL313" t="e">
        <f t="shared" si="196"/>
        <v>#VALUE!</v>
      </c>
      <c r="AM313" t="e">
        <f t="shared" si="197"/>
        <v>#VALUE!</v>
      </c>
      <c r="AN313" t="e">
        <f t="shared" si="198"/>
        <v>#VALUE!</v>
      </c>
      <c r="AO313" t="e">
        <f t="shared" si="199"/>
        <v>#VALUE!</v>
      </c>
      <c r="AP313" t="e">
        <f t="shared" si="200"/>
        <v>#VALUE!</v>
      </c>
      <c r="AQ313" t="e">
        <f t="shared" si="201"/>
        <v>#VALUE!</v>
      </c>
      <c r="AR313" s="123" t="e">
        <f t="shared" si="207"/>
        <v>#VALUE!</v>
      </c>
      <c r="AS313" t="e">
        <f t="shared" si="202"/>
        <v>#VALUE!</v>
      </c>
      <c r="AT313" s="181" t="e">
        <f>INDEX('stock fisico '!N:N, MATCH(B313, 'stock fisico '!B:B, 0))</f>
        <v>#N/A</v>
      </c>
      <c r="AU313" s="179" t="e">
        <f>INDEX('stock fisico '!D:D, MATCH(B313, 'stock fisico '!B:B, 0))</f>
        <v>#N/A</v>
      </c>
      <c r="AV313" s="177" t="e">
        <f>INDEX('stock fisico '!L:L, MATCH(B313, 'stock fisico '!B:B, 0))</f>
        <v>#N/A</v>
      </c>
    </row>
    <row r="314" spans="1:48" x14ac:dyDescent="0.25">
      <c r="A314" s="181" t="e">
        <f>INDEX('stock fisico '!M:M, MATCH(B314, 'stock fisico '!B:B, 0))</f>
        <v>#N/A</v>
      </c>
      <c r="C314" s="179" t="e">
        <f>INDEX('stock fisico '!C:C, MATCH(B314, 'stock fisico '!B:B, 0))</f>
        <v>#N/A</v>
      </c>
      <c r="D314" s="178" t="e">
        <f>INDEX('stock fisico '!I:I, MATCH(B314, 'stock fisico '!B:B, 0))</f>
        <v>#N/A</v>
      </c>
      <c r="E314" s="173" t="e">
        <f t="shared" si="208"/>
        <v>#VALUE!</v>
      </c>
      <c r="F314" t="e">
        <f t="shared" si="168"/>
        <v>#VALUE!</v>
      </c>
      <c r="G314" t="e">
        <f t="shared" si="169"/>
        <v>#VALUE!</v>
      </c>
      <c r="H314" t="e">
        <f t="shared" si="170"/>
        <v>#VALUE!</v>
      </c>
      <c r="I314" t="e">
        <f t="shared" si="171"/>
        <v>#VALUE!</v>
      </c>
      <c r="J314" t="e">
        <f t="shared" si="172"/>
        <v>#VALUE!</v>
      </c>
      <c r="K314" t="e">
        <f t="shared" si="173"/>
        <v>#VALUE!</v>
      </c>
      <c r="L314" s="175" t="e">
        <f t="shared" si="203"/>
        <v>#VALUE!</v>
      </c>
      <c r="M314" t="e">
        <f t="shared" si="174"/>
        <v>#VALUE!</v>
      </c>
      <c r="N314" t="e">
        <f t="shared" si="175"/>
        <v>#VALUE!</v>
      </c>
      <c r="O314" t="e">
        <f t="shared" si="176"/>
        <v>#VALUE!</v>
      </c>
      <c r="P314" t="e">
        <f t="shared" si="177"/>
        <v>#VALUE!</v>
      </c>
      <c r="Q314" t="e">
        <f t="shared" si="178"/>
        <v>#VALUE!</v>
      </c>
      <c r="R314" t="e">
        <f t="shared" si="179"/>
        <v>#VALUE!</v>
      </c>
      <c r="S314" t="e">
        <f t="shared" si="180"/>
        <v>#VALUE!</v>
      </c>
      <c r="T314" s="174" t="e">
        <f t="shared" si="204"/>
        <v>#VALUE!</v>
      </c>
      <c r="U314" t="e">
        <f t="shared" si="181"/>
        <v>#VALUE!</v>
      </c>
      <c r="V314" t="e">
        <f t="shared" si="182"/>
        <v>#VALUE!</v>
      </c>
      <c r="W314" t="e">
        <f t="shared" si="183"/>
        <v>#VALUE!</v>
      </c>
      <c r="X314" t="e">
        <f t="shared" si="184"/>
        <v>#VALUE!</v>
      </c>
      <c r="Y314" t="e">
        <f t="shared" si="185"/>
        <v>#VALUE!</v>
      </c>
      <c r="Z314" t="e">
        <f t="shared" si="186"/>
        <v>#VALUE!</v>
      </c>
      <c r="AA314" t="e">
        <f t="shared" si="187"/>
        <v>#VALUE!</v>
      </c>
      <c r="AB314" s="23" t="e">
        <f t="shared" si="205"/>
        <v>#VALUE!</v>
      </c>
      <c r="AC314" t="e">
        <f t="shared" si="188"/>
        <v>#VALUE!</v>
      </c>
      <c r="AD314" t="e">
        <f t="shared" si="189"/>
        <v>#VALUE!</v>
      </c>
      <c r="AE314" t="e">
        <f t="shared" si="190"/>
        <v>#VALUE!</v>
      </c>
      <c r="AF314" t="e">
        <f t="shared" si="191"/>
        <v>#VALUE!</v>
      </c>
      <c r="AG314" t="e">
        <f t="shared" si="192"/>
        <v>#VALUE!</v>
      </c>
      <c r="AH314" t="e">
        <f t="shared" si="193"/>
        <v>#VALUE!</v>
      </c>
      <c r="AI314" t="e">
        <f t="shared" si="194"/>
        <v>#VALUE!</v>
      </c>
      <c r="AJ314" s="19" t="e">
        <f t="shared" si="206"/>
        <v>#VALUE!</v>
      </c>
      <c r="AK314" t="e">
        <f t="shared" si="195"/>
        <v>#VALUE!</v>
      </c>
      <c r="AL314" t="e">
        <f t="shared" si="196"/>
        <v>#VALUE!</v>
      </c>
      <c r="AM314" t="e">
        <f t="shared" si="197"/>
        <v>#VALUE!</v>
      </c>
      <c r="AN314" t="e">
        <f t="shared" si="198"/>
        <v>#VALUE!</v>
      </c>
      <c r="AO314" t="e">
        <f t="shared" si="199"/>
        <v>#VALUE!</v>
      </c>
      <c r="AP314" t="e">
        <f t="shared" si="200"/>
        <v>#VALUE!</v>
      </c>
      <c r="AQ314" t="e">
        <f t="shared" si="201"/>
        <v>#VALUE!</v>
      </c>
      <c r="AR314" s="123" t="e">
        <f t="shared" si="207"/>
        <v>#VALUE!</v>
      </c>
      <c r="AS314" t="e">
        <f t="shared" si="202"/>
        <v>#VALUE!</v>
      </c>
      <c r="AT314" s="181" t="e">
        <f>INDEX('stock fisico '!N:N, MATCH(B314, 'stock fisico '!B:B, 0))</f>
        <v>#N/A</v>
      </c>
      <c r="AU314" s="179" t="e">
        <f>INDEX('stock fisico '!D:D, MATCH(B314, 'stock fisico '!B:B, 0))</f>
        <v>#N/A</v>
      </c>
      <c r="AV314" s="177" t="e">
        <f>INDEX('stock fisico '!L:L, MATCH(B314, 'stock fisico '!B:B, 0))</f>
        <v>#N/A</v>
      </c>
    </row>
    <row r="315" spans="1:48" x14ac:dyDescent="0.25">
      <c r="A315" s="181" t="e">
        <f>INDEX('stock fisico '!M:M, MATCH(B315, 'stock fisico '!B:B, 0))</f>
        <v>#N/A</v>
      </c>
      <c r="C315" s="179" t="e">
        <f>INDEX('stock fisico '!C:C, MATCH(B315, 'stock fisico '!B:B, 0))</f>
        <v>#N/A</v>
      </c>
      <c r="D315" s="178" t="e">
        <f>INDEX('stock fisico '!I:I, MATCH(B315, 'stock fisico '!B:B, 0))</f>
        <v>#N/A</v>
      </c>
      <c r="E315" s="173" t="e">
        <f t="shared" si="208"/>
        <v>#VALUE!</v>
      </c>
      <c r="F315" t="e">
        <f t="shared" si="168"/>
        <v>#VALUE!</v>
      </c>
      <c r="G315" t="e">
        <f t="shared" si="169"/>
        <v>#VALUE!</v>
      </c>
      <c r="H315" t="e">
        <f t="shared" si="170"/>
        <v>#VALUE!</v>
      </c>
      <c r="I315" t="e">
        <f t="shared" si="171"/>
        <v>#VALUE!</v>
      </c>
      <c r="J315" t="e">
        <f t="shared" si="172"/>
        <v>#VALUE!</v>
      </c>
      <c r="K315" t="e">
        <f t="shared" si="173"/>
        <v>#VALUE!</v>
      </c>
      <c r="L315" s="175" t="e">
        <f t="shared" si="203"/>
        <v>#VALUE!</v>
      </c>
      <c r="M315" t="e">
        <f t="shared" si="174"/>
        <v>#VALUE!</v>
      </c>
      <c r="N315" t="e">
        <f t="shared" si="175"/>
        <v>#VALUE!</v>
      </c>
      <c r="O315" t="e">
        <f t="shared" si="176"/>
        <v>#VALUE!</v>
      </c>
      <c r="P315" t="e">
        <f t="shared" si="177"/>
        <v>#VALUE!</v>
      </c>
      <c r="Q315" t="e">
        <f t="shared" si="178"/>
        <v>#VALUE!</v>
      </c>
      <c r="R315" t="e">
        <f t="shared" si="179"/>
        <v>#VALUE!</v>
      </c>
      <c r="S315" t="e">
        <f t="shared" si="180"/>
        <v>#VALUE!</v>
      </c>
      <c r="T315" s="174" t="e">
        <f t="shared" si="204"/>
        <v>#VALUE!</v>
      </c>
      <c r="U315" t="e">
        <f t="shared" si="181"/>
        <v>#VALUE!</v>
      </c>
      <c r="V315" t="e">
        <f t="shared" si="182"/>
        <v>#VALUE!</v>
      </c>
      <c r="W315" t="e">
        <f t="shared" si="183"/>
        <v>#VALUE!</v>
      </c>
      <c r="X315" t="e">
        <f t="shared" si="184"/>
        <v>#VALUE!</v>
      </c>
      <c r="Y315" t="e">
        <f t="shared" si="185"/>
        <v>#VALUE!</v>
      </c>
      <c r="Z315" t="e">
        <f t="shared" si="186"/>
        <v>#VALUE!</v>
      </c>
      <c r="AA315" t="e">
        <f t="shared" si="187"/>
        <v>#VALUE!</v>
      </c>
      <c r="AB315" s="23" t="e">
        <f t="shared" si="205"/>
        <v>#VALUE!</v>
      </c>
      <c r="AC315" t="e">
        <f t="shared" si="188"/>
        <v>#VALUE!</v>
      </c>
      <c r="AD315" t="e">
        <f t="shared" si="189"/>
        <v>#VALUE!</v>
      </c>
      <c r="AE315" t="e">
        <f t="shared" si="190"/>
        <v>#VALUE!</v>
      </c>
      <c r="AF315" t="e">
        <f t="shared" si="191"/>
        <v>#VALUE!</v>
      </c>
      <c r="AG315" t="e">
        <f t="shared" si="192"/>
        <v>#VALUE!</v>
      </c>
      <c r="AH315" t="e">
        <f t="shared" si="193"/>
        <v>#VALUE!</v>
      </c>
      <c r="AI315" t="e">
        <f t="shared" si="194"/>
        <v>#VALUE!</v>
      </c>
      <c r="AJ315" s="19" t="e">
        <f t="shared" si="206"/>
        <v>#VALUE!</v>
      </c>
      <c r="AK315" t="e">
        <f t="shared" si="195"/>
        <v>#VALUE!</v>
      </c>
      <c r="AL315" t="e">
        <f t="shared" si="196"/>
        <v>#VALUE!</v>
      </c>
      <c r="AM315" t="e">
        <f t="shared" si="197"/>
        <v>#VALUE!</v>
      </c>
      <c r="AN315" t="e">
        <f t="shared" si="198"/>
        <v>#VALUE!</v>
      </c>
      <c r="AO315" t="e">
        <f t="shared" si="199"/>
        <v>#VALUE!</v>
      </c>
      <c r="AP315" t="e">
        <f t="shared" si="200"/>
        <v>#VALUE!</v>
      </c>
      <c r="AQ315" t="e">
        <f t="shared" si="201"/>
        <v>#VALUE!</v>
      </c>
      <c r="AR315" s="123" t="e">
        <f t="shared" si="207"/>
        <v>#VALUE!</v>
      </c>
      <c r="AS315" t="e">
        <f t="shared" si="202"/>
        <v>#VALUE!</v>
      </c>
      <c r="AT315" s="181" t="e">
        <f>INDEX('stock fisico '!N:N, MATCH(B315, 'stock fisico '!B:B, 0))</f>
        <v>#N/A</v>
      </c>
      <c r="AU315" s="179" t="e">
        <f>INDEX('stock fisico '!D:D, MATCH(B315, 'stock fisico '!B:B, 0))</f>
        <v>#N/A</v>
      </c>
      <c r="AV315" s="177" t="e">
        <f>INDEX('stock fisico '!L:L, MATCH(B315, 'stock fisico '!B:B, 0))</f>
        <v>#N/A</v>
      </c>
    </row>
    <row r="316" spans="1:48" x14ac:dyDescent="0.25">
      <c r="A316" s="181" t="e">
        <f>INDEX('stock fisico '!M:M, MATCH(B316, 'stock fisico '!B:B, 0))</f>
        <v>#N/A</v>
      </c>
      <c r="C316" s="179" t="e">
        <f>INDEX('stock fisico '!C:C, MATCH(B316, 'stock fisico '!B:B, 0))</f>
        <v>#N/A</v>
      </c>
      <c r="D316" s="178" t="e">
        <f>INDEX('stock fisico '!I:I, MATCH(B316, 'stock fisico '!B:B, 0))</f>
        <v>#N/A</v>
      </c>
      <c r="E316" s="173" t="e">
        <f t="shared" si="208"/>
        <v>#VALUE!</v>
      </c>
      <c r="F316" t="e">
        <f t="shared" si="168"/>
        <v>#VALUE!</v>
      </c>
      <c r="G316" t="e">
        <f t="shared" si="169"/>
        <v>#VALUE!</v>
      </c>
      <c r="H316" t="e">
        <f t="shared" si="170"/>
        <v>#VALUE!</v>
      </c>
      <c r="I316" t="e">
        <f t="shared" si="171"/>
        <v>#VALUE!</v>
      </c>
      <c r="J316" t="e">
        <f t="shared" si="172"/>
        <v>#VALUE!</v>
      </c>
      <c r="K316" t="e">
        <f t="shared" si="173"/>
        <v>#VALUE!</v>
      </c>
      <c r="L316" s="175" t="e">
        <f t="shared" si="203"/>
        <v>#VALUE!</v>
      </c>
      <c r="M316" t="e">
        <f t="shared" si="174"/>
        <v>#VALUE!</v>
      </c>
      <c r="N316" t="e">
        <f t="shared" si="175"/>
        <v>#VALUE!</v>
      </c>
      <c r="O316" t="e">
        <f t="shared" si="176"/>
        <v>#VALUE!</v>
      </c>
      <c r="P316" t="e">
        <f t="shared" si="177"/>
        <v>#VALUE!</v>
      </c>
      <c r="Q316" t="e">
        <f t="shared" si="178"/>
        <v>#VALUE!</v>
      </c>
      <c r="R316" t="e">
        <f t="shared" si="179"/>
        <v>#VALUE!</v>
      </c>
      <c r="S316" t="e">
        <f t="shared" si="180"/>
        <v>#VALUE!</v>
      </c>
      <c r="T316" s="174" t="e">
        <f t="shared" si="204"/>
        <v>#VALUE!</v>
      </c>
      <c r="U316" t="e">
        <f t="shared" si="181"/>
        <v>#VALUE!</v>
      </c>
      <c r="V316" t="e">
        <f t="shared" si="182"/>
        <v>#VALUE!</v>
      </c>
      <c r="W316" t="e">
        <f t="shared" si="183"/>
        <v>#VALUE!</v>
      </c>
      <c r="X316" t="e">
        <f t="shared" si="184"/>
        <v>#VALUE!</v>
      </c>
      <c r="Y316" t="e">
        <f t="shared" si="185"/>
        <v>#VALUE!</v>
      </c>
      <c r="Z316" t="e">
        <f t="shared" si="186"/>
        <v>#VALUE!</v>
      </c>
      <c r="AA316" t="e">
        <f t="shared" si="187"/>
        <v>#VALUE!</v>
      </c>
      <c r="AB316" s="23" t="e">
        <f t="shared" si="205"/>
        <v>#VALUE!</v>
      </c>
      <c r="AC316" t="e">
        <f t="shared" si="188"/>
        <v>#VALUE!</v>
      </c>
      <c r="AD316" t="e">
        <f t="shared" si="189"/>
        <v>#VALUE!</v>
      </c>
      <c r="AE316" t="e">
        <f t="shared" si="190"/>
        <v>#VALUE!</v>
      </c>
      <c r="AF316" t="e">
        <f t="shared" si="191"/>
        <v>#VALUE!</v>
      </c>
      <c r="AG316" t="e">
        <f t="shared" si="192"/>
        <v>#VALUE!</v>
      </c>
      <c r="AH316" t="e">
        <f t="shared" si="193"/>
        <v>#VALUE!</v>
      </c>
      <c r="AI316" t="e">
        <f t="shared" si="194"/>
        <v>#VALUE!</v>
      </c>
      <c r="AJ316" s="19" t="e">
        <f t="shared" si="206"/>
        <v>#VALUE!</v>
      </c>
      <c r="AK316" t="e">
        <f t="shared" si="195"/>
        <v>#VALUE!</v>
      </c>
      <c r="AL316" t="e">
        <f t="shared" si="196"/>
        <v>#VALUE!</v>
      </c>
      <c r="AM316" t="e">
        <f t="shared" si="197"/>
        <v>#VALUE!</v>
      </c>
      <c r="AN316" t="e">
        <f t="shared" si="198"/>
        <v>#VALUE!</v>
      </c>
      <c r="AO316" t="e">
        <f t="shared" si="199"/>
        <v>#VALUE!</v>
      </c>
      <c r="AP316" t="e">
        <f t="shared" si="200"/>
        <v>#VALUE!</v>
      </c>
      <c r="AQ316" t="e">
        <f t="shared" si="201"/>
        <v>#VALUE!</v>
      </c>
      <c r="AR316" s="123" t="e">
        <f t="shared" si="207"/>
        <v>#VALUE!</v>
      </c>
      <c r="AS316" t="e">
        <f t="shared" si="202"/>
        <v>#VALUE!</v>
      </c>
      <c r="AT316" s="181" t="e">
        <f>INDEX('stock fisico '!N:N, MATCH(B316, 'stock fisico '!B:B, 0))</f>
        <v>#N/A</v>
      </c>
      <c r="AU316" s="179" t="e">
        <f>INDEX('stock fisico '!D:D, MATCH(B316, 'stock fisico '!B:B, 0))</f>
        <v>#N/A</v>
      </c>
      <c r="AV316" s="177" t="e">
        <f>INDEX('stock fisico '!L:L, MATCH(B316, 'stock fisico '!B:B, 0))</f>
        <v>#N/A</v>
      </c>
    </row>
    <row r="317" spans="1:48" x14ac:dyDescent="0.25">
      <c r="A317" s="181" t="e">
        <f>INDEX('stock fisico '!M:M, MATCH(B317, 'stock fisico '!B:B, 0))</f>
        <v>#N/A</v>
      </c>
      <c r="C317" s="179" t="e">
        <f>INDEX('stock fisico '!C:C, MATCH(B317, 'stock fisico '!B:B, 0))</f>
        <v>#N/A</v>
      </c>
      <c r="D317" s="178" t="e">
        <f>INDEX('stock fisico '!I:I, MATCH(B317, 'stock fisico '!B:B, 0))</f>
        <v>#N/A</v>
      </c>
      <c r="E317" s="173" t="e">
        <f t="shared" si="208"/>
        <v>#VALUE!</v>
      </c>
      <c r="F317" t="e">
        <f t="shared" si="168"/>
        <v>#VALUE!</v>
      </c>
      <c r="G317" t="e">
        <f t="shared" si="169"/>
        <v>#VALUE!</v>
      </c>
      <c r="H317" t="e">
        <f t="shared" si="170"/>
        <v>#VALUE!</v>
      </c>
      <c r="I317" t="e">
        <f t="shared" si="171"/>
        <v>#VALUE!</v>
      </c>
      <c r="J317" t="e">
        <f t="shared" si="172"/>
        <v>#VALUE!</v>
      </c>
      <c r="K317" t="e">
        <f t="shared" si="173"/>
        <v>#VALUE!</v>
      </c>
      <c r="L317" s="175" t="e">
        <f t="shared" si="203"/>
        <v>#VALUE!</v>
      </c>
      <c r="M317" t="e">
        <f t="shared" si="174"/>
        <v>#VALUE!</v>
      </c>
      <c r="N317" t="e">
        <f t="shared" si="175"/>
        <v>#VALUE!</v>
      </c>
      <c r="O317" t="e">
        <f t="shared" si="176"/>
        <v>#VALUE!</v>
      </c>
      <c r="P317" t="e">
        <f t="shared" si="177"/>
        <v>#VALUE!</v>
      </c>
      <c r="Q317" t="e">
        <f t="shared" si="178"/>
        <v>#VALUE!</v>
      </c>
      <c r="R317" t="e">
        <f t="shared" si="179"/>
        <v>#VALUE!</v>
      </c>
      <c r="S317" t="e">
        <f t="shared" si="180"/>
        <v>#VALUE!</v>
      </c>
      <c r="T317" s="174" t="e">
        <f t="shared" si="204"/>
        <v>#VALUE!</v>
      </c>
      <c r="U317" t="e">
        <f t="shared" si="181"/>
        <v>#VALUE!</v>
      </c>
      <c r="V317" t="e">
        <f t="shared" si="182"/>
        <v>#VALUE!</v>
      </c>
      <c r="W317" t="e">
        <f t="shared" si="183"/>
        <v>#VALUE!</v>
      </c>
      <c r="X317" t="e">
        <f t="shared" si="184"/>
        <v>#VALUE!</v>
      </c>
      <c r="Y317" t="e">
        <f t="shared" si="185"/>
        <v>#VALUE!</v>
      </c>
      <c r="Z317" t="e">
        <f t="shared" si="186"/>
        <v>#VALUE!</v>
      </c>
      <c r="AA317" t="e">
        <f t="shared" si="187"/>
        <v>#VALUE!</v>
      </c>
      <c r="AB317" s="23" t="e">
        <f t="shared" si="205"/>
        <v>#VALUE!</v>
      </c>
      <c r="AC317" t="e">
        <f t="shared" si="188"/>
        <v>#VALUE!</v>
      </c>
      <c r="AD317" t="e">
        <f t="shared" si="189"/>
        <v>#VALUE!</v>
      </c>
      <c r="AE317" t="e">
        <f t="shared" si="190"/>
        <v>#VALUE!</v>
      </c>
      <c r="AF317" t="e">
        <f t="shared" si="191"/>
        <v>#VALUE!</v>
      </c>
      <c r="AG317" t="e">
        <f t="shared" si="192"/>
        <v>#VALUE!</v>
      </c>
      <c r="AH317" t="e">
        <f t="shared" si="193"/>
        <v>#VALUE!</v>
      </c>
      <c r="AI317" t="e">
        <f t="shared" si="194"/>
        <v>#VALUE!</v>
      </c>
      <c r="AJ317" s="19" t="e">
        <f t="shared" si="206"/>
        <v>#VALUE!</v>
      </c>
      <c r="AK317" t="e">
        <f t="shared" si="195"/>
        <v>#VALUE!</v>
      </c>
      <c r="AL317" t="e">
        <f t="shared" si="196"/>
        <v>#VALUE!</v>
      </c>
      <c r="AM317" t="e">
        <f t="shared" si="197"/>
        <v>#VALUE!</v>
      </c>
      <c r="AN317" t="e">
        <f t="shared" si="198"/>
        <v>#VALUE!</v>
      </c>
      <c r="AO317" t="e">
        <f t="shared" si="199"/>
        <v>#VALUE!</v>
      </c>
      <c r="AP317" t="e">
        <f t="shared" si="200"/>
        <v>#VALUE!</v>
      </c>
      <c r="AQ317" t="e">
        <f t="shared" si="201"/>
        <v>#VALUE!</v>
      </c>
      <c r="AR317" s="123" t="e">
        <f t="shared" si="207"/>
        <v>#VALUE!</v>
      </c>
      <c r="AS317" t="e">
        <f t="shared" si="202"/>
        <v>#VALUE!</v>
      </c>
      <c r="AT317" s="181" t="e">
        <f>INDEX('stock fisico '!N:N, MATCH(B317, 'stock fisico '!B:B, 0))</f>
        <v>#N/A</v>
      </c>
      <c r="AU317" s="179" t="e">
        <f>INDEX('stock fisico '!D:D, MATCH(B317, 'stock fisico '!B:B, 0))</f>
        <v>#N/A</v>
      </c>
      <c r="AV317" s="177" t="e">
        <f>INDEX('stock fisico '!L:L, MATCH(B317, 'stock fisico '!B:B, 0))</f>
        <v>#N/A</v>
      </c>
    </row>
    <row r="318" spans="1:48" x14ac:dyDescent="0.25">
      <c r="A318" s="181" t="e">
        <f>INDEX('stock fisico '!M:M, MATCH(B318, 'stock fisico '!B:B, 0))</f>
        <v>#N/A</v>
      </c>
      <c r="C318" s="179" t="e">
        <f>INDEX('stock fisico '!C:C, MATCH(B318, 'stock fisico '!B:B, 0))</f>
        <v>#N/A</v>
      </c>
      <c r="D318" s="178" t="e">
        <f>INDEX('stock fisico '!I:I, MATCH(B318, 'stock fisico '!B:B, 0))</f>
        <v>#N/A</v>
      </c>
      <c r="E318" s="173" t="e">
        <f t="shared" si="208"/>
        <v>#VALUE!</v>
      </c>
      <c r="F318" t="e">
        <f t="shared" si="168"/>
        <v>#VALUE!</v>
      </c>
      <c r="G318" t="e">
        <f t="shared" si="169"/>
        <v>#VALUE!</v>
      </c>
      <c r="H318" t="e">
        <f t="shared" si="170"/>
        <v>#VALUE!</v>
      </c>
      <c r="I318" t="e">
        <f t="shared" si="171"/>
        <v>#VALUE!</v>
      </c>
      <c r="J318" t="e">
        <f t="shared" si="172"/>
        <v>#VALUE!</v>
      </c>
      <c r="K318" t="e">
        <f t="shared" si="173"/>
        <v>#VALUE!</v>
      </c>
      <c r="L318" s="175" t="e">
        <f t="shared" si="203"/>
        <v>#VALUE!</v>
      </c>
      <c r="M318" t="e">
        <f t="shared" si="174"/>
        <v>#VALUE!</v>
      </c>
      <c r="N318" t="e">
        <f t="shared" si="175"/>
        <v>#VALUE!</v>
      </c>
      <c r="O318" t="e">
        <f t="shared" si="176"/>
        <v>#VALUE!</v>
      </c>
      <c r="P318" t="e">
        <f t="shared" si="177"/>
        <v>#VALUE!</v>
      </c>
      <c r="Q318" t="e">
        <f t="shared" si="178"/>
        <v>#VALUE!</v>
      </c>
      <c r="R318" t="e">
        <f t="shared" si="179"/>
        <v>#VALUE!</v>
      </c>
      <c r="S318" t="e">
        <f t="shared" si="180"/>
        <v>#VALUE!</v>
      </c>
      <c r="T318" s="174" t="e">
        <f t="shared" si="204"/>
        <v>#VALUE!</v>
      </c>
      <c r="U318" t="e">
        <f t="shared" si="181"/>
        <v>#VALUE!</v>
      </c>
      <c r="V318" t="e">
        <f t="shared" si="182"/>
        <v>#VALUE!</v>
      </c>
      <c r="W318" t="e">
        <f t="shared" si="183"/>
        <v>#VALUE!</v>
      </c>
      <c r="X318" t="e">
        <f t="shared" si="184"/>
        <v>#VALUE!</v>
      </c>
      <c r="Y318" t="e">
        <f t="shared" si="185"/>
        <v>#VALUE!</v>
      </c>
      <c r="Z318" t="e">
        <f t="shared" si="186"/>
        <v>#VALUE!</v>
      </c>
      <c r="AA318" t="e">
        <f t="shared" si="187"/>
        <v>#VALUE!</v>
      </c>
      <c r="AB318" s="23" t="e">
        <f t="shared" si="205"/>
        <v>#VALUE!</v>
      </c>
      <c r="AC318" t="e">
        <f t="shared" si="188"/>
        <v>#VALUE!</v>
      </c>
      <c r="AD318" t="e">
        <f t="shared" si="189"/>
        <v>#VALUE!</v>
      </c>
      <c r="AE318" t="e">
        <f t="shared" si="190"/>
        <v>#VALUE!</v>
      </c>
      <c r="AF318" t="e">
        <f t="shared" si="191"/>
        <v>#VALUE!</v>
      </c>
      <c r="AG318" t="e">
        <f t="shared" si="192"/>
        <v>#VALUE!</v>
      </c>
      <c r="AH318" t="e">
        <f t="shared" si="193"/>
        <v>#VALUE!</v>
      </c>
      <c r="AI318" t="e">
        <f t="shared" si="194"/>
        <v>#VALUE!</v>
      </c>
      <c r="AJ318" s="19" t="e">
        <f t="shared" si="206"/>
        <v>#VALUE!</v>
      </c>
      <c r="AK318" t="e">
        <f t="shared" si="195"/>
        <v>#VALUE!</v>
      </c>
      <c r="AL318" t="e">
        <f t="shared" si="196"/>
        <v>#VALUE!</v>
      </c>
      <c r="AM318" t="e">
        <f t="shared" si="197"/>
        <v>#VALUE!</v>
      </c>
      <c r="AN318" t="e">
        <f t="shared" si="198"/>
        <v>#VALUE!</v>
      </c>
      <c r="AO318" t="e">
        <f t="shared" si="199"/>
        <v>#VALUE!</v>
      </c>
      <c r="AP318" t="e">
        <f t="shared" si="200"/>
        <v>#VALUE!</v>
      </c>
      <c r="AQ318" t="e">
        <f t="shared" si="201"/>
        <v>#VALUE!</v>
      </c>
      <c r="AR318" s="123" t="e">
        <f t="shared" si="207"/>
        <v>#VALUE!</v>
      </c>
      <c r="AS318" t="e">
        <f t="shared" si="202"/>
        <v>#VALUE!</v>
      </c>
      <c r="AT318" s="181" t="e">
        <f>INDEX('stock fisico '!N:N, MATCH(B318, 'stock fisico '!B:B, 0))</f>
        <v>#N/A</v>
      </c>
      <c r="AU318" s="179" t="e">
        <f>INDEX('stock fisico '!D:D, MATCH(B318, 'stock fisico '!B:B, 0))</f>
        <v>#N/A</v>
      </c>
      <c r="AV318" s="177" t="e">
        <f>INDEX('stock fisico '!L:L, MATCH(B318, 'stock fisico '!B:B, 0))</f>
        <v>#N/A</v>
      </c>
    </row>
    <row r="319" spans="1:48" x14ac:dyDescent="0.25">
      <c r="A319" s="181" t="e">
        <f>INDEX('stock fisico '!M:M, MATCH(B319, 'stock fisico '!B:B, 0))</f>
        <v>#N/A</v>
      </c>
      <c r="C319" s="179" t="e">
        <f>INDEX('stock fisico '!C:C, MATCH(B319, 'stock fisico '!B:B, 0))</f>
        <v>#N/A</v>
      </c>
      <c r="D319" s="178" t="e">
        <f>INDEX('stock fisico '!I:I, MATCH(B319, 'stock fisico '!B:B, 0))</f>
        <v>#N/A</v>
      </c>
      <c r="E319" s="173" t="e">
        <f t="shared" si="208"/>
        <v>#VALUE!</v>
      </c>
      <c r="F319" t="e">
        <f t="shared" si="168"/>
        <v>#VALUE!</v>
      </c>
      <c r="G319" t="e">
        <f t="shared" si="169"/>
        <v>#VALUE!</v>
      </c>
      <c r="H319" t="e">
        <f t="shared" si="170"/>
        <v>#VALUE!</v>
      </c>
      <c r="I319" t="e">
        <f t="shared" si="171"/>
        <v>#VALUE!</v>
      </c>
      <c r="J319" t="e">
        <f t="shared" si="172"/>
        <v>#VALUE!</v>
      </c>
      <c r="K319" t="e">
        <f t="shared" si="173"/>
        <v>#VALUE!</v>
      </c>
      <c r="L319" s="175" t="e">
        <f t="shared" si="203"/>
        <v>#VALUE!</v>
      </c>
      <c r="M319" t="e">
        <f t="shared" si="174"/>
        <v>#VALUE!</v>
      </c>
      <c r="N319" t="e">
        <f t="shared" si="175"/>
        <v>#VALUE!</v>
      </c>
      <c r="O319" t="e">
        <f t="shared" si="176"/>
        <v>#VALUE!</v>
      </c>
      <c r="P319" t="e">
        <f t="shared" si="177"/>
        <v>#VALUE!</v>
      </c>
      <c r="Q319" t="e">
        <f t="shared" si="178"/>
        <v>#VALUE!</v>
      </c>
      <c r="R319" t="e">
        <f t="shared" si="179"/>
        <v>#VALUE!</v>
      </c>
      <c r="S319" t="e">
        <f t="shared" si="180"/>
        <v>#VALUE!</v>
      </c>
      <c r="T319" s="174" t="e">
        <f t="shared" si="204"/>
        <v>#VALUE!</v>
      </c>
      <c r="U319" t="e">
        <f t="shared" si="181"/>
        <v>#VALUE!</v>
      </c>
      <c r="V319" t="e">
        <f t="shared" si="182"/>
        <v>#VALUE!</v>
      </c>
      <c r="W319" t="e">
        <f t="shared" si="183"/>
        <v>#VALUE!</v>
      </c>
      <c r="X319" t="e">
        <f t="shared" si="184"/>
        <v>#VALUE!</v>
      </c>
      <c r="Y319" t="e">
        <f t="shared" si="185"/>
        <v>#VALUE!</v>
      </c>
      <c r="Z319" t="e">
        <f t="shared" si="186"/>
        <v>#VALUE!</v>
      </c>
      <c r="AA319" t="e">
        <f t="shared" si="187"/>
        <v>#VALUE!</v>
      </c>
      <c r="AB319" s="23" t="e">
        <f t="shared" si="205"/>
        <v>#VALUE!</v>
      </c>
      <c r="AC319" t="e">
        <f t="shared" si="188"/>
        <v>#VALUE!</v>
      </c>
      <c r="AD319" t="e">
        <f t="shared" si="189"/>
        <v>#VALUE!</v>
      </c>
      <c r="AE319" t="e">
        <f t="shared" si="190"/>
        <v>#VALUE!</v>
      </c>
      <c r="AF319" t="e">
        <f t="shared" si="191"/>
        <v>#VALUE!</v>
      </c>
      <c r="AG319" t="e">
        <f t="shared" si="192"/>
        <v>#VALUE!</v>
      </c>
      <c r="AH319" t="e">
        <f t="shared" si="193"/>
        <v>#VALUE!</v>
      </c>
      <c r="AI319" t="e">
        <f t="shared" si="194"/>
        <v>#VALUE!</v>
      </c>
      <c r="AJ319" s="19" t="e">
        <f t="shared" si="206"/>
        <v>#VALUE!</v>
      </c>
      <c r="AK319" t="e">
        <f t="shared" si="195"/>
        <v>#VALUE!</v>
      </c>
      <c r="AL319" t="e">
        <f t="shared" si="196"/>
        <v>#VALUE!</v>
      </c>
      <c r="AM319" t="e">
        <f t="shared" si="197"/>
        <v>#VALUE!</v>
      </c>
      <c r="AN319" t="e">
        <f t="shared" si="198"/>
        <v>#VALUE!</v>
      </c>
      <c r="AO319" t="e">
        <f t="shared" si="199"/>
        <v>#VALUE!</v>
      </c>
      <c r="AP319" t="e">
        <f t="shared" si="200"/>
        <v>#VALUE!</v>
      </c>
      <c r="AQ319" t="e">
        <f t="shared" si="201"/>
        <v>#VALUE!</v>
      </c>
      <c r="AR319" s="123" t="e">
        <f t="shared" si="207"/>
        <v>#VALUE!</v>
      </c>
      <c r="AS319" t="e">
        <f t="shared" si="202"/>
        <v>#VALUE!</v>
      </c>
      <c r="AT319" s="181" t="e">
        <f>INDEX('stock fisico '!N:N, MATCH(B319, 'stock fisico '!B:B, 0))</f>
        <v>#N/A</v>
      </c>
      <c r="AU319" s="179" t="e">
        <f>INDEX('stock fisico '!D:D, MATCH(B319, 'stock fisico '!B:B, 0))</f>
        <v>#N/A</v>
      </c>
      <c r="AV319" s="177" t="e">
        <f>INDEX('stock fisico '!L:L, MATCH(B319, 'stock fisico '!B:B, 0))</f>
        <v>#N/A</v>
      </c>
    </row>
    <row r="320" spans="1:48" x14ac:dyDescent="0.25">
      <c r="A320" s="181" t="e">
        <f>INDEX('stock fisico '!M:M, MATCH(B320, 'stock fisico '!B:B, 0))</f>
        <v>#N/A</v>
      </c>
      <c r="C320" s="179" t="e">
        <f>INDEX('stock fisico '!C:C, MATCH(B320, 'stock fisico '!B:B, 0))</f>
        <v>#N/A</v>
      </c>
      <c r="D320" s="178" t="e">
        <f>INDEX('stock fisico '!I:I, MATCH(B320, 'stock fisico '!B:B, 0))</f>
        <v>#N/A</v>
      </c>
      <c r="E320" s="173" t="e">
        <f t="shared" si="208"/>
        <v>#VALUE!</v>
      </c>
      <c r="F320" t="e">
        <f t="shared" si="168"/>
        <v>#VALUE!</v>
      </c>
      <c r="G320" t="e">
        <f t="shared" si="169"/>
        <v>#VALUE!</v>
      </c>
      <c r="H320" t="e">
        <f t="shared" si="170"/>
        <v>#VALUE!</v>
      </c>
      <c r="I320" t="e">
        <f t="shared" si="171"/>
        <v>#VALUE!</v>
      </c>
      <c r="J320" t="e">
        <f t="shared" si="172"/>
        <v>#VALUE!</v>
      </c>
      <c r="K320" t="e">
        <f t="shared" si="173"/>
        <v>#VALUE!</v>
      </c>
      <c r="L320" s="175" t="e">
        <f t="shared" si="203"/>
        <v>#VALUE!</v>
      </c>
      <c r="M320" t="e">
        <f t="shared" si="174"/>
        <v>#VALUE!</v>
      </c>
      <c r="N320" t="e">
        <f t="shared" si="175"/>
        <v>#VALUE!</v>
      </c>
      <c r="O320" t="e">
        <f t="shared" si="176"/>
        <v>#VALUE!</v>
      </c>
      <c r="P320" t="e">
        <f t="shared" si="177"/>
        <v>#VALUE!</v>
      </c>
      <c r="Q320" t="e">
        <f t="shared" si="178"/>
        <v>#VALUE!</v>
      </c>
      <c r="R320" t="e">
        <f t="shared" si="179"/>
        <v>#VALUE!</v>
      </c>
      <c r="S320" t="e">
        <f t="shared" si="180"/>
        <v>#VALUE!</v>
      </c>
      <c r="T320" s="174" t="e">
        <f t="shared" si="204"/>
        <v>#VALUE!</v>
      </c>
      <c r="U320" t="e">
        <f t="shared" si="181"/>
        <v>#VALUE!</v>
      </c>
      <c r="V320" t="e">
        <f t="shared" si="182"/>
        <v>#VALUE!</v>
      </c>
      <c r="W320" t="e">
        <f t="shared" si="183"/>
        <v>#VALUE!</v>
      </c>
      <c r="X320" t="e">
        <f t="shared" si="184"/>
        <v>#VALUE!</v>
      </c>
      <c r="Y320" t="e">
        <f t="shared" si="185"/>
        <v>#VALUE!</v>
      </c>
      <c r="Z320" t="e">
        <f t="shared" si="186"/>
        <v>#VALUE!</v>
      </c>
      <c r="AA320" t="e">
        <f t="shared" si="187"/>
        <v>#VALUE!</v>
      </c>
      <c r="AB320" s="23" t="e">
        <f t="shared" si="205"/>
        <v>#VALUE!</v>
      </c>
      <c r="AC320" t="e">
        <f t="shared" si="188"/>
        <v>#VALUE!</v>
      </c>
      <c r="AD320" t="e">
        <f t="shared" si="189"/>
        <v>#VALUE!</v>
      </c>
      <c r="AE320" t="e">
        <f t="shared" si="190"/>
        <v>#VALUE!</v>
      </c>
      <c r="AF320" t="e">
        <f t="shared" si="191"/>
        <v>#VALUE!</v>
      </c>
      <c r="AG320" t="e">
        <f t="shared" si="192"/>
        <v>#VALUE!</v>
      </c>
      <c r="AH320" t="e">
        <f t="shared" si="193"/>
        <v>#VALUE!</v>
      </c>
      <c r="AI320" t="e">
        <f t="shared" si="194"/>
        <v>#VALUE!</v>
      </c>
      <c r="AJ320" s="19" t="e">
        <f t="shared" si="206"/>
        <v>#VALUE!</v>
      </c>
      <c r="AK320" t="e">
        <f t="shared" si="195"/>
        <v>#VALUE!</v>
      </c>
      <c r="AL320" t="e">
        <f t="shared" si="196"/>
        <v>#VALUE!</v>
      </c>
      <c r="AM320" t="e">
        <f t="shared" si="197"/>
        <v>#VALUE!</v>
      </c>
      <c r="AN320" t="e">
        <f t="shared" si="198"/>
        <v>#VALUE!</v>
      </c>
      <c r="AO320" t="e">
        <f t="shared" si="199"/>
        <v>#VALUE!</v>
      </c>
      <c r="AP320" t="e">
        <f t="shared" si="200"/>
        <v>#VALUE!</v>
      </c>
      <c r="AQ320" t="e">
        <f t="shared" si="201"/>
        <v>#VALUE!</v>
      </c>
      <c r="AR320" s="123" t="e">
        <f t="shared" si="207"/>
        <v>#VALUE!</v>
      </c>
      <c r="AS320" t="e">
        <f t="shared" si="202"/>
        <v>#VALUE!</v>
      </c>
      <c r="AT320" s="181" t="e">
        <f>INDEX('stock fisico '!N:N, MATCH(B320, 'stock fisico '!B:B, 0))</f>
        <v>#N/A</v>
      </c>
      <c r="AU320" s="179" t="e">
        <f>INDEX('stock fisico '!D:D, MATCH(B320, 'stock fisico '!B:B, 0))</f>
        <v>#N/A</v>
      </c>
      <c r="AV320" s="177" t="e">
        <f>INDEX('stock fisico '!L:L, MATCH(B320, 'stock fisico '!B:B, 0))</f>
        <v>#N/A</v>
      </c>
    </row>
    <row r="321" spans="1:48" x14ac:dyDescent="0.25">
      <c r="A321" s="181" t="e">
        <f>INDEX('stock fisico '!M:M, MATCH(B321, 'stock fisico '!B:B, 0))</f>
        <v>#N/A</v>
      </c>
      <c r="C321" s="179" t="e">
        <f>INDEX('stock fisico '!C:C, MATCH(B321, 'stock fisico '!B:B, 0))</f>
        <v>#N/A</v>
      </c>
      <c r="D321" s="178" t="e">
        <f>INDEX('stock fisico '!I:I, MATCH(B321, 'stock fisico '!B:B, 0))</f>
        <v>#N/A</v>
      </c>
      <c r="E321" s="173" t="e">
        <f t="shared" si="208"/>
        <v>#VALUE!</v>
      </c>
      <c r="F321" t="e">
        <f t="shared" si="168"/>
        <v>#VALUE!</v>
      </c>
      <c r="G321" t="e">
        <f t="shared" si="169"/>
        <v>#VALUE!</v>
      </c>
      <c r="H321" t="e">
        <f t="shared" si="170"/>
        <v>#VALUE!</v>
      </c>
      <c r="I321" t="e">
        <f t="shared" si="171"/>
        <v>#VALUE!</v>
      </c>
      <c r="J321" t="e">
        <f t="shared" si="172"/>
        <v>#VALUE!</v>
      </c>
      <c r="K321" t="e">
        <f t="shared" si="173"/>
        <v>#VALUE!</v>
      </c>
      <c r="L321" s="175" t="e">
        <f t="shared" si="203"/>
        <v>#VALUE!</v>
      </c>
      <c r="M321" t="e">
        <f t="shared" si="174"/>
        <v>#VALUE!</v>
      </c>
      <c r="N321" t="e">
        <f t="shared" si="175"/>
        <v>#VALUE!</v>
      </c>
      <c r="O321" t="e">
        <f t="shared" si="176"/>
        <v>#VALUE!</v>
      </c>
      <c r="P321" t="e">
        <f t="shared" si="177"/>
        <v>#VALUE!</v>
      </c>
      <c r="Q321" t="e">
        <f t="shared" si="178"/>
        <v>#VALUE!</v>
      </c>
      <c r="R321" t="e">
        <f t="shared" si="179"/>
        <v>#VALUE!</v>
      </c>
      <c r="S321" t="e">
        <f t="shared" si="180"/>
        <v>#VALUE!</v>
      </c>
      <c r="T321" s="174" t="e">
        <f t="shared" si="204"/>
        <v>#VALUE!</v>
      </c>
      <c r="U321" t="e">
        <f t="shared" si="181"/>
        <v>#VALUE!</v>
      </c>
      <c r="V321" t="e">
        <f t="shared" si="182"/>
        <v>#VALUE!</v>
      </c>
      <c r="W321" t="e">
        <f t="shared" si="183"/>
        <v>#VALUE!</v>
      </c>
      <c r="X321" t="e">
        <f t="shared" si="184"/>
        <v>#VALUE!</v>
      </c>
      <c r="Y321" t="e">
        <f t="shared" si="185"/>
        <v>#VALUE!</v>
      </c>
      <c r="Z321" t="e">
        <f t="shared" si="186"/>
        <v>#VALUE!</v>
      </c>
      <c r="AA321" t="e">
        <f t="shared" si="187"/>
        <v>#VALUE!</v>
      </c>
      <c r="AB321" s="23" t="e">
        <f t="shared" si="205"/>
        <v>#VALUE!</v>
      </c>
      <c r="AC321" t="e">
        <f t="shared" si="188"/>
        <v>#VALUE!</v>
      </c>
      <c r="AD321" t="e">
        <f t="shared" si="189"/>
        <v>#VALUE!</v>
      </c>
      <c r="AE321" t="e">
        <f t="shared" si="190"/>
        <v>#VALUE!</v>
      </c>
      <c r="AF321" t="e">
        <f t="shared" si="191"/>
        <v>#VALUE!</v>
      </c>
      <c r="AG321" t="e">
        <f t="shared" si="192"/>
        <v>#VALUE!</v>
      </c>
      <c r="AH321" t="e">
        <f t="shared" si="193"/>
        <v>#VALUE!</v>
      </c>
      <c r="AI321" t="e">
        <f t="shared" si="194"/>
        <v>#VALUE!</v>
      </c>
      <c r="AJ321" s="19" t="e">
        <f t="shared" si="206"/>
        <v>#VALUE!</v>
      </c>
      <c r="AK321" t="e">
        <f t="shared" si="195"/>
        <v>#VALUE!</v>
      </c>
      <c r="AL321" t="e">
        <f t="shared" si="196"/>
        <v>#VALUE!</v>
      </c>
      <c r="AM321" t="e">
        <f t="shared" si="197"/>
        <v>#VALUE!</v>
      </c>
      <c r="AN321" t="e">
        <f t="shared" si="198"/>
        <v>#VALUE!</v>
      </c>
      <c r="AO321" t="e">
        <f t="shared" si="199"/>
        <v>#VALUE!</v>
      </c>
      <c r="AP321" t="e">
        <f t="shared" si="200"/>
        <v>#VALUE!</v>
      </c>
      <c r="AQ321" t="e">
        <f t="shared" si="201"/>
        <v>#VALUE!</v>
      </c>
      <c r="AR321" s="123" t="e">
        <f t="shared" si="207"/>
        <v>#VALUE!</v>
      </c>
      <c r="AS321" t="e">
        <f t="shared" si="202"/>
        <v>#VALUE!</v>
      </c>
      <c r="AT321" s="181" t="e">
        <f>INDEX('stock fisico '!N:N, MATCH(B321, 'stock fisico '!B:B, 0))</f>
        <v>#N/A</v>
      </c>
      <c r="AU321" s="179" t="e">
        <f>INDEX('stock fisico '!D:D, MATCH(B321, 'stock fisico '!B:B, 0))</f>
        <v>#N/A</v>
      </c>
      <c r="AV321" s="177" t="e">
        <f>INDEX('stock fisico '!L:L, MATCH(B321, 'stock fisico '!B:B, 0))</f>
        <v>#N/A</v>
      </c>
    </row>
    <row r="322" spans="1:48" x14ac:dyDescent="0.25">
      <c r="A322" s="181" t="e">
        <f>INDEX('stock fisico '!M:M, MATCH(B322, 'stock fisico '!B:B, 0))</f>
        <v>#N/A</v>
      </c>
      <c r="C322" s="179" t="e">
        <f>INDEX('stock fisico '!C:C, MATCH(B322, 'stock fisico '!B:B, 0))</f>
        <v>#N/A</v>
      </c>
      <c r="D322" s="178" t="e">
        <f>INDEX('stock fisico '!I:I, MATCH(B322, 'stock fisico '!B:B, 0))</f>
        <v>#N/A</v>
      </c>
      <c r="E322" s="173" t="e">
        <f t="shared" si="208"/>
        <v>#VALUE!</v>
      </c>
      <c r="F322" t="e">
        <f t="shared" si="168"/>
        <v>#VALUE!</v>
      </c>
      <c r="G322" t="e">
        <f t="shared" si="169"/>
        <v>#VALUE!</v>
      </c>
      <c r="H322" t="e">
        <f t="shared" si="170"/>
        <v>#VALUE!</v>
      </c>
      <c r="I322" t="e">
        <f t="shared" si="171"/>
        <v>#VALUE!</v>
      </c>
      <c r="J322" t="e">
        <f t="shared" si="172"/>
        <v>#VALUE!</v>
      </c>
      <c r="K322" t="e">
        <f t="shared" si="173"/>
        <v>#VALUE!</v>
      </c>
      <c r="L322" s="175" t="e">
        <f t="shared" si="203"/>
        <v>#VALUE!</v>
      </c>
      <c r="M322" t="e">
        <f t="shared" si="174"/>
        <v>#VALUE!</v>
      </c>
      <c r="N322" t="e">
        <f t="shared" si="175"/>
        <v>#VALUE!</v>
      </c>
      <c r="O322" t="e">
        <f t="shared" si="176"/>
        <v>#VALUE!</v>
      </c>
      <c r="P322" t="e">
        <f t="shared" si="177"/>
        <v>#VALUE!</v>
      </c>
      <c r="Q322" t="e">
        <f t="shared" si="178"/>
        <v>#VALUE!</v>
      </c>
      <c r="R322" t="e">
        <f t="shared" si="179"/>
        <v>#VALUE!</v>
      </c>
      <c r="S322" t="e">
        <f t="shared" si="180"/>
        <v>#VALUE!</v>
      </c>
      <c r="T322" s="174" t="e">
        <f t="shared" si="204"/>
        <v>#VALUE!</v>
      </c>
      <c r="U322" t="e">
        <f t="shared" si="181"/>
        <v>#VALUE!</v>
      </c>
      <c r="V322" t="e">
        <f t="shared" si="182"/>
        <v>#VALUE!</v>
      </c>
      <c r="W322" t="e">
        <f t="shared" si="183"/>
        <v>#VALUE!</v>
      </c>
      <c r="X322" t="e">
        <f t="shared" si="184"/>
        <v>#VALUE!</v>
      </c>
      <c r="Y322" t="e">
        <f t="shared" si="185"/>
        <v>#VALUE!</v>
      </c>
      <c r="Z322" t="e">
        <f t="shared" si="186"/>
        <v>#VALUE!</v>
      </c>
      <c r="AA322" t="e">
        <f t="shared" si="187"/>
        <v>#VALUE!</v>
      </c>
      <c r="AB322" s="23" t="e">
        <f t="shared" si="205"/>
        <v>#VALUE!</v>
      </c>
      <c r="AC322" t="e">
        <f t="shared" si="188"/>
        <v>#VALUE!</v>
      </c>
      <c r="AD322" t="e">
        <f t="shared" si="189"/>
        <v>#VALUE!</v>
      </c>
      <c r="AE322" t="e">
        <f t="shared" si="190"/>
        <v>#VALUE!</v>
      </c>
      <c r="AF322" t="e">
        <f t="shared" si="191"/>
        <v>#VALUE!</v>
      </c>
      <c r="AG322" t="e">
        <f t="shared" si="192"/>
        <v>#VALUE!</v>
      </c>
      <c r="AH322" t="e">
        <f t="shared" si="193"/>
        <v>#VALUE!</v>
      </c>
      <c r="AI322" t="e">
        <f t="shared" si="194"/>
        <v>#VALUE!</v>
      </c>
      <c r="AJ322" s="19" t="e">
        <f t="shared" si="206"/>
        <v>#VALUE!</v>
      </c>
      <c r="AK322" t="e">
        <f t="shared" si="195"/>
        <v>#VALUE!</v>
      </c>
      <c r="AL322" t="e">
        <f t="shared" si="196"/>
        <v>#VALUE!</v>
      </c>
      <c r="AM322" t="e">
        <f t="shared" si="197"/>
        <v>#VALUE!</v>
      </c>
      <c r="AN322" t="e">
        <f t="shared" si="198"/>
        <v>#VALUE!</v>
      </c>
      <c r="AO322" t="e">
        <f t="shared" si="199"/>
        <v>#VALUE!</v>
      </c>
      <c r="AP322" t="e">
        <f t="shared" si="200"/>
        <v>#VALUE!</v>
      </c>
      <c r="AQ322" t="e">
        <f t="shared" si="201"/>
        <v>#VALUE!</v>
      </c>
      <c r="AR322" s="123" t="e">
        <f t="shared" si="207"/>
        <v>#VALUE!</v>
      </c>
      <c r="AS322" t="e">
        <f t="shared" si="202"/>
        <v>#VALUE!</v>
      </c>
      <c r="AT322" s="181" t="e">
        <f>INDEX('stock fisico '!N:N, MATCH(B322, 'stock fisico '!B:B, 0))</f>
        <v>#N/A</v>
      </c>
      <c r="AU322" s="179" t="e">
        <f>INDEX('stock fisico '!D:D, MATCH(B322, 'stock fisico '!B:B, 0))</f>
        <v>#N/A</v>
      </c>
      <c r="AV322" s="177" t="e">
        <f>INDEX('stock fisico '!L:L, MATCH(B322, 'stock fisico '!B:B, 0))</f>
        <v>#N/A</v>
      </c>
    </row>
    <row r="323" spans="1:48" x14ac:dyDescent="0.25">
      <c r="A323" s="181" t="e">
        <f>INDEX('stock fisico '!M:M, MATCH(B323, 'stock fisico '!B:B, 0))</f>
        <v>#N/A</v>
      </c>
      <c r="C323" s="179" t="e">
        <f>INDEX('stock fisico '!C:C, MATCH(B323, 'stock fisico '!B:B, 0))</f>
        <v>#N/A</v>
      </c>
      <c r="D323" s="178" t="e">
        <f>INDEX('stock fisico '!I:I, MATCH(B323, 'stock fisico '!B:B, 0))</f>
        <v>#N/A</v>
      </c>
      <c r="E323" s="173" t="e">
        <f t="shared" si="208"/>
        <v>#VALUE!</v>
      </c>
      <c r="F323" t="e">
        <f t="shared" si="168"/>
        <v>#VALUE!</v>
      </c>
      <c r="G323" t="e">
        <f t="shared" si="169"/>
        <v>#VALUE!</v>
      </c>
      <c r="H323" t="e">
        <f t="shared" si="170"/>
        <v>#VALUE!</v>
      </c>
      <c r="I323" t="e">
        <f t="shared" si="171"/>
        <v>#VALUE!</v>
      </c>
      <c r="J323" t="e">
        <f t="shared" si="172"/>
        <v>#VALUE!</v>
      </c>
      <c r="K323" t="e">
        <f t="shared" si="173"/>
        <v>#VALUE!</v>
      </c>
      <c r="L323" s="175" t="e">
        <f t="shared" si="203"/>
        <v>#VALUE!</v>
      </c>
      <c r="M323" t="e">
        <f t="shared" si="174"/>
        <v>#VALUE!</v>
      </c>
      <c r="N323" t="e">
        <f t="shared" si="175"/>
        <v>#VALUE!</v>
      </c>
      <c r="O323" t="e">
        <f t="shared" si="176"/>
        <v>#VALUE!</v>
      </c>
      <c r="P323" t="e">
        <f t="shared" si="177"/>
        <v>#VALUE!</v>
      </c>
      <c r="Q323" t="e">
        <f t="shared" si="178"/>
        <v>#VALUE!</v>
      </c>
      <c r="R323" t="e">
        <f t="shared" si="179"/>
        <v>#VALUE!</v>
      </c>
      <c r="S323" t="e">
        <f t="shared" si="180"/>
        <v>#VALUE!</v>
      </c>
      <c r="T323" s="174" t="e">
        <f t="shared" si="204"/>
        <v>#VALUE!</v>
      </c>
      <c r="U323" t="e">
        <f t="shared" si="181"/>
        <v>#VALUE!</v>
      </c>
      <c r="V323" t="e">
        <f t="shared" si="182"/>
        <v>#VALUE!</v>
      </c>
      <c r="W323" t="e">
        <f t="shared" si="183"/>
        <v>#VALUE!</v>
      </c>
      <c r="X323" t="e">
        <f t="shared" si="184"/>
        <v>#VALUE!</v>
      </c>
      <c r="Y323" t="e">
        <f t="shared" si="185"/>
        <v>#VALUE!</v>
      </c>
      <c r="Z323" t="e">
        <f t="shared" si="186"/>
        <v>#VALUE!</v>
      </c>
      <c r="AA323" t="e">
        <f t="shared" si="187"/>
        <v>#VALUE!</v>
      </c>
      <c r="AB323" s="23" t="e">
        <f t="shared" si="205"/>
        <v>#VALUE!</v>
      </c>
      <c r="AC323" t="e">
        <f t="shared" si="188"/>
        <v>#VALUE!</v>
      </c>
      <c r="AD323" t="e">
        <f t="shared" si="189"/>
        <v>#VALUE!</v>
      </c>
      <c r="AE323" t="e">
        <f t="shared" si="190"/>
        <v>#VALUE!</v>
      </c>
      <c r="AF323" t="e">
        <f t="shared" si="191"/>
        <v>#VALUE!</v>
      </c>
      <c r="AG323" t="e">
        <f t="shared" si="192"/>
        <v>#VALUE!</v>
      </c>
      <c r="AH323" t="e">
        <f t="shared" si="193"/>
        <v>#VALUE!</v>
      </c>
      <c r="AI323" t="e">
        <f t="shared" si="194"/>
        <v>#VALUE!</v>
      </c>
      <c r="AJ323" s="19" t="e">
        <f t="shared" si="206"/>
        <v>#VALUE!</v>
      </c>
      <c r="AK323" t="e">
        <f t="shared" si="195"/>
        <v>#VALUE!</v>
      </c>
      <c r="AL323" t="e">
        <f t="shared" si="196"/>
        <v>#VALUE!</v>
      </c>
      <c r="AM323" t="e">
        <f t="shared" si="197"/>
        <v>#VALUE!</v>
      </c>
      <c r="AN323" t="e">
        <f t="shared" si="198"/>
        <v>#VALUE!</v>
      </c>
      <c r="AO323" t="e">
        <f t="shared" si="199"/>
        <v>#VALUE!</v>
      </c>
      <c r="AP323" t="e">
        <f t="shared" si="200"/>
        <v>#VALUE!</v>
      </c>
      <c r="AQ323" t="e">
        <f t="shared" si="201"/>
        <v>#VALUE!</v>
      </c>
      <c r="AR323" s="123" t="e">
        <f t="shared" si="207"/>
        <v>#VALUE!</v>
      </c>
      <c r="AS323" t="e">
        <f t="shared" si="202"/>
        <v>#VALUE!</v>
      </c>
      <c r="AT323" s="181" t="e">
        <f>INDEX('stock fisico '!N:N, MATCH(B323, 'stock fisico '!B:B, 0))</f>
        <v>#N/A</v>
      </c>
      <c r="AU323" s="179" t="e">
        <f>INDEX('stock fisico '!D:D, MATCH(B323, 'stock fisico '!B:B, 0))</f>
        <v>#N/A</v>
      </c>
      <c r="AV323" s="177" t="e">
        <f>INDEX('stock fisico '!L:L, MATCH(B323, 'stock fisico '!B:B, 0))</f>
        <v>#N/A</v>
      </c>
    </row>
    <row r="324" spans="1:48" x14ac:dyDescent="0.25">
      <c r="A324" s="181" t="e">
        <f>INDEX('stock fisico '!M:M, MATCH(B324, 'stock fisico '!B:B, 0))</f>
        <v>#N/A</v>
      </c>
      <c r="C324" s="179" t="e">
        <f>INDEX('stock fisico '!C:C, MATCH(B324, 'stock fisico '!B:B, 0))</f>
        <v>#N/A</v>
      </c>
      <c r="D324" s="178" t="e">
        <f>INDEX('stock fisico '!I:I, MATCH(B324, 'stock fisico '!B:B, 0))</f>
        <v>#N/A</v>
      </c>
      <c r="E324" s="173" t="e">
        <f t="shared" si="208"/>
        <v>#VALUE!</v>
      </c>
      <c r="F324" t="e">
        <f t="shared" si="168"/>
        <v>#VALUE!</v>
      </c>
      <c r="G324" t="e">
        <f t="shared" si="169"/>
        <v>#VALUE!</v>
      </c>
      <c r="H324" t="e">
        <f t="shared" si="170"/>
        <v>#VALUE!</v>
      </c>
      <c r="I324" t="e">
        <f t="shared" si="171"/>
        <v>#VALUE!</v>
      </c>
      <c r="J324" t="e">
        <f t="shared" si="172"/>
        <v>#VALUE!</v>
      </c>
      <c r="K324" t="e">
        <f t="shared" si="173"/>
        <v>#VALUE!</v>
      </c>
      <c r="L324" s="175" t="e">
        <f t="shared" si="203"/>
        <v>#VALUE!</v>
      </c>
      <c r="M324" t="e">
        <f t="shared" si="174"/>
        <v>#VALUE!</v>
      </c>
      <c r="N324" t="e">
        <f t="shared" si="175"/>
        <v>#VALUE!</v>
      </c>
      <c r="O324" t="e">
        <f t="shared" si="176"/>
        <v>#VALUE!</v>
      </c>
      <c r="P324" t="e">
        <f t="shared" si="177"/>
        <v>#VALUE!</v>
      </c>
      <c r="Q324" t="e">
        <f t="shared" si="178"/>
        <v>#VALUE!</v>
      </c>
      <c r="R324" t="e">
        <f t="shared" si="179"/>
        <v>#VALUE!</v>
      </c>
      <c r="S324" t="e">
        <f t="shared" si="180"/>
        <v>#VALUE!</v>
      </c>
      <c r="T324" s="174" t="e">
        <f t="shared" si="204"/>
        <v>#VALUE!</v>
      </c>
      <c r="U324" t="e">
        <f t="shared" si="181"/>
        <v>#VALUE!</v>
      </c>
      <c r="V324" t="e">
        <f t="shared" si="182"/>
        <v>#VALUE!</v>
      </c>
      <c r="W324" t="e">
        <f t="shared" si="183"/>
        <v>#VALUE!</v>
      </c>
      <c r="X324" t="e">
        <f t="shared" si="184"/>
        <v>#VALUE!</v>
      </c>
      <c r="Y324" t="e">
        <f t="shared" si="185"/>
        <v>#VALUE!</v>
      </c>
      <c r="Z324" t="e">
        <f t="shared" si="186"/>
        <v>#VALUE!</v>
      </c>
      <c r="AA324" t="e">
        <f t="shared" si="187"/>
        <v>#VALUE!</v>
      </c>
      <c r="AB324" s="23" t="e">
        <f t="shared" si="205"/>
        <v>#VALUE!</v>
      </c>
      <c r="AC324" t="e">
        <f t="shared" si="188"/>
        <v>#VALUE!</v>
      </c>
      <c r="AD324" t="e">
        <f t="shared" si="189"/>
        <v>#VALUE!</v>
      </c>
      <c r="AE324" t="e">
        <f t="shared" si="190"/>
        <v>#VALUE!</v>
      </c>
      <c r="AF324" t="e">
        <f t="shared" si="191"/>
        <v>#VALUE!</v>
      </c>
      <c r="AG324" t="e">
        <f t="shared" si="192"/>
        <v>#VALUE!</v>
      </c>
      <c r="AH324" t="e">
        <f t="shared" si="193"/>
        <v>#VALUE!</v>
      </c>
      <c r="AI324" t="e">
        <f t="shared" si="194"/>
        <v>#VALUE!</v>
      </c>
      <c r="AJ324" s="19" t="e">
        <f t="shared" si="206"/>
        <v>#VALUE!</v>
      </c>
      <c r="AK324" t="e">
        <f t="shared" si="195"/>
        <v>#VALUE!</v>
      </c>
      <c r="AL324" t="e">
        <f t="shared" si="196"/>
        <v>#VALUE!</v>
      </c>
      <c r="AM324" t="e">
        <f t="shared" si="197"/>
        <v>#VALUE!</v>
      </c>
      <c r="AN324" t="e">
        <f t="shared" si="198"/>
        <v>#VALUE!</v>
      </c>
      <c r="AO324" t="e">
        <f t="shared" si="199"/>
        <v>#VALUE!</v>
      </c>
      <c r="AP324" t="e">
        <f t="shared" si="200"/>
        <v>#VALUE!</v>
      </c>
      <c r="AQ324" t="e">
        <f t="shared" si="201"/>
        <v>#VALUE!</v>
      </c>
      <c r="AR324" s="123" t="e">
        <f t="shared" si="207"/>
        <v>#VALUE!</v>
      </c>
      <c r="AS324" t="e">
        <f t="shared" si="202"/>
        <v>#VALUE!</v>
      </c>
      <c r="AT324" s="181" t="e">
        <f>INDEX('stock fisico '!N:N, MATCH(B324, 'stock fisico '!B:B, 0))</f>
        <v>#N/A</v>
      </c>
      <c r="AU324" s="179" t="e">
        <f>INDEX('stock fisico '!D:D, MATCH(B324, 'stock fisico '!B:B, 0))</f>
        <v>#N/A</v>
      </c>
      <c r="AV324" s="177" t="e">
        <f>INDEX('stock fisico '!L:L, MATCH(B324, 'stock fisico '!B:B, 0))</f>
        <v>#N/A</v>
      </c>
    </row>
    <row r="325" spans="1:48" x14ac:dyDescent="0.25">
      <c r="A325" s="181" t="e">
        <f>INDEX('stock fisico '!M:M, MATCH(B325, 'stock fisico '!B:B, 0))</f>
        <v>#N/A</v>
      </c>
      <c r="C325" s="179" t="e">
        <f>INDEX('stock fisico '!C:C, MATCH(B325, 'stock fisico '!B:B, 0))</f>
        <v>#N/A</v>
      </c>
      <c r="D325" s="178" t="e">
        <f>INDEX('stock fisico '!I:I, MATCH(B325, 'stock fisico '!B:B, 0))</f>
        <v>#N/A</v>
      </c>
      <c r="E325" s="173" t="e">
        <f t="shared" si="208"/>
        <v>#VALUE!</v>
      </c>
      <c r="F325" t="e">
        <f t="shared" ref="F325:F388" si="209">K325*$F$3</f>
        <v>#VALUE!</v>
      </c>
      <c r="G325" t="e">
        <f t="shared" ref="G325:G388" si="210">K325*$G$2</f>
        <v>#VALUE!</v>
      </c>
      <c r="H325" t="e">
        <f t="shared" ref="H325:H388" si="211">K325*$H$2</f>
        <v>#VALUE!</v>
      </c>
      <c r="I325" t="e">
        <f t="shared" ref="I325:I388" si="212">K325*$I$2</f>
        <v>#VALUE!</v>
      </c>
      <c r="J325" t="e">
        <f t="shared" ref="J325:J388" si="213">K325*$J$2</f>
        <v>#VALUE!</v>
      </c>
      <c r="K325" t="e">
        <f t="shared" ref="K325:K388" si="214">E325*$J$1</f>
        <v>#VALUE!</v>
      </c>
      <c r="L325" s="175" t="e">
        <f t="shared" si="203"/>
        <v>#VALUE!</v>
      </c>
      <c r="M325" t="e">
        <f t="shared" ref="M325:M388" si="215">S325*$M$3</f>
        <v>#VALUE!</v>
      </c>
      <c r="N325" t="e">
        <f t="shared" ref="N325:N388" si="216">S325*$N$2</f>
        <v>#VALUE!</v>
      </c>
      <c r="O325" t="e">
        <f t="shared" ref="O325:O388" si="217">S325*$O$2</f>
        <v>#VALUE!</v>
      </c>
      <c r="P325" t="e">
        <f t="shared" ref="P325:P388" si="218">S325*$P$2</f>
        <v>#VALUE!</v>
      </c>
      <c r="Q325" t="e">
        <f t="shared" ref="Q325:Q388" si="219">S325*$Q$2</f>
        <v>#VALUE!</v>
      </c>
      <c r="R325" t="e">
        <f t="shared" ref="R325:R388" si="220">S325*$R$3</f>
        <v>#VALUE!</v>
      </c>
      <c r="S325" t="e">
        <f t="shared" ref="S325:S388" si="221">E325*$S$1</f>
        <v>#VALUE!</v>
      </c>
      <c r="T325" s="174" t="e">
        <f t="shared" si="204"/>
        <v>#VALUE!</v>
      </c>
      <c r="U325" t="e">
        <f t="shared" ref="U325:U388" si="222">AA325*$U$3</f>
        <v>#VALUE!</v>
      </c>
      <c r="V325" t="e">
        <f t="shared" ref="V325:V388" si="223">AA325*$V$3</f>
        <v>#VALUE!</v>
      </c>
      <c r="W325" t="e">
        <f t="shared" ref="W325:W388" si="224">AA325*$W$3</f>
        <v>#VALUE!</v>
      </c>
      <c r="X325" t="e">
        <f t="shared" ref="X325:X388" si="225">AA325*$X$3</f>
        <v>#VALUE!</v>
      </c>
      <c r="Y325" t="e">
        <f t="shared" ref="Y325:Y388" si="226">AA325*$Y$3</f>
        <v>#VALUE!</v>
      </c>
      <c r="Z325" t="e">
        <f t="shared" ref="Z325:Z388" si="227">AA325*$Z$3</f>
        <v>#VALUE!</v>
      </c>
      <c r="AA325" t="e">
        <f t="shared" ref="AA325:AA388" si="228">E325*$AA$1</f>
        <v>#VALUE!</v>
      </c>
      <c r="AB325" s="23" t="e">
        <f t="shared" si="205"/>
        <v>#VALUE!</v>
      </c>
      <c r="AC325" t="e">
        <f t="shared" ref="AC325:AC388" si="229">AI325*$AC$3</f>
        <v>#VALUE!</v>
      </c>
      <c r="AD325" t="e">
        <f t="shared" ref="AD325:AD388" si="230">AI325*$AD$3</f>
        <v>#VALUE!</v>
      </c>
      <c r="AE325" t="e">
        <f t="shared" ref="AE325:AE388" si="231">AI325*$AE$3</f>
        <v>#VALUE!</v>
      </c>
      <c r="AF325" t="e">
        <f t="shared" ref="AF325:AF388" si="232">AI325*$AF$3</f>
        <v>#VALUE!</v>
      </c>
      <c r="AG325" t="e">
        <f t="shared" ref="AG325:AG388" si="233">AI325*$AG$3</f>
        <v>#VALUE!</v>
      </c>
      <c r="AH325" t="e">
        <f t="shared" ref="AH325:AH388" si="234">AI325*$AH$3</f>
        <v>#VALUE!</v>
      </c>
      <c r="AI325" t="e">
        <f t="shared" ref="AI325:AI388" si="235">E325*$AI$1</f>
        <v>#VALUE!</v>
      </c>
      <c r="AJ325" s="19" t="e">
        <f t="shared" si="206"/>
        <v>#VALUE!</v>
      </c>
      <c r="AK325" t="e">
        <f t="shared" ref="AK325:AK388" si="236">AQ325*$AK$3</f>
        <v>#VALUE!</v>
      </c>
      <c r="AL325" t="e">
        <f t="shared" ref="AL325:AL388" si="237">AQ325*$AL$3</f>
        <v>#VALUE!</v>
      </c>
      <c r="AM325" t="e">
        <f t="shared" ref="AM325:AM388" si="238">AQ325*$AM$3</f>
        <v>#VALUE!</v>
      </c>
      <c r="AN325" t="e">
        <f t="shared" ref="AN325:AN388" si="239">AQ325*$AN$3</f>
        <v>#VALUE!</v>
      </c>
      <c r="AO325" t="e">
        <f t="shared" ref="AO325:AO388" si="240">AQ325*$AO$3</f>
        <v>#VALUE!</v>
      </c>
      <c r="AP325" t="e">
        <f t="shared" ref="AP325:AP388" si="241">AQ325*$AP$3</f>
        <v>#VALUE!</v>
      </c>
      <c r="AQ325" t="e">
        <f t="shared" ref="AQ325:AQ388" si="242">E325*$AQ$1</f>
        <v>#VALUE!</v>
      </c>
      <c r="AR325" s="123" t="e">
        <f t="shared" si="207"/>
        <v>#VALUE!</v>
      </c>
      <c r="AS325" t="e">
        <f t="shared" ref="AS325:AS388" si="243">L325/1.21</f>
        <v>#VALUE!</v>
      </c>
      <c r="AT325" s="181" t="e">
        <f>INDEX('stock fisico '!N:N, MATCH(B325, 'stock fisico '!B:B, 0))</f>
        <v>#N/A</v>
      </c>
      <c r="AU325" s="179" t="e">
        <f>INDEX('stock fisico '!D:D, MATCH(B325, 'stock fisico '!B:B, 0))</f>
        <v>#N/A</v>
      </c>
      <c r="AV325" s="177" t="e">
        <f>INDEX('stock fisico '!L:L, MATCH(B325, 'stock fisico '!B:B, 0))</f>
        <v>#N/A</v>
      </c>
    </row>
    <row r="326" spans="1:48" x14ac:dyDescent="0.25">
      <c r="A326" s="181" t="e">
        <f>INDEX('stock fisico '!M:M, MATCH(B326, 'stock fisico '!B:B, 0))</f>
        <v>#N/A</v>
      </c>
      <c r="C326" s="179" t="e">
        <f>INDEX('stock fisico '!C:C, MATCH(B326, 'stock fisico '!B:B, 0))</f>
        <v>#N/A</v>
      </c>
      <c r="D326" s="178" t="e">
        <f>INDEX('stock fisico '!I:I, MATCH(B326, 'stock fisico '!B:B, 0))</f>
        <v>#N/A</v>
      </c>
      <c r="E326" s="173" t="e">
        <f t="shared" si="208"/>
        <v>#VALUE!</v>
      </c>
      <c r="F326" t="e">
        <f t="shared" si="209"/>
        <v>#VALUE!</v>
      </c>
      <c r="G326" t="e">
        <f t="shared" si="210"/>
        <v>#VALUE!</v>
      </c>
      <c r="H326" t="e">
        <f t="shared" si="211"/>
        <v>#VALUE!</v>
      </c>
      <c r="I326" t="e">
        <f t="shared" si="212"/>
        <v>#VALUE!</v>
      </c>
      <c r="J326" t="e">
        <f t="shared" si="213"/>
        <v>#VALUE!</v>
      </c>
      <c r="K326" t="e">
        <f t="shared" si="214"/>
        <v>#VALUE!</v>
      </c>
      <c r="L326" s="175" t="e">
        <f t="shared" ref="L326:L389" si="244">F326+H326+J326+E326</f>
        <v>#VALUE!</v>
      </c>
      <c r="M326" t="e">
        <f t="shared" si="215"/>
        <v>#VALUE!</v>
      </c>
      <c r="N326" t="e">
        <f t="shared" si="216"/>
        <v>#VALUE!</v>
      </c>
      <c r="O326" t="e">
        <f t="shared" si="217"/>
        <v>#VALUE!</v>
      </c>
      <c r="P326" t="e">
        <f t="shared" si="218"/>
        <v>#VALUE!</v>
      </c>
      <c r="Q326" t="e">
        <f t="shared" si="219"/>
        <v>#VALUE!</v>
      </c>
      <c r="R326" t="e">
        <f t="shared" si="220"/>
        <v>#VALUE!</v>
      </c>
      <c r="S326" t="e">
        <f t="shared" si="221"/>
        <v>#VALUE!</v>
      </c>
      <c r="T326" s="174" t="e">
        <f t="shared" ref="T326:T389" si="245">R326+Q326+O326+M326+E326</f>
        <v>#VALUE!</v>
      </c>
      <c r="U326" t="e">
        <f t="shared" si="222"/>
        <v>#VALUE!</v>
      </c>
      <c r="V326" t="e">
        <f t="shared" si="223"/>
        <v>#VALUE!</v>
      </c>
      <c r="W326" t="e">
        <f t="shared" si="224"/>
        <v>#VALUE!</v>
      </c>
      <c r="X326" t="e">
        <f t="shared" si="225"/>
        <v>#VALUE!</v>
      </c>
      <c r="Y326" t="e">
        <f t="shared" si="226"/>
        <v>#VALUE!</v>
      </c>
      <c r="Z326" t="e">
        <f t="shared" si="227"/>
        <v>#VALUE!</v>
      </c>
      <c r="AA326" t="e">
        <f t="shared" si="228"/>
        <v>#VALUE!</v>
      </c>
      <c r="AB326" s="23" t="e">
        <f t="shared" ref="AB326:AB389" si="246">U326+W326+Y326+Z326+E326</f>
        <v>#VALUE!</v>
      </c>
      <c r="AC326" t="e">
        <f t="shared" si="229"/>
        <v>#VALUE!</v>
      </c>
      <c r="AD326" t="e">
        <f t="shared" si="230"/>
        <v>#VALUE!</v>
      </c>
      <c r="AE326" t="e">
        <f t="shared" si="231"/>
        <v>#VALUE!</v>
      </c>
      <c r="AF326" t="e">
        <f t="shared" si="232"/>
        <v>#VALUE!</v>
      </c>
      <c r="AG326" t="e">
        <f t="shared" si="233"/>
        <v>#VALUE!</v>
      </c>
      <c r="AH326" t="e">
        <f t="shared" si="234"/>
        <v>#VALUE!</v>
      </c>
      <c r="AI326" t="e">
        <f t="shared" si="235"/>
        <v>#VALUE!</v>
      </c>
      <c r="AJ326" s="19" t="e">
        <f t="shared" ref="AJ326:AJ389" si="247">AC326+AE326+AG326+AH326+E326</f>
        <v>#VALUE!</v>
      </c>
      <c r="AK326" t="e">
        <f t="shared" si="236"/>
        <v>#VALUE!</v>
      </c>
      <c r="AL326" t="e">
        <f t="shared" si="237"/>
        <v>#VALUE!</v>
      </c>
      <c r="AM326" t="e">
        <f t="shared" si="238"/>
        <v>#VALUE!</v>
      </c>
      <c r="AN326" t="e">
        <f t="shared" si="239"/>
        <v>#VALUE!</v>
      </c>
      <c r="AO326" t="e">
        <f t="shared" si="240"/>
        <v>#VALUE!</v>
      </c>
      <c r="AP326" t="e">
        <f t="shared" si="241"/>
        <v>#VALUE!</v>
      </c>
      <c r="AQ326" t="e">
        <f t="shared" si="242"/>
        <v>#VALUE!</v>
      </c>
      <c r="AR326" s="123" t="e">
        <f t="shared" ref="AR326:AR389" si="248">AK326+AM326+AO326+AP326+E326</f>
        <v>#VALUE!</v>
      </c>
      <c r="AS326" t="e">
        <f t="shared" si="243"/>
        <v>#VALUE!</v>
      </c>
      <c r="AT326" s="181" t="e">
        <f>INDEX('stock fisico '!N:N, MATCH(B326, 'stock fisico '!B:B, 0))</f>
        <v>#N/A</v>
      </c>
      <c r="AU326" s="179" t="e">
        <f>INDEX('stock fisico '!D:D, MATCH(B326, 'stock fisico '!B:B, 0))</f>
        <v>#N/A</v>
      </c>
      <c r="AV326" s="177" t="e">
        <f>INDEX('stock fisico '!L:L, MATCH(B326, 'stock fisico '!B:B, 0))</f>
        <v>#N/A</v>
      </c>
    </row>
    <row r="327" spans="1:48" x14ac:dyDescent="0.25">
      <c r="A327" s="181" t="e">
        <f>INDEX('stock fisico '!M:M, MATCH(B327, 'stock fisico '!B:B, 0))</f>
        <v>#N/A</v>
      </c>
      <c r="C327" s="179" t="e">
        <f>INDEX('stock fisico '!C:C, MATCH(B327, 'stock fisico '!B:B, 0))</f>
        <v>#N/A</v>
      </c>
      <c r="D327" s="178" t="e">
        <f>INDEX('stock fisico '!I:I, MATCH(B327, 'stock fisico '!B:B, 0))</f>
        <v>#N/A</v>
      </c>
      <c r="E327" s="173" t="e">
        <f t="shared" ref="E327:E390" si="249">PrecioConMargen(D327,B327, AV327, AU327, AT327)</f>
        <v>#VALUE!</v>
      </c>
      <c r="F327" t="e">
        <f t="shared" si="209"/>
        <v>#VALUE!</v>
      </c>
      <c r="G327" t="e">
        <f t="shared" si="210"/>
        <v>#VALUE!</v>
      </c>
      <c r="H327" t="e">
        <f t="shared" si="211"/>
        <v>#VALUE!</v>
      </c>
      <c r="I327" t="e">
        <f t="shared" si="212"/>
        <v>#VALUE!</v>
      </c>
      <c r="J327" t="e">
        <f t="shared" si="213"/>
        <v>#VALUE!</v>
      </c>
      <c r="K327" t="e">
        <f t="shared" si="214"/>
        <v>#VALUE!</v>
      </c>
      <c r="L327" s="175" t="e">
        <f t="shared" si="244"/>
        <v>#VALUE!</v>
      </c>
      <c r="M327" t="e">
        <f t="shared" si="215"/>
        <v>#VALUE!</v>
      </c>
      <c r="N327" t="e">
        <f t="shared" si="216"/>
        <v>#VALUE!</v>
      </c>
      <c r="O327" t="e">
        <f t="shared" si="217"/>
        <v>#VALUE!</v>
      </c>
      <c r="P327" t="e">
        <f t="shared" si="218"/>
        <v>#VALUE!</v>
      </c>
      <c r="Q327" t="e">
        <f t="shared" si="219"/>
        <v>#VALUE!</v>
      </c>
      <c r="R327" t="e">
        <f t="shared" si="220"/>
        <v>#VALUE!</v>
      </c>
      <c r="S327" t="e">
        <f t="shared" si="221"/>
        <v>#VALUE!</v>
      </c>
      <c r="T327" s="174" t="e">
        <f t="shared" si="245"/>
        <v>#VALUE!</v>
      </c>
      <c r="U327" t="e">
        <f t="shared" si="222"/>
        <v>#VALUE!</v>
      </c>
      <c r="V327" t="e">
        <f t="shared" si="223"/>
        <v>#VALUE!</v>
      </c>
      <c r="W327" t="e">
        <f t="shared" si="224"/>
        <v>#VALUE!</v>
      </c>
      <c r="X327" t="e">
        <f t="shared" si="225"/>
        <v>#VALUE!</v>
      </c>
      <c r="Y327" t="e">
        <f t="shared" si="226"/>
        <v>#VALUE!</v>
      </c>
      <c r="Z327" t="e">
        <f t="shared" si="227"/>
        <v>#VALUE!</v>
      </c>
      <c r="AA327" t="e">
        <f t="shared" si="228"/>
        <v>#VALUE!</v>
      </c>
      <c r="AB327" s="23" t="e">
        <f t="shared" si="246"/>
        <v>#VALUE!</v>
      </c>
      <c r="AC327" t="e">
        <f t="shared" si="229"/>
        <v>#VALUE!</v>
      </c>
      <c r="AD327" t="e">
        <f t="shared" si="230"/>
        <v>#VALUE!</v>
      </c>
      <c r="AE327" t="e">
        <f t="shared" si="231"/>
        <v>#VALUE!</v>
      </c>
      <c r="AF327" t="e">
        <f t="shared" si="232"/>
        <v>#VALUE!</v>
      </c>
      <c r="AG327" t="e">
        <f t="shared" si="233"/>
        <v>#VALUE!</v>
      </c>
      <c r="AH327" t="e">
        <f t="shared" si="234"/>
        <v>#VALUE!</v>
      </c>
      <c r="AI327" t="e">
        <f t="shared" si="235"/>
        <v>#VALUE!</v>
      </c>
      <c r="AJ327" s="19" t="e">
        <f t="shared" si="247"/>
        <v>#VALUE!</v>
      </c>
      <c r="AK327" t="e">
        <f t="shared" si="236"/>
        <v>#VALUE!</v>
      </c>
      <c r="AL327" t="e">
        <f t="shared" si="237"/>
        <v>#VALUE!</v>
      </c>
      <c r="AM327" t="e">
        <f t="shared" si="238"/>
        <v>#VALUE!</v>
      </c>
      <c r="AN327" t="e">
        <f t="shared" si="239"/>
        <v>#VALUE!</v>
      </c>
      <c r="AO327" t="e">
        <f t="shared" si="240"/>
        <v>#VALUE!</v>
      </c>
      <c r="AP327" t="e">
        <f t="shared" si="241"/>
        <v>#VALUE!</v>
      </c>
      <c r="AQ327" t="e">
        <f t="shared" si="242"/>
        <v>#VALUE!</v>
      </c>
      <c r="AR327" s="123" t="e">
        <f t="shared" si="248"/>
        <v>#VALUE!</v>
      </c>
      <c r="AS327" t="e">
        <f t="shared" si="243"/>
        <v>#VALUE!</v>
      </c>
      <c r="AT327" s="181" t="e">
        <f>INDEX('stock fisico '!N:N, MATCH(B327, 'stock fisico '!B:B, 0))</f>
        <v>#N/A</v>
      </c>
      <c r="AU327" s="179" t="e">
        <f>INDEX('stock fisico '!D:D, MATCH(B327, 'stock fisico '!B:B, 0))</f>
        <v>#N/A</v>
      </c>
      <c r="AV327" s="177" t="e">
        <f>INDEX('stock fisico '!L:L, MATCH(B327, 'stock fisico '!B:B, 0))</f>
        <v>#N/A</v>
      </c>
    </row>
    <row r="328" spans="1:48" x14ac:dyDescent="0.25">
      <c r="A328" s="181" t="e">
        <f>INDEX('stock fisico '!M:M, MATCH(B328, 'stock fisico '!B:B, 0))</f>
        <v>#N/A</v>
      </c>
      <c r="C328" s="179" t="e">
        <f>INDEX('stock fisico '!C:C, MATCH(B328, 'stock fisico '!B:B, 0))</f>
        <v>#N/A</v>
      </c>
      <c r="D328" s="178" t="e">
        <f>INDEX('stock fisico '!I:I, MATCH(B328, 'stock fisico '!B:B, 0))</f>
        <v>#N/A</v>
      </c>
      <c r="E328" s="173" t="e">
        <f t="shared" si="249"/>
        <v>#VALUE!</v>
      </c>
      <c r="F328" t="e">
        <f t="shared" si="209"/>
        <v>#VALUE!</v>
      </c>
      <c r="G328" t="e">
        <f t="shared" si="210"/>
        <v>#VALUE!</v>
      </c>
      <c r="H328" t="e">
        <f t="shared" si="211"/>
        <v>#VALUE!</v>
      </c>
      <c r="I328" t="e">
        <f t="shared" si="212"/>
        <v>#VALUE!</v>
      </c>
      <c r="J328" t="e">
        <f t="shared" si="213"/>
        <v>#VALUE!</v>
      </c>
      <c r="K328" t="e">
        <f t="shared" si="214"/>
        <v>#VALUE!</v>
      </c>
      <c r="L328" s="175" t="e">
        <f t="shared" si="244"/>
        <v>#VALUE!</v>
      </c>
      <c r="M328" t="e">
        <f t="shared" si="215"/>
        <v>#VALUE!</v>
      </c>
      <c r="N328" t="e">
        <f t="shared" si="216"/>
        <v>#VALUE!</v>
      </c>
      <c r="O328" t="e">
        <f t="shared" si="217"/>
        <v>#VALUE!</v>
      </c>
      <c r="P328" t="e">
        <f t="shared" si="218"/>
        <v>#VALUE!</v>
      </c>
      <c r="Q328" t="e">
        <f t="shared" si="219"/>
        <v>#VALUE!</v>
      </c>
      <c r="R328" t="e">
        <f t="shared" si="220"/>
        <v>#VALUE!</v>
      </c>
      <c r="S328" t="e">
        <f t="shared" si="221"/>
        <v>#VALUE!</v>
      </c>
      <c r="T328" s="174" t="e">
        <f t="shared" si="245"/>
        <v>#VALUE!</v>
      </c>
      <c r="U328" t="e">
        <f t="shared" si="222"/>
        <v>#VALUE!</v>
      </c>
      <c r="V328" t="e">
        <f t="shared" si="223"/>
        <v>#VALUE!</v>
      </c>
      <c r="W328" t="e">
        <f t="shared" si="224"/>
        <v>#VALUE!</v>
      </c>
      <c r="X328" t="e">
        <f t="shared" si="225"/>
        <v>#VALUE!</v>
      </c>
      <c r="Y328" t="e">
        <f t="shared" si="226"/>
        <v>#VALUE!</v>
      </c>
      <c r="Z328" t="e">
        <f t="shared" si="227"/>
        <v>#VALUE!</v>
      </c>
      <c r="AA328" t="e">
        <f t="shared" si="228"/>
        <v>#VALUE!</v>
      </c>
      <c r="AB328" s="23" t="e">
        <f t="shared" si="246"/>
        <v>#VALUE!</v>
      </c>
      <c r="AC328" t="e">
        <f t="shared" si="229"/>
        <v>#VALUE!</v>
      </c>
      <c r="AD328" t="e">
        <f t="shared" si="230"/>
        <v>#VALUE!</v>
      </c>
      <c r="AE328" t="e">
        <f t="shared" si="231"/>
        <v>#VALUE!</v>
      </c>
      <c r="AF328" t="e">
        <f t="shared" si="232"/>
        <v>#VALUE!</v>
      </c>
      <c r="AG328" t="e">
        <f t="shared" si="233"/>
        <v>#VALUE!</v>
      </c>
      <c r="AH328" t="e">
        <f t="shared" si="234"/>
        <v>#VALUE!</v>
      </c>
      <c r="AI328" t="e">
        <f t="shared" si="235"/>
        <v>#VALUE!</v>
      </c>
      <c r="AJ328" s="19" t="e">
        <f t="shared" si="247"/>
        <v>#VALUE!</v>
      </c>
      <c r="AK328" t="e">
        <f t="shared" si="236"/>
        <v>#VALUE!</v>
      </c>
      <c r="AL328" t="e">
        <f t="shared" si="237"/>
        <v>#VALUE!</v>
      </c>
      <c r="AM328" t="e">
        <f t="shared" si="238"/>
        <v>#VALUE!</v>
      </c>
      <c r="AN328" t="e">
        <f t="shared" si="239"/>
        <v>#VALUE!</v>
      </c>
      <c r="AO328" t="e">
        <f t="shared" si="240"/>
        <v>#VALUE!</v>
      </c>
      <c r="AP328" t="e">
        <f t="shared" si="241"/>
        <v>#VALUE!</v>
      </c>
      <c r="AQ328" t="e">
        <f t="shared" si="242"/>
        <v>#VALUE!</v>
      </c>
      <c r="AR328" s="123" t="e">
        <f t="shared" si="248"/>
        <v>#VALUE!</v>
      </c>
      <c r="AS328" t="e">
        <f t="shared" si="243"/>
        <v>#VALUE!</v>
      </c>
      <c r="AT328" s="181" t="e">
        <f>INDEX('stock fisico '!N:N, MATCH(B328, 'stock fisico '!B:B, 0))</f>
        <v>#N/A</v>
      </c>
      <c r="AU328" s="179" t="e">
        <f>INDEX('stock fisico '!D:D, MATCH(B328, 'stock fisico '!B:B, 0))</f>
        <v>#N/A</v>
      </c>
      <c r="AV328" s="177" t="e">
        <f>INDEX('stock fisico '!L:L, MATCH(B328, 'stock fisico '!B:B, 0))</f>
        <v>#N/A</v>
      </c>
    </row>
    <row r="329" spans="1:48" x14ac:dyDescent="0.25">
      <c r="A329" s="181" t="e">
        <f>INDEX('stock fisico '!M:M, MATCH(B329, 'stock fisico '!B:B, 0))</f>
        <v>#N/A</v>
      </c>
      <c r="C329" s="179" t="e">
        <f>INDEX('stock fisico '!C:C, MATCH(B329, 'stock fisico '!B:B, 0))</f>
        <v>#N/A</v>
      </c>
      <c r="D329" s="178" t="e">
        <f>INDEX('stock fisico '!I:I, MATCH(B329, 'stock fisico '!B:B, 0))</f>
        <v>#N/A</v>
      </c>
      <c r="E329" s="173" t="e">
        <f t="shared" si="249"/>
        <v>#VALUE!</v>
      </c>
      <c r="F329" t="e">
        <f t="shared" si="209"/>
        <v>#VALUE!</v>
      </c>
      <c r="G329" t="e">
        <f t="shared" si="210"/>
        <v>#VALUE!</v>
      </c>
      <c r="H329" t="e">
        <f t="shared" si="211"/>
        <v>#VALUE!</v>
      </c>
      <c r="I329" t="e">
        <f t="shared" si="212"/>
        <v>#VALUE!</v>
      </c>
      <c r="J329" t="e">
        <f t="shared" si="213"/>
        <v>#VALUE!</v>
      </c>
      <c r="K329" t="e">
        <f t="shared" si="214"/>
        <v>#VALUE!</v>
      </c>
      <c r="L329" s="175" t="e">
        <f t="shared" si="244"/>
        <v>#VALUE!</v>
      </c>
      <c r="M329" t="e">
        <f t="shared" si="215"/>
        <v>#VALUE!</v>
      </c>
      <c r="N329" t="e">
        <f t="shared" si="216"/>
        <v>#VALUE!</v>
      </c>
      <c r="O329" t="e">
        <f t="shared" si="217"/>
        <v>#VALUE!</v>
      </c>
      <c r="P329" t="e">
        <f t="shared" si="218"/>
        <v>#VALUE!</v>
      </c>
      <c r="Q329" t="e">
        <f t="shared" si="219"/>
        <v>#VALUE!</v>
      </c>
      <c r="R329" t="e">
        <f t="shared" si="220"/>
        <v>#VALUE!</v>
      </c>
      <c r="S329" t="e">
        <f t="shared" si="221"/>
        <v>#VALUE!</v>
      </c>
      <c r="T329" s="174" t="e">
        <f t="shared" si="245"/>
        <v>#VALUE!</v>
      </c>
      <c r="U329" t="e">
        <f t="shared" si="222"/>
        <v>#VALUE!</v>
      </c>
      <c r="V329" t="e">
        <f t="shared" si="223"/>
        <v>#VALUE!</v>
      </c>
      <c r="W329" t="e">
        <f t="shared" si="224"/>
        <v>#VALUE!</v>
      </c>
      <c r="X329" t="e">
        <f t="shared" si="225"/>
        <v>#VALUE!</v>
      </c>
      <c r="Y329" t="e">
        <f t="shared" si="226"/>
        <v>#VALUE!</v>
      </c>
      <c r="Z329" t="e">
        <f t="shared" si="227"/>
        <v>#VALUE!</v>
      </c>
      <c r="AA329" t="e">
        <f t="shared" si="228"/>
        <v>#VALUE!</v>
      </c>
      <c r="AB329" s="23" t="e">
        <f t="shared" si="246"/>
        <v>#VALUE!</v>
      </c>
      <c r="AC329" t="e">
        <f t="shared" si="229"/>
        <v>#VALUE!</v>
      </c>
      <c r="AD329" t="e">
        <f t="shared" si="230"/>
        <v>#VALUE!</v>
      </c>
      <c r="AE329" t="e">
        <f t="shared" si="231"/>
        <v>#VALUE!</v>
      </c>
      <c r="AF329" t="e">
        <f t="shared" si="232"/>
        <v>#VALUE!</v>
      </c>
      <c r="AG329" t="e">
        <f t="shared" si="233"/>
        <v>#VALUE!</v>
      </c>
      <c r="AH329" t="e">
        <f t="shared" si="234"/>
        <v>#VALUE!</v>
      </c>
      <c r="AI329" t="e">
        <f t="shared" si="235"/>
        <v>#VALUE!</v>
      </c>
      <c r="AJ329" s="19" t="e">
        <f t="shared" si="247"/>
        <v>#VALUE!</v>
      </c>
      <c r="AK329" t="e">
        <f t="shared" si="236"/>
        <v>#VALUE!</v>
      </c>
      <c r="AL329" t="e">
        <f t="shared" si="237"/>
        <v>#VALUE!</v>
      </c>
      <c r="AM329" t="e">
        <f t="shared" si="238"/>
        <v>#VALUE!</v>
      </c>
      <c r="AN329" t="e">
        <f t="shared" si="239"/>
        <v>#VALUE!</v>
      </c>
      <c r="AO329" t="e">
        <f t="shared" si="240"/>
        <v>#VALUE!</v>
      </c>
      <c r="AP329" t="e">
        <f t="shared" si="241"/>
        <v>#VALUE!</v>
      </c>
      <c r="AQ329" t="e">
        <f t="shared" si="242"/>
        <v>#VALUE!</v>
      </c>
      <c r="AR329" s="123" t="e">
        <f t="shared" si="248"/>
        <v>#VALUE!</v>
      </c>
      <c r="AS329" t="e">
        <f t="shared" si="243"/>
        <v>#VALUE!</v>
      </c>
      <c r="AT329" s="181" t="e">
        <f>INDEX('stock fisico '!N:N, MATCH(B329, 'stock fisico '!B:B, 0))</f>
        <v>#N/A</v>
      </c>
      <c r="AU329" s="179" t="e">
        <f>INDEX('stock fisico '!D:D, MATCH(B329, 'stock fisico '!B:B, 0))</f>
        <v>#N/A</v>
      </c>
      <c r="AV329" s="177" t="e">
        <f>INDEX('stock fisico '!L:L, MATCH(B329, 'stock fisico '!B:B, 0))</f>
        <v>#N/A</v>
      </c>
    </row>
    <row r="330" spans="1:48" x14ac:dyDescent="0.25">
      <c r="A330" s="181" t="e">
        <f>INDEX('stock fisico '!M:M, MATCH(B330, 'stock fisico '!B:B, 0))</f>
        <v>#N/A</v>
      </c>
      <c r="C330" s="179" t="e">
        <f>INDEX('stock fisico '!C:C, MATCH(B330, 'stock fisico '!B:B, 0))</f>
        <v>#N/A</v>
      </c>
      <c r="D330" s="178" t="e">
        <f>INDEX('stock fisico '!I:I, MATCH(B330, 'stock fisico '!B:B, 0))</f>
        <v>#N/A</v>
      </c>
      <c r="E330" s="173" t="e">
        <f t="shared" si="249"/>
        <v>#VALUE!</v>
      </c>
      <c r="F330" t="e">
        <f t="shared" si="209"/>
        <v>#VALUE!</v>
      </c>
      <c r="G330" t="e">
        <f t="shared" si="210"/>
        <v>#VALUE!</v>
      </c>
      <c r="H330" t="e">
        <f t="shared" si="211"/>
        <v>#VALUE!</v>
      </c>
      <c r="I330" t="e">
        <f t="shared" si="212"/>
        <v>#VALUE!</v>
      </c>
      <c r="J330" t="e">
        <f t="shared" si="213"/>
        <v>#VALUE!</v>
      </c>
      <c r="K330" t="e">
        <f t="shared" si="214"/>
        <v>#VALUE!</v>
      </c>
      <c r="L330" s="175" t="e">
        <f t="shared" si="244"/>
        <v>#VALUE!</v>
      </c>
      <c r="M330" t="e">
        <f t="shared" si="215"/>
        <v>#VALUE!</v>
      </c>
      <c r="N330" t="e">
        <f t="shared" si="216"/>
        <v>#VALUE!</v>
      </c>
      <c r="O330" t="e">
        <f t="shared" si="217"/>
        <v>#VALUE!</v>
      </c>
      <c r="P330" t="e">
        <f t="shared" si="218"/>
        <v>#VALUE!</v>
      </c>
      <c r="Q330" t="e">
        <f t="shared" si="219"/>
        <v>#VALUE!</v>
      </c>
      <c r="R330" t="e">
        <f t="shared" si="220"/>
        <v>#VALUE!</v>
      </c>
      <c r="S330" t="e">
        <f t="shared" si="221"/>
        <v>#VALUE!</v>
      </c>
      <c r="T330" s="174" t="e">
        <f t="shared" si="245"/>
        <v>#VALUE!</v>
      </c>
      <c r="U330" t="e">
        <f t="shared" si="222"/>
        <v>#VALUE!</v>
      </c>
      <c r="V330" t="e">
        <f t="shared" si="223"/>
        <v>#VALUE!</v>
      </c>
      <c r="W330" t="e">
        <f t="shared" si="224"/>
        <v>#VALUE!</v>
      </c>
      <c r="X330" t="e">
        <f t="shared" si="225"/>
        <v>#VALUE!</v>
      </c>
      <c r="Y330" t="e">
        <f t="shared" si="226"/>
        <v>#VALUE!</v>
      </c>
      <c r="Z330" t="e">
        <f t="shared" si="227"/>
        <v>#VALUE!</v>
      </c>
      <c r="AA330" t="e">
        <f t="shared" si="228"/>
        <v>#VALUE!</v>
      </c>
      <c r="AB330" s="23" t="e">
        <f t="shared" si="246"/>
        <v>#VALUE!</v>
      </c>
      <c r="AC330" t="e">
        <f t="shared" si="229"/>
        <v>#VALUE!</v>
      </c>
      <c r="AD330" t="e">
        <f t="shared" si="230"/>
        <v>#VALUE!</v>
      </c>
      <c r="AE330" t="e">
        <f t="shared" si="231"/>
        <v>#VALUE!</v>
      </c>
      <c r="AF330" t="e">
        <f t="shared" si="232"/>
        <v>#VALUE!</v>
      </c>
      <c r="AG330" t="e">
        <f t="shared" si="233"/>
        <v>#VALUE!</v>
      </c>
      <c r="AH330" t="e">
        <f t="shared" si="234"/>
        <v>#VALUE!</v>
      </c>
      <c r="AI330" t="e">
        <f t="shared" si="235"/>
        <v>#VALUE!</v>
      </c>
      <c r="AJ330" s="19" t="e">
        <f t="shared" si="247"/>
        <v>#VALUE!</v>
      </c>
      <c r="AK330" t="e">
        <f t="shared" si="236"/>
        <v>#VALUE!</v>
      </c>
      <c r="AL330" t="e">
        <f t="shared" si="237"/>
        <v>#VALUE!</v>
      </c>
      <c r="AM330" t="e">
        <f t="shared" si="238"/>
        <v>#VALUE!</v>
      </c>
      <c r="AN330" t="e">
        <f t="shared" si="239"/>
        <v>#VALUE!</v>
      </c>
      <c r="AO330" t="e">
        <f t="shared" si="240"/>
        <v>#VALUE!</v>
      </c>
      <c r="AP330" t="e">
        <f t="shared" si="241"/>
        <v>#VALUE!</v>
      </c>
      <c r="AQ330" t="e">
        <f t="shared" si="242"/>
        <v>#VALUE!</v>
      </c>
      <c r="AR330" s="123" t="e">
        <f t="shared" si="248"/>
        <v>#VALUE!</v>
      </c>
      <c r="AS330" t="e">
        <f t="shared" si="243"/>
        <v>#VALUE!</v>
      </c>
      <c r="AT330" s="181" t="e">
        <f>INDEX('stock fisico '!N:N, MATCH(B330, 'stock fisico '!B:B, 0))</f>
        <v>#N/A</v>
      </c>
      <c r="AU330" s="179" t="e">
        <f>INDEX('stock fisico '!D:D, MATCH(B330, 'stock fisico '!B:B, 0))</f>
        <v>#N/A</v>
      </c>
      <c r="AV330" s="177" t="e">
        <f>INDEX('stock fisico '!L:L, MATCH(B330, 'stock fisico '!B:B, 0))</f>
        <v>#N/A</v>
      </c>
    </row>
    <row r="331" spans="1:48" x14ac:dyDescent="0.25">
      <c r="A331" s="181" t="e">
        <f>INDEX('stock fisico '!M:M, MATCH(B331, 'stock fisico '!B:B, 0))</f>
        <v>#N/A</v>
      </c>
      <c r="C331" s="179" t="e">
        <f>INDEX('stock fisico '!C:C, MATCH(B331, 'stock fisico '!B:B, 0))</f>
        <v>#N/A</v>
      </c>
      <c r="D331" s="178" t="e">
        <f>INDEX('stock fisico '!I:I, MATCH(B331, 'stock fisico '!B:B, 0))</f>
        <v>#N/A</v>
      </c>
      <c r="E331" s="173" t="e">
        <f t="shared" si="249"/>
        <v>#VALUE!</v>
      </c>
      <c r="F331" t="e">
        <f t="shared" si="209"/>
        <v>#VALUE!</v>
      </c>
      <c r="G331" t="e">
        <f t="shared" si="210"/>
        <v>#VALUE!</v>
      </c>
      <c r="H331" t="e">
        <f t="shared" si="211"/>
        <v>#VALUE!</v>
      </c>
      <c r="I331" t="e">
        <f t="shared" si="212"/>
        <v>#VALUE!</v>
      </c>
      <c r="J331" t="e">
        <f t="shared" si="213"/>
        <v>#VALUE!</v>
      </c>
      <c r="K331" t="e">
        <f t="shared" si="214"/>
        <v>#VALUE!</v>
      </c>
      <c r="L331" s="175" t="e">
        <f t="shared" si="244"/>
        <v>#VALUE!</v>
      </c>
      <c r="M331" t="e">
        <f t="shared" si="215"/>
        <v>#VALUE!</v>
      </c>
      <c r="N331" t="e">
        <f t="shared" si="216"/>
        <v>#VALUE!</v>
      </c>
      <c r="O331" t="e">
        <f t="shared" si="217"/>
        <v>#VALUE!</v>
      </c>
      <c r="P331" t="e">
        <f t="shared" si="218"/>
        <v>#VALUE!</v>
      </c>
      <c r="Q331" t="e">
        <f t="shared" si="219"/>
        <v>#VALUE!</v>
      </c>
      <c r="R331" t="e">
        <f t="shared" si="220"/>
        <v>#VALUE!</v>
      </c>
      <c r="S331" t="e">
        <f t="shared" si="221"/>
        <v>#VALUE!</v>
      </c>
      <c r="T331" s="174" t="e">
        <f t="shared" si="245"/>
        <v>#VALUE!</v>
      </c>
      <c r="U331" t="e">
        <f t="shared" si="222"/>
        <v>#VALUE!</v>
      </c>
      <c r="V331" t="e">
        <f t="shared" si="223"/>
        <v>#VALUE!</v>
      </c>
      <c r="W331" t="e">
        <f t="shared" si="224"/>
        <v>#VALUE!</v>
      </c>
      <c r="X331" t="e">
        <f t="shared" si="225"/>
        <v>#VALUE!</v>
      </c>
      <c r="Y331" t="e">
        <f t="shared" si="226"/>
        <v>#VALUE!</v>
      </c>
      <c r="Z331" t="e">
        <f t="shared" si="227"/>
        <v>#VALUE!</v>
      </c>
      <c r="AA331" t="e">
        <f t="shared" si="228"/>
        <v>#VALUE!</v>
      </c>
      <c r="AB331" s="23" t="e">
        <f t="shared" si="246"/>
        <v>#VALUE!</v>
      </c>
      <c r="AC331" t="e">
        <f t="shared" si="229"/>
        <v>#VALUE!</v>
      </c>
      <c r="AD331" t="e">
        <f t="shared" si="230"/>
        <v>#VALUE!</v>
      </c>
      <c r="AE331" t="e">
        <f t="shared" si="231"/>
        <v>#VALUE!</v>
      </c>
      <c r="AF331" t="e">
        <f t="shared" si="232"/>
        <v>#VALUE!</v>
      </c>
      <c r="AG331" t="e">
        <f t="shared" si="233"/>
        <v>#VALUE!</v>
      </c>
      <c r="AH331" t="e">
        <f t="shared" si="234"/>
        <v>#VALUE!</v>
      </c>
      <c r="AI331" t="e">
        <f t="shared" si="235"/>
        <v>#VALUE!</v>
      </c>
      <c r="AJ331" s="19" t="e">
        <f t="shared" si="247"/>
        <v>#VALUE!</v>
      </c>
      <c r="AK331" t="e">
        <f t="shared" si="236"/>
        <v>#VALUE!</v>
      </c>
      <c r="AL331" t="e">
        <f t="shared" si="237"/>
        <v>#VALUE!</v>
      </c>
      <c r="AM331" t="e">
        <f t="shared" si="238"/>
        <v>#VALUE!</v>
      </c>
      <c r="AN331" t="e">
        <f t="shared" si="239"/>
        <v>#VALUE!</v>
      </c>
      <c r="AO331" t="e">
        <f t="shared" si="240"/>
        <v>#VALUE!</v>
      </c>
      <c r="AP331" t="e">
        <f t="shared" si="241"/>
        <v>#VALUE!</v>
      </c>
      <c r="AQ331" t="e">
        <f t="shared" si="242"/>
        <v>#VALUE!</v>
      </c>
      <c r="AR331" s="123" t="e">
        <f t="shared" si="248"/>
        <v>#VALUE!</v>
      </c>
      <c r="AS331" t="e">
        <f t="shared" si="243"/>
        <v>#VALUE!</v>
      </c>
      <c r="AT331" s="181" t="e">
        <f>INDEX('stock fisico '!N:N, MATCH(B331, 'stock fisico '!B:B, 0))</f>
        <v>#N/A</v>
      </c>
      <c r="AU331" s="179" t="e">
        <f>INDEX('stock fisico '!D:D, MATCH(B331, 'stock fisico '!B:B, 0))</f>
        <v>#N/A</v>
      </c>
      <c r="AV331" s="177" t="e">
        <f>INDEX('stock fisico '!L:L, MATCH(B331, 'stock fisico '!B:B, 0))</f>
        <v>#N/A</v>
      </c>
    </row>
    <row r="332" spans="1:48" x14ac:dyDescent="0.25">
      <c r="A332" s="181" t="e">
        <f>INDEX('stock fisico '!M:M, MATCH(B332, 'stock fisico '!B:B, 0))</f>
        <v>#N/A</v>
      </c>
      <c r="C332" s="179" t="e">
        <f>INDEX('stock fisico '!C:C, MATCH(B332, 'stock fisico '!B:B, 0))</f>
        <v>#N/A</v>
      </c>
      <c r="D332" s="178" t="e">
        <f>INDEX('stock fisico '!I:I, MATCH(B332, 'stock fisico '!B:B, 0))</f>
        <v>#N/A</v>
      </c>
      <c r="E332" s="173" t="e">
        <f t="shared" si="249"/>
        <v>#VALUE!</v>
      </c>
      <c r="F332" t="e">
        <f t="shared" si="209"/>
        <v>#VALUE!</v>
      </c>
      <c r="G332" t="e">
        <f t="shared" si="210"/>
        <v>#VALUE!</v>
      </c>
      <c r="H332" t="e">
        <f t="shared" si="211"/>
        <v>#VALUE!</v>
      </c>
      <c r="I332" t="e">
        <f t="shared" si="212"/>
        <v>#VALUE!</v>
      </c>
      <c r="J332" t="e">
        <f t="shared" si="213"/>
        <v>#VALUE!</v>
      </c>
      <c r="K332" t="e">
        <f t="shared" si="214"/>
        <v>#VALUE!</v>
      </c>
      <c r="L332" s="175" t="e">
        <f t="shared" si="244"/>
        <v>#VALUE!</v>
      </c>
      <c r="M332" t="e">
        <f t="shared" si="215"/>
        <v>#VALUE!</v>
      </c>
      <c r="N332" t="e">
        <f t="shared" si="216"/>
        <v>#VALUE!</v>
      </c>
      <c r="O332" t="e">
        <f t="shared" si="217"/>
        <v>#VALUE!</v>
      </c>
      <c r="P332" t="e">
        <f t="shared" si="218"/>
        <v>#VALUE!</v>
      </c>
      <c r="Q332" t="e">
        <f t="shared" si="219"/>
        <v>#VALUE!</v>
      </c>
      <c r="R332" t="e">
        <f t="shared" si="220"/>
        <v>#VALUE!</v>
      </c>
      <c r="S332" t="e">
        <f t="shared" si="221"/>
        <v>#VALUE!</v>
      </c>
      <c r="T332" s="174" t="e">
        <f t="shared" si="245"/>
        <v>#VALUE!</v>
      </c>
      <c r="U332" t="e">
        <f t="shared" si="222"/>
        <v>#VALUE!</v>
      </c>
      <c r="V332" t="e">
        <f t="shared" si="223"/>
        <v>#VALUE!</v>
      </c>
      <c r="W332" t="e">
        <f t="shared" si="224"/>
        <v>#VALUE!</v>
      </c>
      <c r="X332" t="e">
        <f t="shared" si="225"/>
        <v>#VALUE!</v>
      </c>
      <c r="Y332" t="e">
        <f t="shared" si="226"/>
        <v>#VALUE!</v>
      </c>
      <c r="Z332" t="e">
        <f t="shared" si="227"/>
        <v>#VALUE!</v>
      </c>
      <c r="AA332" t="e">
        <f t="shared" si="228"/>
        <v>#VALUE!</v>
      </c>
      <c r="AB332" s="23" t="e">
        <f t="shared" si="246"/>
        <v>#VALUE!</v>
      </c>
      <c r="AC332" t="e">
        <f t="shared" si="229"/>
        <v>#VALUE!</v>
      </c>
      <c r="AD332" t="e">
        <f t="shared" si="230"/>
        <v>#VALUE!</v>
      </c>
      <c r="AE332" t="e">
        <f t="shared" si="231"/>
        <v>#VALUE!</v>
      </c>
      <c r="AF332" t="e">
        <f t="shared" si="232"/>
        <v>#VALUE!</v>
      </c>
      <c r="AG332" t="e">
        <f t="shared" si="233"/>
        <v>#VALUE!</v>
      </c>
      <c r="AH332" t="e">
        <f t="shared" si="234"/>
        <v>#VALUE!</v>
      </c>
      <c r="AI332" t="e">
        <f t="shared" si="235"/>
        <v>#VALUE!</v>
      </c>
      <c r="AJ332" s="19" t="e">
        <f t="shared" si="247"/>
        <v>#VALUE!</v>
      </c>
      <c r="AK332" t="e">
        <f t="shared" si="236"/>
        <v>#VALUE!</v>
      </c>
      <c r="AL332" t="e">
        <f t="shared" si="237"/>
        <v>#VALUE!</v>
      </c>
      <c r="AM332" t="e">
        <f t="shared" si="238"/>
        <v>#VALUE!</v>
      </c>
      <c r="AN332" t="e">
        <f t="shared" si="239"/>
        <v>#VALUE!</v>
      </c>
      <c r="AO332" t="e">
        <f t="shared" si="240"/>
        <v>#VALUE!</v>
      </c>
      <c r="AP332" t="e">
        <f t="shared" si="241"/>
        <v>#VALUE!</v>
      </c>
      <c r="AQ332" t="e">
        <f t="shared" si="242"/>
        <v>#VALUE!</v>
      </c>
      <c r="AR332" s="123" t="e">
        <f t="shared" si="248"/>
        <v>#VALUE!</v>
      </c>
      <c r="AS332" t="e">
        <f t="shared" si="243"/>
        <v>#VALUE!</v>
      </c>
      <c r="AT332" s="181" t="e">
        <f>INDEX('stock fisico '!N:N, MATCH(B332, 'stock fisico '!B:B, 0))</f>
        <v>#N/A</v>
      </c>
      <c r="AU332" s="179" t="e">
        <f>INDEX('stock fisico '!D:D, MATCH(B332, 'stock fisico '!B:B, 0))</f>
        <v>#N/A</v>
      </c>
      <c r="AV332" s="177" t="e">
        <f>INDEX('stock fisico '!L:L, MATCH(B332, 'stock fisico '!B:B, 0))</f>
        <v>#N/A</v>
      </c>
    </row>
    <row r="333" spans="1:48" x14ac:dyDescent="0.25">
      <c r="A333" s="181" t="e">
        <f>INDEX('stock fisico '!M:M, MATCH(B333, 'stock fisico '!B:B, 0))</f>
        <v>#N/A</v>
      </c>
      <c r="C333" s="179" t="e">
        <f>INDEX('stock fisico '!C:C, MATCH(B333, 'stock fisico '!B:B, 0))</f>
        <v>#N/A</v>
      </c>
      <c r="D333" s="178" t="e">
        <f>INDEX('stock fisico '!I:I, MATCH(B333, 'stock fisico '!B:B, 0))</f>
        <v>#N/A</v>
      </c>
      <c r="E333" s="173" t="e">
        <f t="shared" si="249"/>
        <v>#VALUE!</v>
      </c>
      <c r="F333" t="e">
        <f t="shared" si="209"/>
        <v>#VALUE!</v>
      </c>
      <c r="G333" t="e">
        <f t="shared" si="210"/>
        <v>#VALUE!</v>
      </c>
      <c r="H333" t="e">
        <f t="shared" si="211"/>
        <v>#VALUE!</v>
      </c>
      <c r="I333" t="e">
        <f t="shared" si="212"/>
        <v>#VALUE!</v>
      </c>
      <c r="J333" t="e">
        <f t="shared" si="213"/>
        <v>#VALUE!</v>
      </c>
      <c r="K333" t="e">
        <f t="shared" si="214"/>
        <v>#VALUE!</v>
      </c>
      <c r="L333" s="175" t="e">
        <f t="shared" si="244"/>
        <v>#VALUE!</v>
      </c>
      <c r="M333" t="e">
        <f t="shared" si="215"/>
        <v>#VALUE!</v>
      </c>
      <c r="N333" t="e">
        <f t="shared" si="216"/>
        <v>#VALUE!</v>
      </c>
      <c r="O333" t="e">
        <f t="shared" si="217"/>
        <v>#VALUE!</v>
      </c>
      <c r="P333" t="e">
        <f t="shared" si="218"/>
        <v>#VALUE!</v>
      </c>
      <c r="Q333" t="e">
        <f t="shared" si="219"/>
        <v>#VALUE!</v>
      </c>
      <c r="R333" t="e">
        <f t="shared" si="220"/>
        <v>#VALUE!</v>
      </c>
      <c r="S333" t="e">
        <f t="shared" si="221"/>
        <v>#VALUE!</v>
      </c>
      <c r="T333" s="174" t="e">
        <f t="shared" si="245"/>
        <v>#VALUE!</v>
      </c>
      <c r="U333" t="e">
        <f t="shared" si="222"/>
        <v>#VALUE!</v>
      </c>
      <c r="V333" t="e">
        <f t="shared" si="223"/>
        <v>#VALUE!</v>
      </c>
      <c r="W333" t="e">
        <f t="shared" si="224"/>
        <v>#VALUE!</v>
      </c>
      <c r="X333" t="e">
        <f t="shared" si="225"/>
        <v>#VALUE!</v>
      </c>
      <c r="Y333" t="e">
        <f t="shared" si="226"/>
        <v>#VALUE!</v>
      </c>
      <c r="Z333" t="e">
        <f t="shared" si="227"/>
        <v>#VALUE!</v>
      </c>
      <c r="AA333" t="e">
        <f t="shared" si="228"/>
        <v>#VALUE!</v>
      </c>
      <c r="AB333" s="23" t="e">
        <f t="shared" si="246"/>
        <v>#VALUE!</v>
      </c>
      <c r="AC333" t="e">
        <f t="shared" si="229"/>
        <v>#VALUE!</v>
      </c>
      <c r="AD333" t="e">
        <f t="shared" si="230"/>
        <v>#VALUE!</v>
      </c>
      <c r="AE333" t="e">
        <f t="shared" si="231"/>
        <v>#VALUE!</v>
      </c>
      <c r="AF333" t="e">
        <f t="shared" si="232"/>
        <v>#VALUE!</v>
      </c>
      <c r="AG333" t="e">
        <f t="shared" si="233"/>
        <v>#VALUE!</v>
      </c>
      <c r="AH333" t="e">
        <f t="shared" si="234"/>
        <v>#VALUE!</v>
      </c>
      <c r="AI333" t="e">
        <f t="shared" si="235"/>
        <v>#VALUE!</v>
      </c>
      <c r="AJ333" s="19" t="e">
        <f t="shared" si="247"/>
        <v>#VALUE!</v>
      </c>
      <c r="AK333" t="e">
        <f t="shared" si="236"/>
        <v>#VALUE!</v>
      </c>
      <c r="AL333" t="e">
        <f t="shared" si="237"/>
        <v>#VALUE!</v>
      </c>
      <c r="AM333" t="e">
        <f t="shared" si="238"/>
        <v>#VALUE!</v>
      </c>
      <c r="AN333" t="e">
        <f t="shared" si="239"/>
        <v>#VALUE!</v>
      </c>
      <c r="AO333" t="e">
        <f t="shared" si="240"/>
        <v>#VALUE!</v>
      </c>
      <c r="AP333" t="e">
        <f t="shared" si="241"/>
        <v>#VALUE!</v>
      </c>
      <c r="AQ333" t="e">
        <f t="shared" si="242"/>
        <v>#VALUE!</v>
      </c>
      <c r="AR333" s="123" t="e">
        <f t="shared" si="248"/>
        <v>#VALUE!</v>
      </c>
      <c r="AS333" t="e">
        <f t="shared" si="243"/>
        <v>#VALUE!</v>
      </c>
      <c r="AT333" s="181" t="e">
        <f>INDEX('stock fisico '!N:N, MATCH(B333, 'stock fisico '!B:B, 0))</f>
        <v>#N/A</v>
      </c>
      <c r="AU333" s="179" t="e">
        <f>INDEX('stock fisico '!D:D, MATCH(B333, 'stock fisico '!B:B, 0))</f>
        <v>#N/A</v>
      </c>
      <c r="AV333" s="177" t="e">
        <f>INDEX('stock fisico '!L:L, MATCH(B333, 'stock fisico '!B:B, 0))</f>
        <v>#N/A</v>
      </c>
    </row>
    <row r="334" spans="1:48" x14ac:dyDescent="0.25">
      <c r="A334" s="181" t="e">
        <f>INDEX('stock fisico '!M:M, MATCH(B334, 'stock fisico '!B:B, 0))</f>
        <v>#N/A</v>
      </c>
      <c r="C334" s="179" t="e">
        <f>INDEX('stock fisico '!C:C, MATCH(B334, 'stock fisico '!B:B, 0))</f>
        <v>#N/A</v>
      </c>
      <c r="D334" s="178" t="e">
        <f>INDEX('stock fisico '!I:I, MATCH(B334, 'stock fisico '!B:B, 0))</f>
        <v>#N/A</v>
      </c>
      <c r="E334" s="173" t="e">
        <f t="shared" si="249"/>
        <v>#VALUE!</v>
      </c>
      <c r="F334" t="e">
        <f t="shared" si="209"/>
        <v>#VALUE!</v>
      </c>
      <c r="G334" t="e">
        <f t="shared" si="210"/>
        <v>#VALUE!</v>
      </c>
      <c r="H334" t="e">
        <f t="shared" si="211"/>
        <v>#VALUE!</v>
      </c>
      <c r="I334" t="e">
        <f t="shared" si="212"/>
        <v>#VALUE!</v>
      </c>
      <c r="J334" t="e">
        <f t="shared" si="213"/>
        <v>#VALUE!</v>
      </c>
      <c r="K334" t="e">
        <f t="shared" si="214"/>
        <v>#VALUE!</v>
      </c>
      <c r="L334" s="175" t="e">
        <f t="shared" si="244"/>
        <v>#VALUE!</v>
      </c>
      <c r="M334" t="e">
        <f t="shared" si="215"/>
        <v>#VALUE!</v>
      </c>
      <c r="N334" t="e">
        <f t="shared" si="216"/>
        <v>#VALUE!</v>
      </c>
      <c r="O334" t="e">
        <f t="shared" si="217"/>
        <v>#VALUE!</v>
      </c>
      <c r="P334" t="e">
        <f t="shared" si="218"/>
        <v>#VALUE!</v>
      </c>
      <c r="Q334" t="e">
        <f t="shared" si="219"/>
        <v>#VALUE!</v>
      </c>
      <c r="R334" t="e">
        <f t="shared" si="220"/>
        <v>#VALUE!</v>
      </c>
      <c r="S334" t="e">
        <f t="shared" si="221"/>
        <v>#VALUE!</v>
      </c>
      <c r="T334" s="174" t="e">
        <f t="shared" si="245"/>
        <v>#VALUE!</v>
      </c>
      <c r="U334" t="e">
        <f t="shared" si="222"/>
        <v>#VALUE!</v>
      </c>
      <c r="V334" t="e">
        <f t="shared" si="223"/>
        <v>#VALUE!</v>
      </c>
      <c r="W334" t="e">
        <f t="shared" si="224"/>
        <v>#VALUE!</v>
      </c>
      <c r="X334" t="e">
        <f t="shared" si="225"/>
        <v>#VALUE!</v>
      </c>
      <c r="Y334" t="e">
        <f t="shared" si="226"/>
        <v>#VALUE!</v>
      </c>
      <c r="Z334" t="e">
        <f t="shared" si="227"/>
        <v>#VALUE!</v>
      </c>
      <c r="AA334" t="e">
        <f t="shared" si="228"/>
        <v>#VALUE!</v>
      </c>
      <c r="AB334" s="23" t="e">
        <f t="shared" si="246"/>
        <v>#VALUE!</v>
      </c>
      <c r="AC334" t="e">
        <f t="shared" si="229"/>
        <v>#VALUE!</v>
      </c>
      <c r="AD334" t="e">
        <f t="shared" si="230"/>
        <v>#VALUE!</v>
      </c>
      <c r="AE334" t="e">
        <f t="shared" si="231"/>
        <v>#VALUE!</v>
      </c>
      <c r="AF334" t="e">
        <f t="shared" si="232"/>
        <v>#VALUE!</v>
      </c>
      <c r="AG334" t="e">
        <f t="shared" si="233"/>
        <v>#VALUE!</v>
      </c>
      <c r="AH334" t="e">
        <f t="shared" si="234"/>
        <v>#VALUE!</v>
      </c>
      <c r="AI334" t="e">
        <f t="shared" si="235"/>
        <v>#VALUE!</v>
      </c>
      <c r="AJ334" s="19" t="e">
        <f t="shared" si="247"/>
        <v>#VALUE!</v>
      </c>
      <c r="AK334" t="e">
        <f t="shared" si="236"/>
        <v>#VALUE!</v>
      </c>
      <c r="AL334" t="e">
        <f t="shared" si="237"/>
        <v>#VALUE!</v>
      </c>
      <c r="AM334" t="e">
        <f t="shared" si="238"/>
        <v>#VALUE!</v>
      </c>
      <c r="AN334" t="e">
        <f t="shared" si="239"/>
        <v>#VALUE!</v>
      </c>
      <c r="AO334" t="e">
        <f t="shared" si="240"/>
        <v>#VALUE!</v>
      </c>
      <c r="AP334" t="e">
        <f t="shared" si="241"/>
        <v>#VALUE!</v>
      </c>
      <c r="AQ334" t="e">
        <f t="shared" si="242"/>
        <v>#VALUE!</v>
      </c>
      <c r="AR334" s="123" t="e">
        <f t="shared" si="248"/>
        <v>#VALUE!</v>
      </c>
      <c r="AS334" t="e">
        <f t="shared" si="243"/>
        <v>#VALUE!</v>
      </c>
      <c r="AT334" s="181" t="e">
        <f>INDEX('stock fisico '!N:N, MATCH(B334, 'stock fisico '!B:B, 0))</f>
        <v>#N/A</v>
      </c>
      <c r="AU334" s="179" t="e">
        <f>INDEX('stock fisico '!D:D, MATCH(B334, 'stock fisico '!B:B, 0))</f>
        <v>#N/A</v>
      </c>
      <c r="AV334" s="177" t="e">
        <f>INDEX('stock fisico '!L:L, MATCH(B334, 'stock fisico '!B:B, 0))</f>
        <v>#N/A</v>
      </c>
    </row>
    <row r="335" spans="1:48" x14ac:dyDescent="0.25">
      <c r="A335" s="181" t="e">
        <f>INDEX('stock fisico '!M:M, MATCH(B335, 'stock fisico '!B:B, 0))</f>
        <v>#N/A</v>
      </c>
      <c r="C335" s="179" t="e">
        <f>INDEX('stock fisico '!C:C, MATCH(B335, 'stock fisico '!B:B, 0))</f>
        <v>#N/A</v>
      </c>
      <c r="D335" s="178" t="e">
        <f>INDEX('stock fisico '!I:I, MATCH(B335, 'stock fisico '!B:B, 0))</f>
        <v>#N/A</v>
      </c>
      <c r="E335" s="173" t="e">
        <f t="shared" si="249"/>
        <v>#VALUE!</v>
      </c>
      <c r="F335" t="e">
        <f t="shared" si="209"/>
        <v>#VALUE!</v>
      </c>
      <c r="G335" t="e">
        <f t="shared" si="210"/>
        <v>#VALUE!</v>
      </c>
      <c r="H335" t="e">
        <f t="shared" si="211"/>
        <v>#VALUE!</v>
      </c>
      <c r="I335" t="e">
        <f t="shared" si="212"/>
        <v>#VALUE!</v>
      </c>
      <c r="J335" t="e">
        <f t="shared" si="213"/>
        <v>#VALUE!</v>
      </c>
      <c r="K335" t="e">
        <f t="shared" si="214"/>
        <v>#VALUE!</v>
      </c>
      <c r="L335" s="175" t="e">
        <f t="shared" si="244"/>
        <v>#VALUE!</v>
      </c>
      <c r="M335" t="e">
        <f t="shared" si="215"/>
        <v>#VALUE!</v>
      </c>
      <c r="N335" t="e">
        <f t="shared" si="216"/>
        <v>#VALUE!</v>
      </c>
      <c r="O335" t="e">
        <f t="shared" si="217"/>
        <v>#VALUE!</v>
      </c>
      <c r="P335" t="e">
        <f t="shared" si="218"/>
        <v>#VALUE!</v>
      </c>
      <c r="Q335" t="e">
        <f t="shared" si="219"/>
        <v>#VALUE!</v>
      </c>
      <c r="R335" t="e">
        <f t="shared" si="220"/>
        <v>#VALUE!</v>
      </c>
      <c r="S335" t="e">
        <f t="shared" si="221"/>
        <v>#VALUE!</v>
      </c>
      <c r="T335" s="174" t="e">
        <f t="shared" si="245"/>
        <v>#VALUE!</v>
      </c>
      <c r="U335" t="e">
        <f t="shared" si="222"/>
        <v>#VALUE!</v>
      </c>
      <c r="V335" t="e">
        <f t="shared" si="223"/>
        <v>#VALUE!</v>
      </c>
      <c r="W335" t="e">
        <f t="shared" si="224"/>
        <v>#VALUE!</v>
      </c>
      <c r="X335" t="e">
        <f t="shared" si="225"/>
        <v>#VALUE!</v>
      </c>
      <c r="Y335" t="e">
        <f t="shared" si="226"/>
        <v>#VALUE!</v>
      </c>
      <c r="Z335" t="e">
        <f t="shared" si="227"/>
        <v>#VALUE!</v>
      </c>
      <c r="AA335" t="e">
        <f t="shared" si="228"/>
        <v>#VALUE!</v>
      </c>
      <c r="AB335" s="23" t="e">
        <f t="shared" si="246"/>
        <v>#VALUE!</v>
      </c>
      <c r="AC335" t="e">
        <f t="shared" si="229"/>
        <v>#VALUE!</v>
      </c>
      <c r="AD335" t="e">
        <f t="shared" si="230"/>
        <v>#VALUE!</v>
      </c>
      <c r="AE335" t="e">
        <f t="shared" si="231"/>
        <v>#VALUE!</v>
      </c>
      <c r="AF335" t="e">
        <f t="shared" si="232"/>
        <v>#VALUE!</v>
      </c>
      <c r="AG335" t="e">
        <f t="shared" si="233"/>
        <v>#VALUE!</v>
      </c>
      <c r="AH335" t="e">
        <f t="shared" si="234"/>
        <v>#VALUE!</v>
      </c>
      <c r="AI335" t="e">
        <f t="shared" si="235"/>
        <v>#VALUE!</v>
      </c>
      <c r="AJ335" s="19" t="e">
        <f t="shared" si="247"/>
        <v>#VALUE!</v>
      </c>
      <c r="AK335" t="e">
        <f t="shared" si="236"/>
        <v>#VALUE!</v>
      </c>
      <c r="AL335" t="e">
        <f t="shared" si="237"/>
        <v>#VALUE!</v>
      </c>
      <c r="AM335" t="e">
        <f t="shared" si="238"/>
        <v>#VALUE!</v>
      </c>
      <c r="AN335" t="e">
        <f t="shared" si="239"/>
        <v>#VALUE!</v>
      </c>
      <c r="AO335" t="e">
        <f t="shared" si="240"/>
        <v>#VALUE!</v>
      </c>
      <c r="AP335" t="e">
        <f t="shared" si="241"/>
        <v>#VALUE!</v>
      </c>
      <c r="AQ335" t="e">
        <f t="shared" si="242"/>
        <v>#VALUE!</v>
      </c>
      <c r="AR335" s="123" t="e">
        <f t="shared" si="248"/>
        <v>#VALUE!</v>
      </c>
      <c r="AS335" t="e">
        <f t="shared" si="243"/>
        <v>#VALUE!</v>
      </c>
      <c r="AT335" s="181" t="e">
        <f>INDEX('stock fisico '!N:N, MATCH(B335, 'stock fisico '!B:B, 0))</f>
        <v>#N/A</v>
      </c>
      <c r="AU335" s="179" t="e">
        <f>INDEX('stock fisico '!D:D, MATCH(B335, 'stock fisico '!B:B, 0))</f>
        <v>#N/A</v>
      </c>
      <c r="AV335" s="177" t="e">
        <f>INDEX('stock fisico '!L:L, MATCH(B335, 'stock fisico '!B:B, 0))</f>
        <v>#N/A</v>
      </c>
    </row>
    <row r="336" spans="1:48" x14ac:dyDescent="0.25">
      <c r="A336" s="181" t="e">
        <f>INDEX('stock fisico '!M:M, MATCH(B336, 'stock fisico '!B:B, 0))</f>
        <v>#N/A</v>
      </c>
      <c r="C336" s="179" t="e">
        <f>INDEX('stock fisico '!C:C, MATCH(B336, 'stock fisico '!B:B, 0))</f>
        <v>#N/A</v>
      </c>
      <c r="D336" s="178" t="e">
        <f>INDEX('stock fisico '!I:I, MATCH(B336, 'stock fisico '!B:B, 0))</f>
        <v>#N/A</v>
      </c>
      <c r="E336" s="173" t="e">
        <f t="shared" si="249"/>
        <v>#VALUE!</v>
      </c>
      <c r="F336" t="e">
        <f t="shared" si="209"/>
        <v>#VALUE!</v>
      </c>
      <c r="G336" t="e">
        <f t="shared" si="210"/>
        <v>#VALUE!</v>
      </c>
      <c r="H336" t="e">
        <f t="shared" si="211"/>
        <v>#VALUE!</v>
      </c>
      <c r="I336" t="e">
        <f t="shared" si="212"/>
        <v>#VALUE!</v>
      </c>
      <c r="J336" t="e">
        <f t="shared" si="213"/>
        <v>#VALUE!</v>
      </c>
      <c r="K336" t="e">
        <f t="shared" si="214"/>
        <v>#VALUE!</v>
      </c>
      <c r="L336" s="175" t="e">
        <f t="shared" si="244"/>
        <v>#VALUE!</v>
      </c>
      <c r="M336" t="e">
        <f t="shared" si="215"/>
        <v>#VALUE!</v>
      </c>
      <c r="N336" t="e">
        <f t="shared" si="216"/>
        <v>#VALUE!</v>
      </c>
      <c r="O336" t="e">
        <f t="shared" si="217"/>
        <v>#VALUE!</v>
      </c>
      <c r="P336" t="e">
        <f t="shared" si="218"/>
        <v>#VALUE!</v>
      </c>
      <c r="Q336" t="e">
        <f t="shared" si="219"/>
        <v>#VALUE!</v>
      </c>
      <c r="R336" t="e">
        <f t="shared" si="220"/>
        <v>#VALUE!</v>
      </c>
      <c r="S336" t="e">
        <f t="shared" si="221"/>
        <v>#VALUE!</v>
      </c>
      <c r="T336" s="174" t="e">
        <f t="shared" si="245"/>
        <v>#VALUE!</v>
      </c>
      <c r="U336" t="e">
        <f t="shared" si="222"/>
        <v>#VALUE!</v>
      </c>
      <c r="V336" t="e">
        <f t="shared" si="223"/>
        <v>#VALUE!</v>
      </c>
      <c r="W336" t="e">
        <f t="shared" si="224"/>
        <v>#VALUE!</v>
      </c>
      <c r="X336" t="e">
        <f t="shared" si="225"/>
        <v>#VALUE!</v>
      </c>
      <c r="Y336" t="e">
        <f t="shared" si="226"/>
        <v>#VALUE!</v>
      </c>
      <c r="Z336" t="e">
        <f t="shared" si="227"/>
        <v>#VALUE!</v>
      </c>
      <c r="AA336" t="e">
        <f t="shared" si="228"/>
        <v>#VALUE!</v>
      </c>
      <c r="AB336" s="23" t="e">
        <f t="shared" si="246"/>
        <v>#VALUE!</v>
      </c>
      <c r="AC336" t="e">
        <f t="shared" si="229"/>
        <v>#VALUE!</v>
      </c>
      <c r="AD336" t="e">
        <f t="shared" si="230"/>
        <v>#VALUE!</v>
      </c>
      <c r="AE336" t="e">
        <f t="shared" si="231"/>
        <v>#VALUE!</v>
      </c>
      <c r="AF336" t="e">
        <f t="shared" si="232"/>
        <v>#VALUE!</v>
      </c>
      <c r="AG336" t="e">
        <f t="shared" si="233"/>
        <v>#VALUE!</v>
      </c>
      <c r="AH336" t="e">
        <f t="shared" si="234"/>
        <v>#VALUE!</v>
      </c>
      <c r="AI336" t="e">
        <f t="shared" si="235"/>
        <v>#VALUE!</v>
      </c>
      <c r="AJ336" s="19" t="e">
        <f t="shared" si="247"/>
        <v>#VALUE!</v>
      </c>
      <c r="AK336" t="e">
        <f t="shared" si="236"/>
        <v>#VALUE!</v>
      </c>
      <c r="AL336" t="e">
        <f t="shared" si="237"/>
        <v>#VALUE!</v>
      </c>
      <c r="AM336" t="e">
        <f t="shared" si="238"/>
        <v>#VALUE!</v>
      </c>
      <c r="AN336" t="e">
        <f t="shared" si="239"/>
        <v>#VALUE!</v>
      </c>
      <c r="AO336" t="e">
        <f t="shared" si="240"/>
        <v>#VALUE!</v>
      </c>
      <c r="AP336" t="e">
        <f t="shared" si="241"/>
        <v>#VALUE!</v>
      </c>
      <c r="AQ336" t="e">
        <f t="shared" si="242"/>
        <v>#VALUE!</v>
      </c>
      <c r="AR336" s="123" t="e">
        <f t="shared" si="248"/>
        <v>#VALUE!</v>
      </c>
      <c r="AS336" t="e">
        <f t="shared" si="243"/>
        <v>#VALUE!</v>
      </c>
      <c r="AT336" s="181" t="e">
        <f>INDEX('stock fisico '!N:N, MATCH(B336, 'stock fisico '!B:B, 0))</f>
        <v>#N/A</v>
      </c>
      <c r="AU336" s="179" t="e">
        <f>INDEX('stock fisico '!D:D, MATCH(B336, 'stock fisico '!B:B, 0))</f>
        <v>#N/A</v>
      </c>
      <c r="AV336" s="177" t="e">
        <f>INDEX('stock fisico '!L:L, MATCH(B336, 'stock fisico '!B:B, 0))</f>
        <v>#N/A</v>
      </c>
    </row>
    <row r="337" spans="1:48" x14ac:dyDescent="0.25">
      <c r="A337" s="181" t="e">
        <f>INDEX('stock fisico '!M:M, MATCH(B337, 'stock fisico '!B:B, 0))</f>
        <v>#N/A</v>
      </c>
      <c r="C337" s="179" t="e">
        <f>INDEX('stock fisico '!C:C, MATCH(B337, 'stock fisico '!B:B, 0))</f>
        <v>#N/A</v>
      </c>
      <c r="D337" s="178" t="e">
        <f>INDEX('stock fisico '!I:I, MATCH(B337, 'stock fisico '!B:B, 0))</f>
        <v>#N/A</v>
      </c>
      <c r="E337" s="173" t="e">
        <f t="shared" si="249"/>
        <v>#VALUE!</v>
      </c>
      <c r="F337" t="e">
        <f t="shared" si="209"/>
        <v>#VALUE!</v>
      </c>
      <c r="G337" t="e">
        <f t="shared" si="210"/>
        <v>#VALUE!</v>
      </c>
      <c r="H337" t="e">
        <f t="shared" si="211"/>
        <v>#VALUE!</v>
      </c>
      <c r="I337" t="e">
        <f t="shared" si="212"/>
        <v>#VALUE!</v>
      </c>
      <c r="J337" t="e">
        <f t="shared" si="213"/>
        <v>#VALUE!</v>
      </c>
      <c r="K337" t="e">
        <f t="shared" si="214"/>
        <v>#VALUE!</v>
      </c>
      <c r="L337" s="175" t="e">
        <f t="shared" si="244"/>
        <v>#VALUE!</v>
      </c>
      <c r="M337" t="e">
        <f t="shared" si="215"/>
        <v>#VALUE!</v>
      </c>
      <c r="N337" t="e">
        <f t="shared" si="216"/>
        <v>#VALUE!</v>
      </c>
      <c r="O337" t="e">
        <f t="shared" si="217"/>
        <v>#VALUE!</v>
      </c>
      <c r="P337" t="e">
        <f t="shared" si="218"/>
        <v>#VALUE!</v>
      </c>
      <c r="Q337" t="e">
        <f t="shared" si="219"/>
        <v>#VALUE!</v>
      </c>
      <c r="R337" t="e">
        <f t="shared" si="220"/>
        <v>#VALUE!</v>
      </c>
      <c r="S337" t="e">
        <f t="shared" si="221"/>
        <v>#VALUE!</v>
      </c>
      <c r="T337" s="174" t="e">
        <f t="shared" si="245"/>
        <v>#VALUE!</v>
      </c>
      <c r="U337" t="e">
        <f t="shared" si="222"/>
        <v>#VALUE!</v>
      </c>
      <c r="V337" t="e">
        <f t="shared" si="223"/>
        <v>#VALUE!</v>
      </c>
      <c r="W337" t="e">
        <f t="shared" si="224"/>
        <v>#VALUE!</v>
      </c>
      <c r="X337" t="e">
        <f t="shared" si="225"/>
        <v>#VALUE!</v>
      </c>
      <c r="Y337" t="e">
        <f t="shared" si="226"/>
        <v>#VALUE!</v>
      </c>
      <c r="Z337" t="e">
        <f t="shared" si="227"/>
        <v>#VALUE!</v>
      </c>
      <c r="AA337" t="e">
        <f t="shared" si="228"/>
        <v>#VALUE!</v>
      </c>
      <c r="AB337" s="23" t="e">
        <f t="shared" si="246"/>
        <v>#VALUE!</v>
      </c>
      <c r="AC337" t="e">
        <f t="shared" si="229"/>
        <v>#VALUE!</v>
      </c>
      <c r="AD337" t="e">
        <f t="shared" si="230"/>
        <v>#VALUE!</v>
      </c>
      <c r="AE337" t="e">
        <f t="shared" si="231"/>
        <v>#VALUE!</v>
      </c>
      <c r="AF337" t="e">
        <f t="shared" si="232"/>
        <v>#VALUE!</v>
      </c>
      <c r="AG337" t="e">
        <f t="shared" si="233"/>
        <v>#VALUE!</v>
      </c>
      <c r="AH337" t="e">
        <f t="shared" si="234"/>
        <v>#VALUE!</v>
      </c>
      <c r="AI337" t="e">
        <f t="shared" si="235"/>
        <v>#VALUE!</v>
      </c>
      <c r="AJ337" s="19" t="e">
        <f t="shared" si="247"/>
        <v>#VALUE!</v>
      </c>
      <c r="AK337" t="e">
        <f t="shared" si="236"/>
        <v>#VALUE!</v>
      </c>
      <c r="AL337" t="e">
        <f t="shared" si="237"/>
        <v>#VALUE!</v>
      </c>
      <c r="AM337" t="e">
        <f t="shared" si="238"/>
        <v>#VALUE!</v>
      </c>
      <c r="AN337" t="e">
        <f t="shared" si="239"/>
        <v>#VALUE!</v>
      </c>
      <c r="AO337" t="e">
        <f t="shared" si="240"/>
        <v>#VALUE!</v>
      </c>
      <c r="AP337" t="e">
        <f t="shared" si="241"/>
        <v>#VALUE!</v>
      </c>
      <c r="AQ337" t="e">
        <f t="shared" si="242"/>
        <v>#VALUE!</v>
      </c>
      <c r="AR337" s="123" t="e">
        <f t="shared" si="248"/>
        <v>#VALUE!</v>
      </c>
      <c r="AS337" t="e">
        <f t="shared" si="243"/>
        <v>#VALUE!</v>
      </c>
      <c r="AT337" s="181" t="e">
        <f>INDEX('stock fisico '!N:N, MATCH(B337, 'stock fisico '!B:B, 0))</f>
        <v>#N/A</v>
      </c>
      <c r="AU337" s="179" t="e">
        <f>INDEX('stock fisico '!D:D, MATCH(B337, 'stock fisico '!B:B, 0))</f>
        <v>#N/A</v>
      </c>
      <c r="AV337" s="177" t="e">
        <f>INDEX('stock fisico '!L:L, MATCH(B337, 'stock fisico '!B:B, 0))</f>
        <v>#N/A</v>
      </c>
    </row>
    <row r="338" spans="1:48" x14ac:dyDescent="0.25">
      <c r="A338" s="181" t="e">
        <f>INDEX('stock fisico '!M:M, MATCH(B338, 'stock fisico '!B:B, 0))</f>
        <v>#N/A</v>
      </c>
      <c r="C338" s="179" t="e">
        <f>INDEX('stock fisico '!C:C, MATCH(B338, 'stock fisico '!B:B, 0))</f>
        <v>#N/A</v>
      </c>
      <c r="D338" s="178" t="e">
        <f>INDEX('stock fisico '!I:I, MATCH(B338, 'stock fisico '!B:B, 0))</f>
        <v>#N/A</v>
      </c>
      <c r="E338" s="173" t="e">
        <f t="shared" si="249"/>
        <v>#VALUE!</v>
      </c>
      <c r="F338" t="e">
        <f t="shared" si="209"/>
        <v>#VALUE!</v>
      </c>
      <c r="G338" t="e">
        <f t="shared" si="210"/>
        <v>#VALUE!</v>
      </c>
      <c r="H338" t="e">
        <f t="shared" si="211"/>
        <v>#VALUE!</v>
      </c>
      <c r="I338" t="e">
        <f t="shared" si="212"/>
        <v>#VALUE!</v>
      </c>
      <c r="J338" t="e">
        <f t="shared" si="213"/>
        <v>#VALUE!</v>
      </c>
      <c r="K338" t="e">
        <f t="shared" si="214"/>
        <v>#VALUE!</v>
      </c>
      <c r="L338" s="175" t="e">
        <f t="shared" si="244"/>
        <v>#VALUE!</v>
      </c>
      <c r="M338" t="e">
        <f t="shared" si="215"/>
        <v>#VALUE!</v>
      </c>
      <c r="N338" t="e">
        <f t="shared" si="216"/>
        <v>#VALUE!</v>
      </c>
      <c r="O338" t="e">
        <f t="shared" si="217"/>
        <v>#VALUE!</v>
      </c>
      <c r="P338" t="e">
        <f t="shared" si="218"/>
        <v>#VALUE!</v>
      </c>
      <c r="Q338" t="e">
        <f t="shared" si="219"/>
        <v>#VALUE!</v>
      </c>
      <c r="R338" t="e">
        <f t="shared" si="220"/>
        <v>#VALUE!</v>
      </c>
      <c r="S338" t="e">
        <f t="shared" si="221"/>
        <v>#VALUE!</v>
      </c>
      <c r="T338" s="174" t="e">
        <f t="shared" si="245"/>
        <v>#VALUE!</v>
      </c>
      <c r="U338" t="e">
        <f t="shared" si="222"/>
        <v>#VALUE!</v>
      </c>
      <c r="V338" t="e">
        <f t="shared" si="223"/>
        <v>#VALUE!</v>
      </c>
      <c r="W338" t="e">
        <f t="shared" si="224"/>
        <v>#VALUE!</v>
      </c>
      <c r="X338" t="e">
        <f t="shared" si="225"/>
        <v>#VALUE!</v>
      </c>
      <c r="Y338" t="e">
        <f t="shared" si="226"/>
        <v>#VALUE!</v>
      </c>
      <c r="Z338" t="e">
        <f t="shared" si="227"/>
        <v>#VALUE!</v>
      </c>
      <c r="AA338" t="e">
        <f t="shared" si="228"/>
        <v>#VALUE!</v>
      </c>
      <c r="AB338" s="23" t="e">
        <f t="shared" si="246"/>
        <v>#VALUE!</v>
      </c>
      <c r="AC338" t="e">
        <f t="shared" si="229"/>
        <v>#VALUE!</v>
      </c>
      <c r="AD338" t="e">
        <f t="shared" si="230"/>
        <v>#VALUE!</v>
      </c>
      <c r="AE338" t="e">
        <f t="shared" si="231"/>
        <v>#VALUE!</v>
      </c>
      <c r="AF338" t="e">
        <f t="shared" si="232"/>
        <v>#VALUE!</v>
      </c>
      <c r="AG338" t="e">
        <f t="shared" si="233"/>
        <v>#VALUE!</v>
      </c>
      <c r="AH338" t="e">
        <f t="shared" si="234"/>
        <v>#VALUE!</v>
      </c>
      <c r="AI338" t="e">
        <f t="shared" si="235"/>
        <v>#VALUE!</v>
      </c>
      <c r="AJ338" s="19" t="e">
        <f t="shared" si="247"/>
        <v>#VALUE!</v>
      </c>
      <c r="AK338" t="e">
        <f t="shared" si="236"/>
        <v>#VALUE!</v>
      </c>
      <c r="AL338" t="e">
        <f t="shared" si="237"/>
        <v>#VALUE!</v>
      </c>
      <c r="AM338" t="e">
        <f t="shared" si="238"/>
        <v>#VALUE!</v>
      </c>
      <c r="AN338" t="e">
        <f t="shared" si="239"/>
        <v>#VALUE!</v>
      </c>
      <c r="AO338" t="e">
        <f t="shared" si="240"/>
        <v>#VALUE!</v>
      </c>
      <c r="AP338" t="e">
        <f t="shared" si="241"/>
        <v>#VALUE!</v>
      </c>
      <c r="AQ338" t="e">
        <f t="shared" si="242"/>
        <v>#VALUE!</v>
      </c>
      <c r="AR338" s="123" t="e">
        <f t="shared" si="248"/>
        <v>#VALUE!</v>
      </c>
      <c r="AS338" t="e">
        <f t="shared" si="243"/>
        <v>#VALUE!</v>
      </c>
      <c r="AT338" s="181" t="e">
        <f>INDEX('stock fisico '!N:N, MATCH(B338, 'stock fisico '!B:B, 0))</f>
        <v>#N/A</v>
      </c>
      <c r="AU338" s="179" t="e">
        <f>INDEX('stock fisico '!D:D, MATCH(B338, 'stock fisico '!B:B, 0))</f>
        <v>#N/A</v>
      </c>
      <c r="AV338" s="177" t="e">
        <f>INDEX('stock fisico '!L:L, MATCH(B338, 'stock fisico '!B:B, 0))</f>
        <v>#N/A</v>
      </c>
    </row>
    <row r="339" spans="1:48" x14ac:dyDescent="0.25">
      <c r="A339" s="181" t="e">
        <f>INDEX('stock fisico '!M:M, MATCH(B339, 'stock fisico '!B:B, 0))</f>
        <v>#N/A</v>
      </c>
      <c r="C339" s="179" t="e">
        <f>INDEX('stock fisico '!C:C, MATCH(B339, 'stock fisico '!B:B, 0))</f>
        <v>#N/A</v>
      </c>
      <c r="D339" s="178" t="e">
        <f>INDEX('stock fisico '!I:I, MATCH(B339, 'stock fisico '!B:B, 0))</f>
        <v>#N/A</v>
      </c>
      <c r="E339" s="173" t="e">
        <f t="shared" si="249"/>
        <v>#VALUE!</v>
      </c>
      <c r="F339" t="e">
        <f t="shared" si="209"/>
        <v>#VALUE!</v>
      </c>
      <c r="G339" t="e">
        <f t="shared" si="210"/>
        <v>#VALUE!</v>
      </c>
      <c r="H339" t="e">
        <f t="shared" si="211"/>
        <v>#VALUE!</v>
      </c>
      <c r="I339" t="e">
        <f t="shared" si="212"/>
        <v>#VALUE!</v>
      </c>
      <c r="J339" t="e">
        <f t="shared" si="213"/>
        <v>#VALUE!</v>
      </c>
      <c r="K339" t="e">
        <f t="shared" si="214"/>
        <v>#VALUE!</v>
      </c>
      <c r="L339" s="175" t="e">
        <f t="shared" si="244"/>
        <v>#VALUE!</v>
      </c>
      <c r="M339" t="e">
        <f t="shared" si="215"/>
        <v>#VALUE!</v>
      </c>
      <c r="N339" t="e">
        <f t="shared" si="216"/>
        <v>#VALUE!</v>
      </c>
      <c r="O339" t="e">
        <f t="shared" si="217"/>
        <v>#VALUE!</v>
      </c>
      <c r="P339" t="e">
        <f t="shared" si="218"/>
        <v>#VALUE!</v>
      </c>
      <c r="Q339" t="e">
        <f t="shared" si="219"/>
        <v>#VALUE!</v>
      </c>
      <c r="R339" t="e">
        <f t="shared" si="220"/>
        <v>#VALUE!</v>
      </c>
      <c r="S339" t="e">
        <f t="shared" si="221"/>
        <v>#VALUE!</v>
      </c>
      <c r="T339" s="174" t="e">
        <f t="shared" si="245"/>
        <v>#VALUE!</v>
      </c>
      <c r="U339" t="e">
        <f t="shared" si="222"/>
        <v>#VALUE!</v>
      </c>
      <c r="V339" t="e">
        <f t="shared" si="223"/>
        <v>#VALUE!</v>
      </c>
      <c r="W339" t="e">
        <f t="shared" si="224"/>
        <v>#VALUE!</v>
      </c>
      <c r="X339" t="e">
        <f t="shared" si="225"/>
        <v>#VALUE!</v>
      </c>
      <c r="Y339" t="e">
        <f t="shared" si="226"/>
        <v>#VALUE!</v>
      </c>
      <c r="Z339" t="e">
        <f t="shared" si="227"/>
        <v>#VALUE!</v>
      </c>
      <c r="AA339" t="e">
        <f t="shared" si="228"/>
        <v>#VALUE!</v>
      </c>
      <c r="AB339" s="23" t="e">
        <f t="shared" si="246"/>
        <v>#VALUE!</v>
      </c>
      <c r="AC339" t="e">
        <f t="shared" si="229"/>
        <v>#VALUE!</v>
      </c>
      <c r="AD339" t="e">
        <f t="shared" si="230"/>
        <v>#VALUE!</v>
      </c>
      <c r="AE339" t="e">
        <f t="shared" si="231"/>
        <v>#VALUE!</v>
      </c>
      <c r="AF339" t="e">
        <f t="shared" si="232"/>
        <v>#VALUE!</v>
      </c>
      <c r="AG339" t="e">
        <f t="shared" si="233"/>
        <v>#VALUE!</v>
      </c>
      <c r="AH339" t="e">
        <f t="shared" si="234"/>
        <v>#VALUE!</v>
      </c>
      <c r="AI339" t="e">
        <f t="shared" si="235"/>
        <v>#VALUE!</v>
      </c>
      <c r="AJ339" s="19" t="e">
        <f t="shared" si="247"/>
        <v>#VALUE!</v>
      </c>
      <c r="AK339" t="e">
        <f t="shared" si="236"/>
        <v>#VALUE!</v>
      </c>
      <c r="AL339" t="e">
        <f t="shared" si="237"/>
        <v>#VALUE!</v>
      </c>
      <c r="AM339" t="e">
        <f t="shared" si="238"/>
        <v>#VALUE!</v>
      </c>
      <c r="AN339" t="e">
        <f t="shared" si="239"/>
        <v>#VALUE!</v>
      </c>
      <c r="AO339" t="e">
        <f t="shared" si="240"/>
        <v>#VALUE!</v>
      </c>
      <c r="AP339" t="e">
        <f t="shared" si="241"/>
        <v>#VALUE!</v>
      </c>
      <c r="AQ339" t="e">
        <f t="shared" si="242"/>
        <v>#VALUE!</v>
      </c>
      <c r="AR339" s="123" t="e">
        <f t="shared" si="248"/>
        <v>#VALUE!</v>
      </c>
      <c r="AS339" t="e">
        <f t="shared" si="243"/>
        <v>#VALUE!</v>
      </c>
      <c r="AT339" s="181" t="e">
        <f>INDEX('stock fisico '!N:N, MATCH(B339, 'stock fisico '!B:B, 0))</f>
        <v>#N/A</v>
      </c>
      <c r="AU339" s="179" t="e">
        <f>INDEX('stock fisico '!D:D, MATCH(B339, 'stock fisico '!B:B, 0))</f>
        <v>#N/A</v>
      </c>
      <c r="AV339" s="177" t="e">
        <f>INDEX('stock fisico '!L:L, MATCH(B339, 'stock fisico '!B:B, 0))</f>
        <v>#N/A</v>
      </c>
    </row>
    <row r="340" spans="1:48" x14ac:dyDescent="0.25">
      <c r="A340" s="181" t="e">
        <f>INDEX('stock fisico '!M:M, MATCH(B340, 'stock fisico '!B:B, 0))</f>
        <v>#N/A</v>
      </c>
      <c r="C340" s="179" t="e">
        <f>INDEX('stock fisico '!C:C, MATCH(B340, 'stock fisico '!B:B, 0))</f>
        <v>#N/A</v>
      </c>
      <c r="D340" s="178" t="e">
        <f>INDEX('stock fisico '!I:I, MATCH(B340, 'stock fisico '!B:B, 0))</f>
        <v>#N/A</v>
      </c>
      <c r="E340" s="173" t="e">
        <f t="shared" si="249"/>
        <v>#VALUE!</v>
      </c>
      <c r="F340" t="e">
        <f t="shared" si="209"/>
        <v>#VALUE!</v>
      </c>
      <c r="G340" t="e">
        <f t="shared" si="210"/>
        <v>#VALUE!</v>
      </c>
      <c r="H340" t="e">
        <f t="shared" si="211"/>
        <v>#VALUE!</v>
      </c>
      <c r="I340" t="e">
        <f t="shared" si="212"/>
        <v>#VALUE!</v>
      </c>
      <c r="J340" t="e">
        <f t="shared" si="213"/>
        <v>#VALUE!</v>
      </c>
      <c r="K340" t="e">
        <f t="shared" si="214"/>
        <v>#VALUE!</v>
      </c>
      <c r="L340" s="175" t="e">
        <f t="shared" si="244"/>
        <v>#VALUE!</v>
      </c>
      <c r="M340" t="e">
        <f t="shared" si="215"/>
        <v>#VALUE!</v>
      </c>
      <c r="N340" t="e">
        <f t="shared" si="216"/>
        <v>#VALUE!</v>
      </c>
      <c r="O340" t="e">
        <f t="shared" si="217"/>
        <v>#VALUE!</v>
      </c>
      <c r="P340" t="e">
        <f t="shared" si="218"/>
        <v>#VALUE!</v>
      </c>
      <c r="Q340" t="e">
        <f t="shared" si="219"/>
        <v>#VALUE!</v>
      </c>
      <c r="R340" t="e">
        <f t="shared" si="220"/>
        <v>#VALUE!</v>
      </c>
      <c r="S340" t="e">
        <f t="shared" si="221"/>
        <v>#VALUE!</v>
      </c>
      <c r="T340" s="174" t="e">
        <f t="shared" si="245"/>
        <v>#VALUE!</v>
      </c>
      <c r="U340" t="e">
        <f t="shared" si="222"/>
        <v>#VALUE!</v>
      </c>
      <c r="V340" t="e">
        <f t="shared" si="223"/>
        <v>#VALUE!</v>
      </c>
      <c r="W340" t="e">
        <f t="shared" si="224"/>
        <v>#VALUE!</v>
      </c>
      <c r="X340" t="e">
        <f t="shared" si="225"/>
        <v>#VALUE!</v>
      </c>
      <c r="Y340" t="e">
        <f t="shared" si="226"/>
        <v>#VALUE!</v>
      </c>
      <c r="Z340" t="e">
        <f t="shared" si="227"/>
        <v>#VALUE!</v>
      </c>
      <c r="AA340" t="e">
        <f t="shared" si="228"/>
        <v>#VALUE!</v>
      </c>
      <c r="AB340" s="23" t="e">
        <f t="shared" si="246"/>
        <v>#VALUE!</v>
      </c>
      <c r="AC340" t="e">
        <f t="shared" si="229"/>
        <v>#VALUE!</v>
      </c>
      <c r="AD340" t="e">
        <f t="shared" si="230"/>
        <v>#VALUE!</v>
      </c>
      <c r="AE340" t="e">
        <f t="shared" si="231"/>
        <v>#VALUE!</v>
      </c>
      <c r="AF340" t="e">
        <f t="shared" si="232"/>
        <v>#VALUE!</v>
      </c>
      <c r="AG340" t="e">
        <f t="shared" si="233"/>
        <v>#VALUE!</v>
      </c>
      <c r="AH340" t="e">
        <f t="shared" si="234"/>
        <v>#VALUE!</v>
      </c>
      <c r="AI340" t="e">
        <f t="shared" si="235"/>
        <v>#VALUE!</v>
      </c>
      <c r="AJ340" s="19" t="e">
        <f t="shared" si="247"/>
        <v>#VALUE!</v>
      </c>
      <c r="AK340" t="e">
        <f t="shared" si="236"/>
        <v>#VALUE!</v>
      </c>
      <c r="AL340" t="e">
        <f t="shared" si="237"/>
        <v>#VALUE!</v>
      </c>
      <c r="AM340" t="e">
        <f t="shared" si="238"/>
        <v>#VALUE!</v>
      </c>
      <c r="AN340" t="e">
        <f t="shared" si="239"/>
        <v>#VALUE!</v>
      </c>
      <c r="AO340" t="e">
        <f t="shared" si="240"/>
        <v>#VALUE!</v>
      </c>
      <c r="AP340" t="e">
        <f t="shared" si="241"/>
        <v>#VALUE!</v>
      </c>
      <c r="AQ340" t="e">
        <f t="shared" si="242"/>
        <v>#VALUE!</v>
      </c>
      <c r="AR340" s="123" t="e">
        <f t="shared" si="248"/>
        <v>#VALUE!</v>
      </c>
      <c r="AS340" t="e">
        <f t="shared" si="243"/>
        <v>#VALUE!</v>
      </c>
      <c r="AT340" s="181" t="e">
        <f>INDEX('stock fisico '!N:N, MATCH(B340, 'stock fisico '!B:B, 0))</f>
        <v>#N/A</v>
      </c>
      <c r="AU340" s="179" t="e">
        <f>INDEX('stock fisico '!D:D, MATCH(B340, 'stock fisico '!B:B, 0))</f>
        <v>#N/A</v>
      </c>
      <c r="AV340" s="177" t="e">
        <f>INDEX('stock fisico '!L:L, MATCH(B340, 'stock fisico '!B:B, 0))</f>
        <v>#N/A</v>
      </c>
    </row>
    <row r="341" spans="1:48" x14ac:dyDescent="0.25">
      <c r="A341" s="181" t="e">
        <f>INDEX('stock fisico '!M:M, MATCH(B341, 'stock fisico '!B:B, 0))</f>
        <v>#N/A</v>
      </c>
      <c r="C341" s="179" t="e">
        <f>INDEX('stock fisico '!C:C, MATCH(B341, 'stock fisico '!B:B, 0))</f>
        <v>#N/A</v>
      </c>
      <c r="D341" s="178" t="e">
        <f>INDEX('stock fisico '!I:I, MATCH(B341, 'stock fisico '!B:B, 0))</f>
        <v>#N/A</v>
      </c>
      <c r="E341" s="173" t="e">
        <f t="shared" si="249"/>
        <v>#VALUE!</v>
      </c>
      <c r="F341" t="e">
        <f t="shared" si="209"/>
        <v>#VALUE!</v>
      </c>
      <c r="G341" t="e">
        <f t="shared" si="210"/>
        <v>#VALUE!</v>
      </c>
      <c r="H341" t="e">
        <f t="shared" si="211"/>
        <v>#VALUE!</v>
      </c>
      <c r="I341" t="e">
        <f t="shared" si="212"/>
        <v>#VALUE!</v>
      </c>
      <c r="J341" t="e">
        <f t="shared" si="213"/>
        <v>#VALUE!</v>
      </c>
      <c r="K341" t="e">
        <f t="shared" si="214"/>
        <v>#VALUE!</v>
      </c>
      <c r="L341" s="175" t="e">
        <f t="shared" si="244"/>
        <v>#VALUE!</v>
      </c>
      <c r="M341" t="e">
        <f t="shared" si="215"/>
        <v>#VALUE!</v>
      </c>
      <c r="N341" t="e">
        <f t="shared" si="216"/>
        <v>#VALUE!</v>
      </c>
      <c r="O341" t="e">
        <f t="shared" si="217"/>
        <v>#VALUE!</v>
      </c>
      <c r="P341" t="e">
        <f t="shared" si="218"/>
        <v>#VALUE!</v>
      </c>
      <c r="Q341" t="e">
        <f t="shared" si="219"/>
        <v>#VALUE!</v>
      </c>
      <c r="R341" t="e">
        <f t="shared" si="220"/>
        <v>#VALUE!</v>
      </c>
      <c r="S341" t="e">
        <f t="shared" si="221"/>
        <v>#VALUE!</v>
      </c>
      <c r="T341" s="174" t="e">
        <f t="shared" si="245"/>
        <v>#VALUE!</v>
      </c>
      <c r="U341" t="e">
        <f t="shared" si="222"/>
        <v>#VALUE!</v>
      </c>
      <c r="V341" t="e">
        <f t="shared" si="223"/>
        <v>#VALUE!</v>
      </c>
      <c r="W341" t="e">
        <f t="shared" si="224"/>
        <v>#VALUE!</v>
      </c>
      <c r="X341" t="e">
        <f t="shared" si="225"/>
        <v>#VALUE!</v>
      </c>
      <c r="Y341" t="e">
        <f t="shared" si="226"/>
        <v>#VALUE!</v>
      </c>
      <c r="Z341" t="e">
        <f t="shared" si="227"/>
        <v>#VALUE!</v>
      </c>
      <c r="AA341" t="e">
        <f t="shared" si="228"/>
        <v>#VALUE!</v>
      </c>
      <c r="AB341" s="23" t="e">
        <f t="shared" si="246"/>
        <v>#VALUE!</v>
      </c>
      <c r="AC341" t="e">
        <f t="shared" si="229"/>
        <v>#VALUE!</v>
      </c>
      <c r="AD341" t="e">
        <f t="shared" si="230"/>
        <v>#VALUE!</v>
      </c>
      <c r="AE341" t="e">
        <f t="shared" si="231"/>
        <v>#VALUE!</v>
      </c>
      <c r="AF341" t="e">
        <f t="shared" si="232"/>
        <v>#VALUE!</v>
      </c>
      <c r="AG341" t="e">
        <f t="shared" si="233"/>
        <v>#VALUE!</v>
      </c>
      <c r="AH341" t="e">
        <f t="shared" si="234"/>
        <v>#VALUE!</v>
      </c>
      <c r="AI341" t="e">
        <f t="shared" si="235"/>
        <v>#VALUE!</v>
      </c>
      <c r="AJ341" s="19" t="e">
        <f t="shared" si="247"/>
        <v>#VALUE!</v>
      </c>
      <c r="AK341" t="e">
        <f t="shared" si="236"/>
        <v>#VALUE!</v>
      </c>
      <c r="AL341" t="e">
        <f t="shared" si="237"/>
        <v>#VALUE!</v>
      </c>
      <c r="AM341" t="e">
        <f t="shared" si="238"/>
        <v>#VALUE!</v>
      </c>
      <c r="AN341" t="e">
        <f t="shared" si="239"/>
        <v>#VALUE!</v>
      </c>
      <c r="AO341" t="e">
        <f t="shared" si="240"/>
        <v>#VALUE!</v>
      </c>
      <c r="AP341" t="e">
        <f t="shared" si="241"/>
        <v>#VALUE!</v>
      </c>
      <c r="AQ341" t="e">
        <f t="shared" si="242"/>
        <v>#VALUE!</v>
      </c>
      <c r="AR341" s="123" t="e">
        <f t="shared" si="248"/>
        <v>#VALUE!</v>
      </c>
      <c r="AS341" t="e">
        <f t="shared" si="243"/>
        <v>#VALUE!</v>
      </c>
      <c r="AT341" s="181" t="e">
        <f>INDEX('stock fisico '!N:N, MATCH(B341, 'stock fisico '!B:B, 0))</f>
        <v>#N/A</v>
      </c>
      <c r="AU341" s="179" t="e">
        <f>INDEX('stock fisico '!D:D, MATCH(B341, 'stock fisico '!B:B, 0))</f>
        <v>#N/A</v>
      </c>
      <c r="AV341" s="177" t="e">
        <f>INDEX('stock fisico '!L:L, MATCH(B341, 'stock fisico '!B:B, 0))</f>
        <v>#N/A</v>
      </c>
    </row>
    <row r="342" spans="1:48" x14ac:dyDescent="0.25">
      <c r="A342" s="181" t="e">
        <f>INDEX('stock fisico '!M:M, MATCH(B342, 'stock fisico '!B:B, 0))</f>
        <v>#N/A</v>
      </c>
      <c r="C342" s="179" t="e">
        <f>INDEX('stock fisico '!C:C, MATCH(B342, 'stock fisico '!B:B, 0))</f>
        <v>#N/A</v>
      </c>
      <c r="D342" s="178" t="e">
        <f>INDEX('stock fisico '!I:I, MATCH(B342, 'stock fisico '!B:B, 0))</f>
        <v>#N/A</v>
      </c>
      <c r="E342" s="173" t="e">
        <f t="shared" si="249"/>
        <v>#VALUE!</v>
      </c>
      <c r="F342" t="e">
        <f t="shared" si="209"/>
        <v>#VALUE!</v>
      </c>
      <c r="G342" t="e">
        <f t="shared" si="210"/>
        <v>#VALUE!</v>
      </c>
      <c r="H342" t="e">
        <f t="shared" si="211"/>
        <v>#VALUE!</v>
      </c>
      <c r="I342" t="e">
        <f t="shared" si="212"/>
        <v>#VALUE!</v>
      </c>
      <c r="J342" t="e">
        <f t="shared" si="213"/>
        <v>#VALUE!</v>
      </c>
      <c r="K342" t="e">
        <f t="shared" si="214"/>
        <v>#VALUE!</v>
      </c>
      <c r="L342" s="175" t="e">
        <f t="shared" si="244"/>
        <v>#VALUE!</v>
      </c>
      <c r="M342" t="e">
        <f t="shared" si="215"/>
        <v>#VALUE!</v>
      </c>
      <c r="N342" t="e">
        <f t="shared" si="216"/>
        <v>#VALUE!</v>
      </c>
      <c r="O342" t="e">
        <f t="shared" si="217"/>
        <v>#VALUE!</v>
      </c>
      <c r="P342" t="e">
        <f t="shared" si="218"/>
        <v>#VALUE!</v>
      </c>
      <c r="Q342" t="e">
        <f t="shared" si="219"/>
        <v>#VALUE!</v>
      </c>
      <c r="R342" t="e">
        <f t="shared" si="220"/>
        <v>#VALUE!</v>
      </c>
      <c r="S342" t="e">
        <f t="shared" si="221"/>
        <v>#VALUE!</v>
      </c>
      <c r="T342" s="174" t="e">
        <f t="shared" si="245"/>
        <v>#VALUE!</v>
      </c>
      <c r="U342" t="e">
        <f t="shared" si="222"/>
        <v>#VALUE!</v>
      </c>
      <c r="V342" t="e">
        <f t="shared" si="223"/>
        <v>#VALUE!</v>
      </c>
      <c r="W342" t="e">
        <f t="shared" si="224"/>
        <v>#VALUE!</v>
      </c>
      <c r="X342" t="e">
        <f t="shared" si="225"/>
        <v>#VALUE!</v>
      </c>
      <c r="Y342" t="e">
        <f t="shared" si="226"/>
        <v>#VALUE!</v>
      </c>
      <c r="Z342" t="e">
        <f t="shared" si="227"/>
        <v>#VALUE!</v>
      </c>
      <c r="AA342" t="e">
        <f t="shared" si="228"/>
        <v>#VALUE!</v>
      </c>
      <c r="AB342" s="23" t="e">
        <f t="shared" si="246"/>
        <v>#VALUE!</v>
      </c>
      <c r="AC342" t="e">
        <f t="shared" si="229"/>
        <v>#VALUE!</v>
      </c>
      <c r="AD342" t="e">
        <f t="shared" si="230"/>
        <v>#VALUE!</v>
      </c>
      <c r="AE342" t="e">
        <f t="shared" si="231"/>
        <v>#VALUE!</v>
      </c>
      <c r="AF342" t="e">
        <f t="shared" si="232"/>
        <v>#VALUE!</v>
      </c>
      <c r="AG342" t="e">
        <f t="shared" si="233"/>
        <v>#VALUE!</v>
      </c>
      <c r="AH342" t="e">
        <f t="shared" si="234"/>
        <v>#VALUE!</v>
      </c>
      <c r="AI342" t="e">
        <f t="shared" si="235"/>
        <v>#VALUE!</v>
      </c>
      <c r="AJ342" s="19" t="e">
        <f t="shared" si="247"/>
        <v>#VALUE!</v>
      </c>
      <c r="AK342" t="e">
        <f t="shared" si="236"/>
        <v>#VALUE!</v>
      </c>
      <c r="AL342" t="e">
        <f t="shared" si="237"/>
        <v>#VALUE!</v>
      </c>
      <c r="AM342" t="e">
        <f t="shared" si="238"/>
        <v>#VALUE!</v>
      </c>
      <c r="AN342" t="e">
        <f t="shared" si="239"/>
        <v>#VALUE!</v>
      </c>
      <c r="AO342" t="e">
        <f t="shared" si="240"/>
        <v>#VALUE!</v>
      </c>
      <c r="AP342" t="e">
        <f t="shared" si="241"/>
        <v>#VALUE!</v>
      </c>
      <c r="AQ342" t="e">
        <f t="shared" si="242"/>
        <v>#VALUE!</v>
      </c>
      <c r="AR342" s="123" t="e">
        <f t="shared" si="248"/>
        <v>#VALUE!</v>
      </c>
      <c r="AS342" t="e">
        <f t="shared" si="243"/>
        <v>#VALUE!</v>
      </c>
      <c r="AT342" s="181" t="e">
        <f>INDEX('stock fisico '!N:N, MATCH(B342, 'stock fisico '!B:B, 0))</f>
        <v>#N/A</v>
      </c>
      <c r="AU342" s="179" t="e">
        <f>INDEX('stock fisico '!D:D, MATCH(B342, 'stock fisico '!B:B, 0))</f>
        <v>#N/A</v>
      </c>
      <c r="AV342" s="177" t="e">
        <f>INDEX('stock fisico '!L:L, MATCH(B342, 'stock fisico '!B:B, 0))</f>
        <v>#N/A</v>
      </c>
    </row>
    <row r="343" spans="1:48" x14ac:dyDescent="0.25">
      <c r="A343" s="181" t="e">
        <f>INDEX('stock fisico '!M:M, MATCH(B343, 'stock fisico '!B:B, 0))</f>
        <v>#N/A</v>
      </c>
      <c r="C343" s="179" t="e">
        <f>INDEX('stock fisico '!C:C, MATCH(B343, 'stock fisico '!B:B, 0))</f>
        <v>#N/A</v>
      </c>
      <c r="D343" s="178" t="e">
        <f>INDEX('stock fisico '!I:I, MATCH(B343, 'stock fisico '!B:B, 0))</f>
        <v>#N/A</v>
      </c>
      <c r="E343" s="173" t="e">
        <f t="shared" si="249"/>
        <v>#VALUE!</v>
      </c>
      <c r="F343" t="e">
        <f t="shared" si="209"/>
        <v>#VALUE!</v>
      </c>
      <c r="G343" t="e">
        <f t="shared" si="210"/>
        <v>#VALUE!</v>
      </c>
      <c r="H343" t="e">
        <f t="shared" si="211"/>
        <v>#VALUE!</v>
      </c>
      <c r="I343" t="e">
        <f t="shared" si="212"/>
        <v>#VALUE!</v>
      </c>
      <c r="J343" t="e">
        <f t="shared" si="213"/>
        <v>#VALUE!</v>
      </c>
      <c r="K343" t="e">
        <f t="shared" si="214"/>
        <v>#VALUE!</v>
      </c>
      <c r="L343" s="175" t="e">
        <f t="shared" si="244"/>
        <v>#VALUE!</v>
      </c>
      <c r="M343" t="e">
        <f t="shared" si="215"/>
        <v>#VALUE!</v>
      </c>
      <c r="N343" t="e">
        <f t="shared" si="216"/>
        <v>#VALUE!</v>
      </c>
      <c r="O343" t="e">
        <f t="shared" si="217"/>
        <v>#VALUE!</v>
      </c>
      <c r="P343" t="e">
        <f t="shared" si="218"/>
        <v>#VALUE!</v>
      </c>
      <c r="Q343" t="e">
        <f t="shared" si="219"/>
        <v>#VALUE!</v>
      </c>
      <c r="R343" t="e">
        <f t="shared" si="220"/>
        <v>#VALUE!</v>
      </c>
      <c r="S343" t="e">
        <f t="shared" si="221"/>
        <v>#VALUE!</v>
      </c>
      <c r="T343" s="174" t="e">
        <f t="shared" si="245"/>
        <v>#VALUE!</v>
      </c>
      <c r="U343" t="e">
        <f t="shared" si="222"/>
        <v>#VALUE!</v>
      </c>
      <c r="V343" t="e">
        <f t="shared" si="223"/>
        <v>#VALUE!</v>
      </c>
      <c r="W343" t="e">
        <f t="shared" si="224"/>
        <v>#VALUE!</v>
      </c>
      <c r="X343" t="e">
        <f t="shared" si="225"/>
        <v>#VALUE!</v>
      </c>
      <c r="Y343" t="e">
        <f t="shared" si="226"/>
        <v>#VALUE!</v>
      </c>
      <c r="Z343" t="e">
        <f t="shared" si="227"/>
        <v>#VALUE!</v>
      </c>
      <c r="AA343" t="e">
        <f t="shared" si="228"/>
        <v>#VALUE!</v>
      </c>
      <c r="AB343" s="23" t="e">
        <f t="shared" si="246"/>
        <v>#VALUE!</v>
      </c>
      <c r="AC343" t="e">
        <f t="shared" si="229"/>
        <v>#VALUE!</v>
      </c>
      <c r="AD343" t="e">
        <f t="shared" si="230"/>
        <v>#VALUE!</v>
      </c>
      <c r="AE343" t="e">
        <f t="shared" si="231"/>
        <v>#VALUE!</v>
      </c>
      <c r="AF343" t="e">
        <f t="shared" si="232"/>
        <v>#VALUE!</v>
      </c>
      <c r="AG343" t="e">
        <f t="shared" si="233"/>
        <v>#VALUE!</v>
      </c>
      <c r="AH343" t="e">
        <f t="shared" si="234"/>
        <v>#VALUE!</v>
      </c>
      <c r="AI343" t="e">
        <f t="shared" si="235"/>
        <v>#VALUE!</v>
      </c>
      <c r="AJ343" s="19" t="e">
        <f t="shared" si="247"/>
        <v>#VALUE!</v>
      </c>
      <c r="AK343" t="e">
        <f t="shared" si="236"/>
        <v>#VALUE!</v>
      </c>
      <c r="AL343" t="e">
        <f t="shared" si="237"/>
        <v>#VALUE!</v>
      </c>
      <c r="AM343" t="e">
        <f t="shared" si="238"/>
        <v>#VALUE!</v>
      </c>
      <c r="AN343" t="e">
        <f t="shared" si="239"/>
        <v>#VALUE!</v>
      </c>
      <c r="AO343" t="e">
        <f t="shared" si="240"/>
        <v>#VALUE!</v>
      </c>
      <c r="AP343" t="e">
        <f t="shared" si="241"/>
        <v>#VALUE!</v>
      </c>
      <c r="AQ343" t="e">
        <f t="shared" si="242"/>
        <v>#VALUE!</v>
      </c>
      <c r="AR343" s="123" t="e">
        <f t="shared" si="248"/>
        <v>#VALUE!</v>
      </c>
      <c r="AS343" t="e">
        <f t="shared" si="243"/>
        <v>#VALUE!</v>
      </c>
      <c r="AT343" s="181" t="e">
        <f>INDEX('stock fisico '!N:N, MATCH(B343, 'stock fisico '!B:B, 0))</f>
        <v>#N/A</v>
      </c>
      <c r="AU343" s="179" t="e">
        <f>INDEX('stock fisico '!D:D, MATCH(B343, 'stock fisico '!B:B, 0))</f>
        <v>#N/A</v>
      </c>
      <c r="AV343" s="177" t="e">
        <f>INDEX('stock fisico '!L:L, MATCH(B343, 'stock fisico '!B:B, 0))</f>
        <v>#N/A</v>
      </c>
    </row>
    <row r="344" spans="1:48" x14ac:dyDescent="0.25">
      <c r="A344" s="181" t="e">
        <f>INDEX('stock fisico '!M:M, MATCH(B344, 'stock fisico '!B:B, 0))</f>
        <v>#N/A</v>
      </c>
      <c r="C344" s="179" t="e">
        <f>INDEX('stock fisico '!C:C, MATCH(B344, 'stock fisico '!B:B, 0))</f>
        <v>#N/A</v>
      </c>
      <c r="D344" s="178" t="e">
        <f>INDEX('stock fisico '!I:I, MATCH(B344, 'stock fisico '!B:B, 0))</f>
        <v>#N/A</v>
      </c>
      <c r="E344" s="173" t="e">
        <f t="shared" si="249"/>
        <v>#VALUE!</v>
      </c>
      <c r="F344" t="e">
        <f t="shared" si="209"/>
        <v>#VALUE!</v>
      </c>
      <c r="G344" t="e">
        <f t="shared" si="210"/>
        <v>#VALUE!</v>
      </c>
      <c r="H344" t="e">
        <f t="shared" si="211"/>
        <v>#VALUE!</v>
      </c>
      <c r="I344" t="e">
        <f t="shared" si="212"/>
        <v>#VALUE!</v>
      </c>
      <c r="J344" t="e">
        <f t="shared" si="213"/>
        <v>#VALUE!</v>
      </c>
      <c r="K344" t="e">
        <f t="shared" si="214"/>
        <v>#VALUE!</v>
      </c>
      <c r="L344" s="175" t="e">
        <f t="shared" si="244"/>
        <v>#VALUE!</v>
      </c>
      <c r="M344" t="e">
        <f t="shared" si="215"/>
        <v>#VALUE!</v>
      </c>
      <c r="N344" t="e">
        <f t="shared" si="216"/>
        <v>#VALUE!</v>
      </c>
      <c r="O344" t="e">
        <f t="shared" si="217"/>
        <v>#VALUE!</v>
      </c>
      <c r="P344" t="e">
        <f t="shared" si="218"/>
        <v>#VALUE!</v>
      </c>
      <c r="Q344" t="e">
        <f t="shared" si="219"/>
        <v>#VALUE!</v>
      </c>
      <c r="R344" t="e">
        <f t="shared" si="220"/>
        <v>#VALUE!</v>
      </c>
      <c r="S344" t="e">
        <f t="shared" si="221"/>
        <v>#VALUE!</v>
      </c>
      <c r="T344" s="174" t="e">
        <f t="shared" si="245"/>
        <v>#VALUE!</v>
      </c>
      <c r="U344" t="e">
        <f t="shared" si="222"/>
        <v>#VALUE!</v>
      </c>
      <c r="V344" t="e">
        <f t="shared" si="223"/>
        <v>#VALUE!</v>
      </c>
      <c r="W344" t="e">
        <f t="shared" si="224"/>
        <v>#VALUE!</v>
      </c>
      <c r="X344" t="e">
        <f t="shared" si="225"/>
        <v>#VALUE!</v>
      </c>
      <c r="Y344" t="e">
        <f t="shared" si="226"/>
        <v>#VALUE!</v>
      </c>
      <c r="Z344" t="e">
        <f t="shared" si="227"/>
        <v>#VALUE!</v>
      </c>
      <c r="AA344" t="e">
        <f t="shared" si="228"/>
        <v>#VALUE!</v>
      </c>
      <c r="AB344" s="23" t="e">
        <f t="shared" si="246"/>
        <v>#VALUE!</v>
      </c>
      <c r="AC344" t="e">
        <f t="shared" si="229"/>
        <v>#VALUE!</v>
      </c>
      <c r="AD344" t="e">
        <f t="shared" si="230"/>
        <v>#VALUE!</v>
      </c>
      <c r="AE344" t="e">
        <f t="shared" si="231"/>
        <v>#VALUE!</v>
      </c>
      <c r="AF344" t="e">
        <f t="shared" si="232"/>
        <v>#VALUE!</v>
      </c>
      <c r="AG344" t="e">
        <f t="shared" si="233"/>
        <v>#VALUE!</v>
      </c>
      <c r="AH344" t="e">
        <f t="shared" si="234"/>
        <v>#VALUE!</v>
      </c>
      <c r="AI344" t="e">
        <f t="shared" si="235"/>
        <v>#VALUE!</v>
      </c>
      <c r="AJ344" s="19" t="e">
        <f t="shared" si="247"/>
        <v>#VALUE!</v>
      </c>
      <c r="AK344" t="e">
        <f t="shared" si="236"/>
        <v>#VALUE!</v>
      </c>
      <c r="AL344" t="e">
        <f t="shared" si="237"/>
        <v>#VALUE!</v>
      </c>
      <c r="AM344" t="e">
        <f t="shared" si="238"/>
        <v>#VALUE!</v>
      </c>
      <c r="AN344" t="e">
        <f t="shared" si="239"/>
        <v>#VALUE!</v>
      </c>
      <c r="AO344" t="e">
        <f t="shared" si="240"/>
        <v>#VALUE!</v>
      </c>
      <c r="AP344" t="e">
        <f t="shared" si="241"/>
        <v>#VALUE!</v>
      </c>
      <c r="AQ344" t="e">
        <f t="shared" si="242"/>
        <v>#VALUE!</v>
      </c>
      <c r="AR344" s="123" t="e">
        <f t="shared" si="248"/>
        <v>#VALUE!</v>
      </c>
      <c r="AS344" t="e">
        <f t="shared" si="243"/>
        <v>#VALUE!</v>
      </c>
      <c r="AT344" s="181" t="e">
        <f>INDEX('stock fisico '!N:N, MATCH(B344, 'stock fisico '!B:B, 0))</f>
        <v>#N/A</v>
      </c>
      <c r="AU344" s="179" t="e">
        <f>INDEX('stock fisico '!D:D, MATCH(B344, 'stock fisico '!B:B, 0))</f>
        <v>#N/A</v>
      </c>
      <c r="AV344" s="177" t="e">
        <f>INDEX('stock fisico '!L:L, MATCH(B344, 'stock fisico '!B:B, 0))</f>
        <v>#N/A</v>
      </c>
    </row>
    <row r="345" spans="1:48" x14ac:dyDescent="0.25">
      <c r="A345" s="181" t="e">
        <f>INDEX('stock fisico '!M:M, MATCH(B345, 'stock fisico '!B:B, 0))</f>
        <v>#N/A</v>
      </c>
      <c r="C345" s="179" t="e">
        <f>INDEX('stock fisico '!C:C, MATCH(B345, 'stock fisico '!B:B, 0))</f>
        <v>#N/A</v>
      </c>
      <c r="D345" s="178" t="e">
        <f>INDEX('stock fisico '!I:I, MATCH(B345, 'stock fisico '!B:B, 0))</f>
        <v>#N/A</v>
      </c>
      <c r="E345" s="173" t="e">
        <f t="shared" si="249"/>
        <v>#VALUE!</v>
      </c>
      <c r="F345" t="e">
        <f t="shared" si="209"/>
        <v>#VALUE!</v>
      </c>
      <c r="G345" t="e">
        <f t="shared" si="210"/>
        <v>#VALUE!</v>
      </c>
      <c r="H345" t="e">
        <f t="shared" si="211"/>
        <v>#VALUE!</v>
      </c>
      <c r="I345" t="e">
        <f t="shared" si="212"/>
        <v>#VALUE!</v>
      </c>
      <c r="J345" t="e">
        <f t="shared" si="213"/>
        <v>#VALUE!</v>
      </c>
      <c r="K345" t="e">
        <f t="shared" si="214"/>
        <v>#VALUE!</v>
      </c>
      <c r="L345" s="175" t="e">
        <f t="shared" si="244"/>
        <v>#VALUE!</v>
      </c>
      <c r="M345" t="e">
        <f t="shared" si="215"/>
        <v>#VALUE!</v>
      </c>
      <c r="N345" t="e">
        <f t="shared" si="216"/>
        <v>#VALUE!</v>
      </c>
      <c r="O345" t="e">
        <f t="shared" si="217"/>
        <v>#VALUE!</v>
      </c>
      <c r="P345" t="e">
        <f t="shared" si="218"/>
        <v>#VALUE!</v>
      </c>
      <c r="Q345" t="e">
        <f t="shared" si="219"/>
        <v>#VALUE!</v>
      </c>
      <c r="R345" t="e">
        <f t="shared" si="220"/>
        <v>#VALUE!</v>
      </c>
      <c r="S345" t="e">
        <f t="shared" si="221"/>
        <v>#VALUE!</v>
      </c>
      <c r="T345" s="174" t="e">
        <f t="shared" si="245"/>
        <v>#VALUE!</v>
      </c>
      <c r="U345" t="e">
        <f t="shared" si="222"/>
        <v>#VALUE!</v>
      </c>
      <c r="V345" t="e">
        <f t="shared" si="223"/>
        <v>#VALUE!</v>
      </c>
      <c r="W345" t="e">
        <f t="shared" si="224"/>
        <v>#VALUE!</v>
      </c>
      <c r="X345" t="e">
        <f t="shared" si="225"/>
        <v>#VALUE!</v>
      </c>
      <c r="Y345" t="e">
        <f t="shared" si="226"/>
        <v>#VALUE!</v>
      </c>
      <c r="Z345" t="e">
        <f t="shared" si="227"/>
        <v>#VALUE!</v>
      </c>
      <c r="AA345" t="e">
        <f t="shared" si="228"/>
        <v>#VALUE!</v>
      </c>
      <c r="AB345" s="23" t="e">
        <f t="shared" si="246"/>
        <v>#VALUE!</v>
      </c>
      <c r="AC345" t="e">
        <f t="shared" si="229"/>
        <v>#VALUE!</v>
      </c>
      <c r="AD345" t="e">
        <f t="shared" si="230"/>
        <v>#VALUE!</v>
      </c>
      <c r="AE345" t="e">
        <f t="shared" si="231"/>
        <v>#VALUE!</v>
      </c>
      <c r="AF345" t="e">
        <f t="shared" si="232"/>
        <v>#VALUE!</v>
      </c>
      <c r="AG345" t="e">
        <f t="shared" si="233"/>
        <v>#VALUE!</v>
      </c>
      <c r="AH345" t="e">
        <f t="shared" si="234"/>
        <v>#VALUE!</v>
      </c>
      <c r="AI345" t="e">
        <f t="shared" si="235"/>
        <v>#VALUE!</v>
      </c>
      <c r="AJ345" s="19" t="e">
        <f t="shared" si="247"/>
        <v>#VALUE!</v>
      </c>
      <c r="AK345" t="e">
        <f t="shared" si="236"/>
        <v>#VALUE!</v>
      </c>
      <c r="AL345" t="e">
        <f t="shared" si="237"/>
        <v>#VALUE!</v>
      </c>
      <c r="AM345" t="e">
        <f t="shared" si="238"/>
        <v>#VALUE!</v>
      </c>
      <c r="AN345" t="e">
        <f t="shared" si="239"/>
        <v>#VALUE!</v>
      </c>
      <c r="AO345" t="e">
        <f t="shared" si="240"/>
        <v>#VALUE!</v>
      </c>
      <c r="AP345" t="e">
        <f t="shared" si="241"/>
        <v>#VALUE!</v>
      </c>
      <c r="AQ345" t="e">
        <f t="shared" si="242"/>
        <v>#VALUE!</v>
      </c>
      <c r="AR345" s="123" t="e">
        <f t="shared" si="248"/>
        <v>#VALUE!</v>
      </c>
      <c r="AS345" t="e">
        <f t="shared" si="243"/>
        <v>#VALUE!</v>
      </c>
      <c r="AT345" s="181" t="e">
        <f>INDEX('stock fisico '!N:N, MATCH(B345, 'stock fisico '!B:B, 0))</f>
        <v>#N/A</v>
      </c>
      <c r="AU345" s="179" t="e">
        <f>INDEX('stock fisico '!D:D, MATCH(B345, 'stock fisico '!B:B, 0))</f>
        <v>#N/A</v>
      </c>
      <c r="AV345" s="177" t="e">
        <f>INDEX('stock fisico '!L:L, MATCH(B345, 'stock fisico '!B:B, 0))</f>
        <v>#N/A</v>
      </c>
    </row>
    <row r="346" spans="1:48" x14ac:dyDescent="0.25">
      <c r="A346" s="181" t="e">
        <f>INDEX('stock fisico '!M:M, MATCH(B346, 'stock fisico '!B:B, 0))</f>
        <v>#N/A</v>
      </c>
      <c r="C346" s="179" t="e">
        <f>INDEX('stock fisico '!C:C, MATCH(B346, 'stock fisico '!B:B, 0))</f>
        <v>#N/A</v>
      </c>
      <c r="D346" s="178" t="e">
        <f>INDEX('stock fisico '!I:I, MATCH(B346, 'stock fisico '!B:B, 0))</f>
        <v>#N/A</v>
      </c>
      <c r="E346" s="173" t="e">
        <f t="shared" si="249"/>
        <v>#VALUE!</v>
      </c>
      <c r="F346" t="e">
        <f t="shared" si="209"/>
        <v>#VALUE!</v>
      </c>
      <c r="G346" t="e">
        <f t="shared" si="210"/>
        <v>#VALUE!</v>
      </c>
      <c r="H346" t="e">
        <f t="shared" si="211"/>
        <v>#VALUE!</v>
      </c>
      <c r="I346" t="e">
        <f t="shared" si="212"/>
        <v>#VALUE!</v>
      </c>
      <c r="J346" t="e">
        <f t="shared" si="213"/>
        <v>#VALUE!</v>
      </c>
      <c r="K346" t="e">
        <f t="shared" si="214"/>
        <v>#VALUE!</v>
      </c>
      <c r="L346" s="175" t="e">
        <f t="shared" si="244"/>
        <v>#VALUE!</v>
      </c>
      <c r="M346" t="e">
        <f t="shared" si="215"/>
        <v>#VALUE!</v>
      </c>
      <c r="N346" t="e">
        <f t="shared" si="216"/>
        <v>#VALUE!</v>
      </c>
      <c r="O346" t="e">
        <f t="shared" si="217"/>
        <v>#VALUE!</v>
      </c>
      <c r="P346" t="e">
        <f t="shared" si="218"/>
        <v>#VALUE!</v>
      </c>
      <c r="Q346" t="e">
        <f t="shared" si="219"/>
        <v>#VALUE!</v>
      </c>
      <c r="R346" t="e">
        <f t="shared" si="220"/>
        <v>#VALUE!</v>
      </c>
      <c r="S346" t="e">
        <f t="shared" si="221"/>
        <v>#VALUE!</v>
      </c>
      <c r="T346" s="174" t="e">
        <f t="shared" si="245"/>
        <v>#VALUE!</v>
      </c>
      <c r="U346" t="e">
        <f t="shared" si="222"/>
        <v>#VALUE!</v>
      </c>
      <c r="V346" t="e">
        <f t="shared" si="223"/>
        <v>#VALUE!</v>
      </c>
      <c r="W346" t="e">
        <f t="shared" si="224"/>
        <v>#VALUE!</v>
      </c>
      <c r="X346" t="e">
        <f t="shared" si="225"/>
        <v>#VALUE!</v>
      </c>
      <c r="Y346" t="e">
        <f t="shared" si="226"/>
        <v>#VALUE!</v>
      </c>
      <c r="Z346" t="e">
        <f t="shared" si="227"/>
        <v>#VALUE!</v>
      </c>
      <c r="AA346" t="e">
        <f t="shared" si="228"/>
        <v>#VALUE!</v>
      </c>
      <c r="AB346" s="23" t="e">
        <f t="shared" si="246"/>
        <v>#VALUE!</v>
      </c>
      <c r="AC346" t="e">
        <f t="shared" si="229"/>
        <v>#VALUE!</v>
      </c>
      <c r="AD346" t="e">
        <f t="shared" si="230"/>
        <v>#VALUE!</v>
      </c>
      <c r="AE346" t="e">
        <f t="shared" si="231"/>
        <v>#VALUE!</v>
      </c>
      <c r="AF346" t="e">
        <f t="shared" si="232"/>
        <v>#VALUE!</v>
      </c>
      <c r="AG346" t="e">
        <f t="shared" si="233"/>
        <v>#VALUE!</v>
      </c>
      <c r="AH346" t="e">
        <f t="shared" si="234"/>
        <v>#VALUE!</v>
      </c>
      <c r="AI346" t="e">
        <f t="shared" si="235"/>
        <v>#VALUE!</v>
      </c>
      <c r="AJ346" s="19" t="e">
        <f t="shared" si="247"/>
        <v>#VALUE!</v>
      </c>
      <c r="AK346" t="e">
        <f t="shared" si="236"/>
        <v>#VALUE!</v>
      </c>
      <c r="AL346" t="e">
        <f t="shared" si="237"/>
        <v>#VALUE!</v>
      </c>
      <c r="AM346" t="e">
        <f t="shared" si="238"/>
        <v>#VALUE!</v>
      </c>
      <c r="AN346" t="e">
        <f t="shared" si="239"/>
        <v>#VALUE!</v>
      </c>
      <c r="AO346" t="e">
        <f t="shared" si="240"/>
        <v>#VALUE!</v>
      </c>
      <c r="AP346" t="e">
        <f t="shared" si="241"/>
        <v>#VALUE!</v>
      </c>
      <c r="AQ346" t="e">
        <f t="shared" si="242"/>
        <v>#VALUE!</v>
      </c>
      <c r="AR346" s="123" t="e">
        <f t="shared" si="248"/>
        <v>#VALUE!</v>
      </c>
      <c r="AS346" t="e">
        <f t="shared" si="243"/>
        <v>#VALUE!</v>
      </c>
      <c r="AT346" s="181" t="e">
        <f>INDEX('stock fisico '!N:N, MATCH(B346, 'stock fisico '!B:B, 0))</f>
        <v>#N/A</v>
      </c>
      <c r="AU346" s="179" t="e">
        <f>INDEX('stock fisico '!D:D, MATCH(B346, 'stock fisico '!B:B, 0))</f>
        <v>#N/A</v>
      </c>
      <c r="AV346" s="177" t="e">
        <f>INDEX('stock fisico '!L:L, MATCH(B346, 'stock fisico '!B:B, 0))</f>
        <v>#N/A</v>
      </c>
    </row>
    <row r="347" spans="1:48" x14ac:dyDescent="0.25">
      <c r="A347" s="181" t="e">
        <f>INDEX('stock fisico '!M:M, MATCH(B347, 'stock fisico '!B:B, 0))</f>
        <v>#N/A</v>
      </c>
      <c r="C347" s="179" t="e">
        <f>INDEX('stock fisico '!C:C, MATCH(B347, 'stock fisico '!B:B, 0))</f>
        <v>#N/A</v>
      </c>
      <c r="D347" s="178" t="e">
        <f>INDEX('stock fisico '!I:I, MATCH(B347, 'stock fisico '!B:B, 0))</f>
        <v>#N/A</v>
      </c>
      <c r="E347" s="173" t="e">
        <f t="shared" si="249"/>
        <v>#VALUE!</v>
      </c>
      <c r="F347" t="e">
        <f t="shared" si="209"/>
        <v>#VALUE!</v>
      </c>
      <c r="G347" t="e">
        <f t="shared" si="210"/>
        <v>#VALUE!</v>
      </c>
      <c r="H347" t="e">
        <f t="shared" si="211"/>
        <v>#VALUE!</v>
      </c>
      <c r="I347" t="e">
        <f t="shared" si="212"/>
        <v>#VALUE!</v>
      </c>
      <c r="J347" t="e">
        <f t="shared" si="213"/>
        <v>#VALUE!</v>
      </c>
      <c r="K347" t="e">
        <f t="shared" si="214"/>
        <v>#VALUE!</v>
      </c>
      <c r="L347" s="175" t="e">
        <f t="shared" si="244"/>
        <v>#VALUE!</v>
      </c>
      <c r="M347" t="e">
        <f t="shared" si="215"/>
        <v>#VALUE!</v>
      </c>
      <c r="N347" t="e">
        <f t="shared" si="216"/>
        <v>#VALUE!</v>
      </c>
      <c r="O347" t="e">
        <f t="shared" si="217"/>
        <v>#VALUE!</v>
      </c>
      <c r="P347" t="e">
        <f t="shared" si="218"/>
        <v>#VALUE!</v>
      </c>
      <c r="Q347" t="e">
        <f t="shared" si="219"/>
        <v>#VALUE!</v>
      </c>
      <c r="R347" t="e">
        <f t="shared" si="220"/>
        <v>#VALUE!</v>
      </c>
      <c r="S347" t="e">
        <f t="shared" si="221"/>
        <v>#VALUE!</v>
      </c>
      <c r="T347" s="174" t="e">
        <f t="shared" si="245"/>
        <v>#VALUE!</v>
      </c>
      <c r="U347" t="e">
        <f t="shared" si="222"/>
        <v>#VALUE!</v>
      </c>
      <c r="V347" t="e">
        <f t="shared" si="223"/>
        <v>#VALUE!</v>
      </c>
      <c r="W347" t="e">
        <f t="shared" si="224"/>
        <v>#VALUE!</v>
      </c>
      <c r="X347" t="e">
        <f t="shared" si="225"/>
        <v>#VALUE!</v>
      </c>
      <c r="Y347" t="e">
        <f t="shared" si="226"/>
        <v>#VALUE!</v>
      </c>
      <c r="Z347" t="e">
        <f t="shared" si="227"/>
        <v>#VALUE!</v>
      </c>
      <c r="AA347" t="e">
        <f t="shared" si="228"/>
        <v>#VALUE!</v>
      </c>
      <c r="AB347" s="23" t="e">
        <f t="shared" si="246"/>
        <v>#VALUE!</v>
      </c>
      <c r="AC347" t="e">
        <f t="shared" si="229"/>
        <v>#VALUE!</v>
      </c>
      <c r="AD347" t="e">
        <f t="shared" si="230"/>
        <v>#VALUE!</v>
      </c>
      <c r="AE347" t="e">
        <f t="shared" si="231"/>
        <v>#VALUE!</v>
      </c>
      <c r="AF347" t="e">
        <f t="shared" si="232"/>
        <v>#VALUE!</v>
      </c>
      <c r="AG347" t="e">
        <f t="shared" si="233"/>
        <v>#VALUE!</v>
      </c>
      <c r="AH347" t="e">
        <f t="shared" si="234"/>
        <v>#VALUE!</v>
      </c>
      <c r="AI347" t="e">
        <f t="shared" si="235"/>
        <v>#VALUE!</v>
      </c>
      <c r="AJ347" s="19" t="e">
        <f t="shared" si="247"/>
        <v>#VALUE!</v>
      </c>
      <c r="AK347" t="e">
        <f t="shared" si="236"/>
        <v>#VALUE!</v>
      </c>
      <c r="AL347" t="e">
        <f t="shared" si="237"/>
        <v>#VALUE!</v>
      </c>
      <c r="AM347" t="e">
        <f t="shared" si="238"/>
        <v>#VALUE!</v>
      </c>
      <c r="AN347" t="e">
        <f t="shared" si="239"/>
        <v>#VALUE!</v>
      </c>
      <c r="AO347" t="e">
        <f t="shared" si="240"/>
        <v>#VALUE!</v>
      </c>
      <c r="AP347" t="e">
        <f t="shared" si="241"/>
        <v>#VALUE!</v>
      </c>
      <c r="AQ347" t="e">
        <f t="shared" si="242"/>
        <v>#VALUE!</v>
      </c>
      <c r="AR347" s="123" t="e">
        <f t="shared" si="248"/>
        <v>#VALUE!</v>
      </c>
      <c r="AS347" t="e">
        <f t="shared" si="243"/>
        <v>#VALUE!</v>
      </c>
      <c r="AT347" s="181" t="e">
        <f>INDEX('stock fisico '!N:N, MATCH(B347, 'stock fisico '!B:B, 0))</f>
        <v>#N/A</v>
      </c>
      <c r="AU347" s="179" t="e">
        <f>INDEX('stock fisico '!D:D, MATCH(B347, 'stock fisico '!B:B, 0))</f>
        <v>#N/A</v>
      </c>
      <c r="AV347" s="177" t="e">
        <f>INDEX('stock fisico '!L:L, MATCH(B347, 'stock fisico '!B:B, 0))</f>
        <v>#N/A</v>
      </c>
    </row>
    <row r="348" spans="1:48" x14ac:dyDescent="0.25">
      <c r="A348" s="181" t="e">
        <f>INDEX('stock fisico '!M:M, MATCH(B348, 'stock fisico '!B:B, 0))</f>
        <v>#N/A</v>
      </c>
      <c r="C348" s="179" t="e">
        <f>INDEX('stock fisico '!C:C, MATCH(B348, 'stock fisico '!B:B, 0))</f>
        <v>#N/A</v>
      </c>
      <c r="D348" s="178" t="e">
        <f>INDEX('stock fisico '!I:I, MATCH(B348, 'stock fisico '!B:B, 0))</f>
        <v>#N/A</v>
      </c>
      <c r="E348" s="173" t="e">
        <f t="shared" si="249"/>
        <v>#VALUE!</v>
      </c>
      <c r="F348" t="e">
        <f t="shared" si="209"/>
        <v>#VALUE!</v>
      </c>
      <c r="G348" t="e">
        <f t="shared" si="210"/>
        <v>#VALUE!</v>
      </c>
      <c r="H348" t="e">
        <f t="shared" si="211"/>
        <v>#VALUE!</v>
      </c>
      <c r="I348" t="e">
        <f t="shared" si="212"/>
        <v>#VALUE!</v>
      </c>
      <c r="J348" t="e">
        <f t="shared" si="213"/>
        <v>#VALUE!</v>
      </c>
      <c r="K348" t="e">
        <f t="shared" si="214"/>
        <v>#VALUE!</v>
      </c>
      <c r="L348" s="175" t="e">
        <f t="shared" si="244"/>
        <v>#VALUE!</v>
      </c>
      <c r="M348" t="e">
        <f t="shared" si="215"/>
        <v>#VALUE!</v>
      </c>
      <c r="N348" t="e">
        <f t="shared" si="216"/>
        <v>#VALUE!</v>
      </c>
      <c r="O348" t="e">
        <f t="shared" si="217"/>
        <v>#VALUE!</v>
      </c>
      <c r="P348" t="e">
        <f t="shared" si="218"/>
        <v>#VALUE!</v>
      </c>
      <c r="Q348" t="e">
        <f t="shared" si="219"/>
        <v>#VALUE!</v>
      </c>
      <c r="R348" t="e">
        <f t="shared" si="220"/>
        <v>#VALUE!</v>
      </c>
      <c r="S348" t="e">
        <f t="shared" si="221"/>
        <v>#VALUE!</v>
      </c>
      <c r="T348" s="174" t="e">
        <f t="shared" si="245"/>
        <v>#VALUE!</v>
      </c>
      <c r="U348" t="e">
        <f t="shared" si="222"/>
        <v>#VALUE!</v>
      </c>
      <c r="V348" t="e">
        <f t="shared" si="223"/>
        <v>#VALUE!</v>
      </c>
      <c r="W348" t="e">
        <f t="shared" si="224"/>
        <v>#VALUE!</v>
      </c>
      <c r="X348" t="e">
        <f t="shared" si="225"/>
        <v>#VALUE!</v>
      </c>
      <c r="Y348" t="e">
        <f t="shared" si="226"/>
        <v>#VALUE!</v>
      </c>
      <c r="Z348" t="e">
        <f t="shared" si="227"/>
        <v>#VALUE!</v>
      </c>
      <c r="AA348" t="e">
        <f t="shared" si="228"/>
        <v>#VALUE!</v>
      </c>
      <c r="AB348" s="23" t="e">
        <f t="shared" si="246"/>
        <v>#VALUE!</v>
      </c>
      <c r="AC348" t="e">
        <f t="shared" si="229"/>
        <v>#VALUE!</v>
      </c>
      <c r="AD348" t="e">
        <f t="shared" si="230"/>
        <v>#VALUE!</v>
      </c>
      <c r="AE348" t="e">
        <f t="shared" si="231"/>
        <v>#VALUE!</v>
      </c>
      <c r="AF348" t="e">
        <f t="shared" si="232"/>
        <v>#VALUE!</v>
      </c>
      <c r="AG348" t="e">
        <f t="shared" si="233"/>
        <v>#VALUE!</v>
      </c>
      <c r="AH348" t="e">
        <f t="shared" si="234"/>
        <v>#VALUE!</v>
      </c>
      <c r="AI348" t="e">
        <f t="shared" si="235"/>
        <v>#VALUE!</v>
      </c>
      <c r="AJ348" s="19" t="e">
        <f t="shared" si="247"/>
        <v>#VALUE!</v>
      </c>
      <c r="AK348" t="e">
        <f t="shared" si="236"/>
        <v>#VALUE!</v>
      </c>
      <c r="AL348" t="e">
        <f t="shared" si="237"/>
        <v>#VALUE!</v>
      </c>
      <c r="AM348" t="e">
        <f t="shared" si="238"/>
        <v>#VALUE!</v>
      </c>
      <c r="AN348" t="e">
        <f t="shared" si="239"/>
        <v>#VALUE!</v>
      </c>
      <c r="AO348" t="e">
        <f t="shared" si="240"/>
        <v>#VALUE!</v>
      </c>
      <c r="AP348" t="e">
        <f t="shared" si="241"/>
        <v>#VALUE!</v>
      </c>
      <c r="AQ348" t="e">
        <f t="shared" si="242"/>
        <v>#VALUE!</v>
      </c>
      <c r="AR348" s="123" t="e">
        <f t="shared" si="248"/>
        <v>#VALUE!</v>
      </c>
      <c r="AS348" t="e">
        <f t="shared" si="243"/>
        <v>#VALUE!</v>
      </c>
      <c r="AT348" s="181" t="e">
        <f>INDEX('stock fisico '!N:N, MATCH(B348, 'stock fisico '!B:B, 0))</f>
        <v>#N/A</v>
      </c>
      <c r="AU348" s="179" t="e">
        <f>INDEX('stock fisico '!D:D, MATCH(B348, 'stock fisico '!B:B, 0))</f>
        <v>#N/A</v>
      </c>
      <c r="AV348" s="177" t="e">
        <f>INDEX('stock fisico '!L:L, MATCH(B348, 'stock fisico '!B:B, 0))</f>
        <v>#N/A</v>
      </c>
    </row>
    <row r="349" spans="1:48" x14ac:dyDescent="0.25">
      <c r="A349" s="181" t="e">
        <f>INDEX('stock fisico '!M:M, MATCH(B349, 'stock fisico '!B:B, 0))</f>
        <v>#N/A</v>
      </c>
      <c r="C349" s="179" t="e">
        <f>INDEX('stock fisico '!C:C, MATCH(B349, 'stock fisico '!B:B, 0))</f>
        <v>#N/A</v>
      </c>
      <c r="D349" s="178" t="e">
        <f>INDEX('stock fisico '!I:I, MATCH(B349, 'stock fisico '!B:B, 0))</f>
        <v>#N/A</v>
      </c>
      <c r="E349" s="173" t="e">
        <f t="shared" si="249"/>
        <v>#VALUE!</v>
      </c>
      <c r="F349" t="e">
        <f t="shared" si="209"/>
        <v>#VALUE!</v>
      </c>
      <c r="G349" t="e">
        <f t="shared" si="210"/>
        <v>#VALUE!</v>
      </c>
      <c r="H349" t="e">
        <f t="shared" si="211"/>
        <v>#VALUE!</v>
      </c>
      <c r="I349" t="e">
        <f t="shared" si="212"/>
        <v>#VALUE!</v>
      </c>
      <c r="J349" t="e">
        <f t="shared" si="213"/>
        <v>#VALUE!</v>
      </c>
      <c r="K349" t="e">
        <f t="shared" si="214"/>
        <v>#VALUE!</v>
      </c>
      <c r="L349" s="175" t="e">
        <f t="shared" si="244"/>
        <v>#VALUE!</v>
      </c>
      <c r="M349" t="e">
        <f t="shared" si="215"/>
        <v>#VALUE!</v>
      </c>
      <c r="N349" t="e">
        <f t="shared" si="216"/>
        <v>#VALUE!</v>
      </c>
      <c r="O349" t="e">
        <f t="shared" si="217"/>
        <v>#VALUE!</v>
      </c>
      <c r="P349" t="e">
        <f t="shared" si="218"/>
        <v>#VALUE!</v>
      </c>
      <c r="Q349" t="e">
        <f t="shared" si="219"/>
        <v>#VALUE!</v>
      </c>
      <c r="R349" t="e">
        <f t="shared" si="220"/>
        <v>#VALUE!</v>
      </c>
      <c r="S349" t="e">
        <f t="shared" si="221"/>
        <v>#VALUE!</v>
      </c>
      <c r="T349" s="174" t="e">
        <f t="shared" si="245"/>
        <v>#VALUE!</v>
      </c>
      <c r="U349" t="e">
        <f t="shared" si="222"/>
        <v>#VALUE!</v>
      </c>
      <c r="V349" t="e">
        <f t="shared" si="223"/>
        <v>#VALUE!</v>
      </c>
      <c r="W349" t="e">
        <f t="shared" si="224"/>
        <v>#VALUE!</v>
      </c>
      <c r="X349" t="e">
        <f t="shared" si="225"/>
        <v>#VALUE!</v>
      </c>
      <c r="Y349" t="e">
        <f t="shared" si="226"/>
        <v>#VALUE!</v>
      </c>
      <c r="Z349" t="e">
        <f t="shared" si="227"/>
        <v>#VALUE!</v>
      </c>
      <c r="AA349" t="e">
        <f t="shared" si="228"/>
        <v>#VALUE!</v>
      </c>
      <c r="AB349" s="23" t="e">
        <f t="shared" si="246"/>
        <v>#VALUE!</v>
      </c>
      <c r="AC349" t="e">
        <f t="shared" si="229"/>
        <v>#VALUE!</v>
      </c>
      <c r="AD349" t="e">
        <f t="shared" si="230"/>
        <v>#VALUE!</v>
      </c>
      <c r="AE349" t="e">
        <f t="shared" si="231"/>
        <v>#VALUE!</v>
      </c>
      <c r="AF349" t="e">
        <f t="shared" si="232"/>
        <v>#VALUE!</v>
      </c>
      <c r="AG349" t="e">
        <f t="shared" si="233"/>
        <v>#VALUE!</v>
      </c>
      <c r="AH349" t="e">
        <f t="shared" si="234"/>
        <v>#VALUE!</v>
      </c>
      <c r="AI349" t="e">
        <f t="shared" si="235"/>
        <v>#VALUE!</v>
      </c>
      <c r="AJ349" s="19" t="e">
        <f t="shared" si="247"/>
        <v>#VALUE!</v>
      </c>
      <c r="AK349" t="e">
        <f t="shared" si="236"/>
        <v>#VALUE!</v>
      </c>
      <c r="AL349" t="e">
        <f t="shared" si="237"/>
        <v>#VALUE!</v>
      </c>
      <c r="AM349" t="e">
        <f t="shared" si="238"/>
        <v>#VALUE!</v>
      </c>
      <c r="AN349" t="e">
        <f t="shared" si="239"/>
        <v>#VALUE!</v>
      </c>
      <c r="AO349" t="e">
        <f t="shared" si="240"/>
        <v>#VALUE!</v>
      </c>
      <c r="AP349" t="e">
        <f t="shared" si="241"/>
        <v>#VALUE!</v>
      </c>
      <c r="AQ349" t="e">
        <f t="shared" si="242"/>
        <v>#VALUE!</v>
      </c>
      <c r="AR349" s="123" t="e">
        <f t="shared" si="248"/>
        <v>#VALUE!</v>
      </c>
      <c r="AS349" t="e">
        <f t="shared" si="243"/>
        <v>#VALUE!</v>
      </c>
      <c r="AT349" s="181" t="e">
        <f>INDEX('stock fisico '!N:N, MATCH(B349, 'stock fisico '!B:B, 0))</f>
        <v>#N/A</v>
      </c>
      <c r="AU349" s="179" t="e">
        <f>INDEX('stock fisico '!D:D, MATCH(B349, 'stock fisico '!B:B, 0))</f>
        <v>#N/A</v>
      </c>
      <c r="AV349" s="177" t="e">
        <f>INDEX('stock fisico '!L:L, MATCH(B349, 'stock fisico '!B:B, 0))</f>
        <v>#N/A</v>
      </c>
    </row>
    <row r="350" spans="1:48" x14ac:dyDescent="0.25">
      <c r="A350" s="181" t="e">
        <f>INDEX('stock fisico '!M:M, MATCH(B350, 'stock fisico '!B:B, 0))</f>
        <v>#N/A</v>
      </c>
      <c r="C350" s="179" t="e">
        <f>INDEX('stock fisico '!C:C, MATCH(B350, 'stock fisico '!B:B, 0))</f>
        <v>#N/A</v>
      </c>
      <c r="D350" s="178" t="e">
        <f>INDEX('stock fisico '!I:I, MATCH(B350, 'stock fisico '!B:B, 0))</f>
        <v>#N/A</v>
      </c>
      <c r="E350" s="173" t="e">
        <f t="shared" si="249"/>
        <v>#VALUE!</v>
      </c>
      <c r="F350" t="e">
        <f t="shared" si="209"/>
        <v>#VALUE!</v>
      </c>
      <c r="G350" t="e">
        <f t="shared" si="210"/>
        <v>#VALUE!</v>
      </c>
      <c r="H350" t="e">
        <f t="shared" si="211"/>
        <v>#VALUE!</v>
      </c>
      <c r="I350" t="e">
        <f t="shared" si="212"/>
        <v>#VALUE!</v>
      </c>
      <c r="J350" t="e">
        <f t="shared" si="213"/>
        <v>#VALUE!</v>
      </c>
      <c r="K350" t="e">
        <f t="shared" si="214"/>
        <v>#VALUE!</v>
      </c>
      <c r="L350" s="175" t="e">
        <f t="shared" si="244"/>
        <v>#VALUE!</v>
      </c>
      <c r="M350" t="e">
        <f t="shared" si="215"/>
        <v>#VALUE!</v>
      </c>
      <c r="N350" t="e">
        <f t="shared" si="216"/>
        <v>#VALUE!</v>
      </c>
      <c r="O350" t="e">
        <f t="shared" si="217"/>
        <v>#VALUE!</v>
      </c>
      <c r="P350" t="e">
        <f t="shared" si="218"/>
        <v>#VALUE!</v>
      </c>
      <c r="Q350" t="e">
        <f t="shared" si="219"/>
        <v>#VALUE!</v>
      </c>
      <c r="R350" t="e">
        <f t="shared" si="220"/>
        <v>#VALUE!</v>
      </c>
      <c r="S350" t="e">
        <f t="shared" si="221"/>
        <v>#VALUE!</v>
      </c>
      <c r="T350" s="174" t="e">
        <f t="shared" si="245"/>
        <v>#VALUE!</v>
      </c>
      <c r="U350" t="e">
        <f t="shared" si="222"/>
        <v>#VALUE!</v>
      </c>
      <c r="V350" t="e">
        <f t="shared" si="223"/>
        <v>#VALUE!</v>
      </c>
      <c r="W350" t="e">
        <f t="shared" si="224"/>
        <v>#VALUE!</v>
      </c>
      <c r="X350" t="e">
        <f t="shared" si="225"/>
        <v>#VALUE!</v>
      </c>
      <c r="Y350" t="e">
        <f t="shared" si="226"/>
        <v>#VALUE!</v>
      </c>
      <c r="Z350" t="e">
        <f t="shared" si="227"/>
        <v>#VALUE!</v>
      </c>
      <c r="AA350" t="e">
        <f t="shared" si="228"/>
        <v>#VALUE!</v>
      </c>
      <c r="AB350" s="23" t="e">
        <f t="shared" si="246"/>
        <v>#VALUE!</v>
      </c>
      <c r="AC350" t="e">
        <f t="shared" si="229"/>
        <v>#VALUE!</v>
      </c>
      <c r="AD350" t="e">
        <f t="shared" si="230"/>
        <v>#VALUE!</v>
      </c>
      <c r="AE350" t="e">
        <f t="shared" si="231"/>
        <v>#VALUE!</v>
      </c>
      <c r="AF350" t="e">
        <f t="shared" si="232"/>
        <v>#VALUE!</v>
      </c>
      <c r="AG350" t="e">
        <f t="shared" si="233"/>
        <v>#VALUE!</v>
      </c>
      <c r="AH350" t="e">
        <f t="shared" si="234"/>
        <v>#VALUE!</v>
      </c>
      <c r="AI350" t="e">
        <f t="shared" si="235"/>
        <v>#VALUE!</v>
      </c>
      <c r="AJ350" s="19" t="e">
        <f t="shared" si="247"/>
        <v>#VALUE!</v>
      </c>
      <c r="AK350" t="e">
        <f t="shared" si="236"/>
        <v>#VALUE!</v>
      </c>
      <c r="AL350" t="e">
        <f t="shared" si="237"/>
        <v>#VALUE!</v>
      </c>
      <c r="AM350" t="e">
        <f t="shared" si="238"/>
        <v>#VALUE!</v>
      </c>
      <c r="AN350" t="e">
        <f t="shared" si="239"/>
        <v>#VALUE!</v>
      </c>
      <c r="AO350" t="e">
        <f t="shared" si="240"/>
        <v>#VALUE!</v>
      </c>
      <c r="AP350" t="e">
        <f t="shared" si="241"/>
        <v>#VALUE!</v>
      </c>
      <c r="AQ350" t="e">
        <f t="shared" si="242"/>
        <v>#VALUE!</v>
      </c>
      <c r="AR350" s="123" t="e">
        <f t="shared" si="248"/>
        <v>#VALUE!</v>
      </c>
      <c r="AS350" t="e">
        <f t="shared" si="243"/>
        <v>#VALUE!</v>
      </c>
      <c r="AT350" s="181" t="e">
        <f>INDEX('stock fisico '!N:N, MATCH(B350, 'stock fisico '!B:B, 0))</f>
        <v>#N/A</v>
      </c>
      <c r="AU350" s="179" t="e">
        <f>INDEX('stock fisico '!D:D, MATCH(B350, 'stock fisico '!B:B, 0))</f>
        <v>#N/A</v>
      </c>
      <c r="AV350" s="177" t="e">
        <f>INDEX('stock fisico '!L:L, MATCH(B350, 'stock fisico '!B:B, 0))</f>
        <v>#N/A</v>
      </c>
    </row>
    <row r="351" spans="1:48" x14ac:dyDescent="0.25">
      <c r="A351" s="181" t="e">
        <f>INDEX('stock fisico '!M:M, MATCH(B351, 'stock fisico '!B:B, 0))</f>
        <v>#N/A</v>
      </c>
      <c r="C351" s="179" t="e">
        <f>INDEX('stock fisico '!C:C, MATCH(B351, 'stock fisico '!B:B, 0))</f>
        <v>#N/A</v>
      </c>
      <c r="D351" s="178" t="e">
        <f>INDEX('stock fisico '!I:I, MATCH(B351, 'stock fisico '!B:B, 0))</f>
        <v>#N/A</v>
      </c>
      <c r="E351" s="173" t="e">
        <f t="shared" si="249"/>
        <v>#VALUE!</v>
      </c>
      <c r="F351" t="e">
        <f t="shared" si="209"/>
        <v>#VALUE!</v>
      </c>
      <c r="G351" t="e">
        <f t="shared" si="210"/>
        <v>#VALUE!</v>
      </c>
      <c r="H351" t="e">
        <f t="shared" si="211"/>
        <v>#VALUE!</v>
      </c>
      <c r="I351" t="e">
        <f t="shared" si="212"/>
        <v>#VALUE!</v>
      </c>
      <c r="J351" t="e">
        <f t="shared" si="213"/>
        <v>#VALUE!</v>
      </c>
      <c r="K351" t="e">
        <f t="shared" si="214"/>
        <v>#VALUE!</v>
      </c>
      <c r="L351" s="175" t="e">
        <f t="shared" si="244"/>
        <v>#VALUE!</v>
      </c>
      <c r="M351" t="e">
        <f t="shared" si="215"/>
        <v>#VALUE!</v>
      </c>
      <c r="N351" t="e">
        <f t="shared" si="216"/>
        <v>#VALUE!</v>
      </c>
      <c r="O351" t="e">
        <f t="shared" si="217"/>
        <v>#VALUE!</v>
      </c>
      <c r="P351" t="e">
        <f t="shared" si="218"/>
        <v>#VALUE!</v>
      </c>
      <c r="Q351" t="e">
        <f t="shared" si="219"/>
        <v>#VALUE!</v>
      </c>
      <c r="R351" t="e">
        <f t="shared" si="220"/>
        <v>#VALUE!</v>
      </c>
      <c r="S351" t="e">
        <f t="shared" si="221"/>
        <v>#VALUE!</v>
      </c>
      <c r="T351" s="174" t="e">
        <f t="shared" si="245"/>
        <v>#VALUE!</v>
      </c>
      <c r="U351" t="e">
        <f t="shared" si="222"/>
        <v>#VALUE!</v>
      </c>
      <c r="V351" t="e">
        <f t="shared" si="223"/>
        <v>#VALUE!</v>
      </c>
      <c r="W351" t="e">
        <f t="shared" si="224"/>
        <v>#VALUE!</v>
      </c>
      <c r="X351" t="e">
        <f t="shared" si="225"/>
        <v>#VALUE!</v>
      </c>
      <c r="Y351" t="e">
        <f t="shared" si="226"/>
        <v>#VALUE!</v>
      </c>
      <c r="Z351" t="e">
        <f t="shared" si="227"/>
        <v>#VALUE!</v>
      </c>
      <c r="AA351" t="e">
        <f t="shared" si="228"/>
        <v>#VALUE!</v>
      </c>
      <c r="AB351" s="23" t="e">
        <f t="shared" si="246"/>
        <v>#VALUE!</v>
      </c>
      <c r="AC351" t="e">
        <f t="shared" si="229"/>
        <v>#VALUE!</v>
      </c>
      <c r="AD351" t="e">
        <f t="shared" si="230"/>
        <v>#VALUE!</v>
      </c>
      <c r="AE351" t="e">
        <f t="shared" si="231"/>
        <v>#VALUE!</v>
      </c>
      <c r="AF351" t="e">
        <f t="shared" si="232"/>
        <v>#VALUE!</v>
      </c>
      <c r="AG351" t="e">
        <f t="shared" si="233"/>
        <v>#VALUE!</v>
      </c>
      <c r="AH351" t="e">
        <f t="shared" si="234"/>
        <v>#VALUE!</v>
      </c>
      <c r="AI351" t="e">
        <f t="shared" si="235"/>
        <v>#VALUE!</v>
      </c>
      <c r="AJ351" s="19" t="e">
        <f t="shared" si="247"/>
        <v>#VALUE!</v>
      </c>
      <c r="AK351" t="e">
        <f t="shared" si="236"/>
        <v>#VALUE!</v>
      </c>
      <c r="AL351" t="e">
        <f t="shared" si="237"/>
        <v>#VALUE!</v>
      </c>
      <c r="AM351" t="e">
        <f t="shared" si="238"/>
        <v>#VALUE!</v>
      </c>
      <c r="AN351" t="e">
        <f t="shared" si="239"/>
        <v>#VALUE!</v>
      </c>
      <c r="AO351" t="e">
        <f t="shared" si="240"/>
        <v>#VALUE!</v>
      </c>
      <c r="AP351" t="e">
        <f t="shared" si="241"/>
        <v>#VALUE!</v>
      </c>
      <c r="AQ351" t="e">
        <f t="shared" si="242"/>
        <v>#VALUE!</v>
      </c>
      <c r="AR351" s="123" t="e">
        <f t="shared" si="248"/>
        <v>#VALUE!</v>
      </c>
      <c r="AS351" t="e">
        <f t="shared" si="243"/>
        <v>#VALUE!</v>
      </c>
      <c r="AT351" s="181" t="e">
        <f>INDEX('stock fisico '!N:N, MATCH(B351, 'stock fisico '!B:B, 0))</f>
        <v>#N/A</v>
      </c>
      <c r="AU351" s="179" t="e">
        <f>INDEX('stock fisico '!D:D, MATCH(B351, 'stock fisico '!B:B, 0))</f>
        <v>#N/A</v>
      </c>
      <c r="AV351" s="177" t="e">
        <f>INDEX('stock fisico '!L:L, MATCH(B351, 'stock fisico '!B:B, 0))</f>
        <v>#N/A</v>
      </c>
    </row>
    <row r="352" spans="1:48" x14ac:dyDescent="0.25">
      <c r="A352" s="181" t="e">
        <f>INDEX('stock fisico '!M:M, MATCH(B352, 'stock fisico '!B:B, 0))</f>
        <v>#N/A</v>
      </c>
      <c r="C352" s="179" t="e">
        <f>INDEX('stock fisico '!C:C, MATCH(B352, 'stock fisico '!B:B, 0))</f>
        <v>#N/A</v>
      </c>
      <c r="D352" s="178" t="e">
        <f>INDEX('stock fisico '!I:I, MATCH(B352, 'stock fisico '!B:B, 0))</f>
        <v>#N/A</v>
      </c>
      <c r="E352" s="173" t="e">
        <f t="shared" si="249"/>
        <v>#VALUE!</v>
      </c>
      <c r="F352" t="e">
        <f t="shared" si="209"/>
        <v>#VALUE!</v>
      </c>
      <c r="G352" t="e">
        <f t="shared" si="210"/>
        <v>#VALUE!</v>
      </c>
      <c r="H352" t="e">
        <f t="shared" si="211"/>
        <v>#VALUE!</v>
      </c>
      <c r="I352" t="e">
        <f t="shared" si="212"/>
        <v>#VALUE!</v>
      </c>
      <c r="J352" t="e">
        <f t="shared" si="213"/>
        <v>#VALUE!</v>
      </c>
      <c r="K352" t="e">
        <f t="shared" si="214"/>
        <v>#VALUE!</v>
      </c>
      <c r="L352" s="175" t="e">
        <f t="shared" si="244"/>
        <v>#VALUE!</v>
      </c>
      <c r="M352" t="e">
        <f t="shared" si="215"/>
        <v>#VALUE!</v>
      </c>
      <c r="N352" t="e">
        <f t="shared" si="216"/>
        <v>#VALUE!</v>
      </c>
      <c r="O352" t="e">
        <f t="shared" si="217"/>
        <v>#VALUE!</v>
      </c>
      <c r="P352" t="e">
        <f t="shared" si="218"/>
        <v>#VALUE!</v>
      </c>
      <c r="Q352" t="e">
        <f t="shared" si="219"/>
        <v>#VALUE!</v>
      </c>
      <c r="R352" t="e">
        <f t="shared" si="220"/>
        <v>#VALUE!</v>
      </c>
      <c r="S352" t="e">
        <f t="shared" si="221"/>
        <v>#VALUE!</v>
      </c>
      <c r="T352" s="174" t="e">
        <f t="shared" si="245"/>
        <v>#VALUE!</v>
      </c>
      <c r="U352" t="e">
        <f t="shared" si="222"/>
        <v>#VALUE!</v>
      </c>
      <c r="V352" t="e">
        <f t="shared" si="223"/>
        <v>#VALUE!</v>
      </c>
      <c r="W352" t="e">
        <f t="shared" si="224"/>
        <v>#VALUE!</v>
      </c>
      <c r="X352" t="e">
        <f t="shared" si="225"/>
        <v>#VALUE!</v>
      </c>
      <c r="Y352" t="e">
        <f t="shared" si="226"/>
        <v>#VALUE!</v>
      </c>
      <c r="Z352" t="e">
        <f t="shared" si="227"/>
        <v>#VALUE!</v>
      </c>
      <c r="AA352" t="e">
        <f t="shared" si="228"/>
        <v>#VALUE!</v>
      </c>
      <c r="AB352" s="23" t="e">
        <f t="shared" si="246"/>
        <v>#VALUE!</v>
      </c>
      <c r="AC352" t="e">
        <f t="shared" si="229"/>
        <v>#VALUE!</v>
      </c>
      <c r="AD352" t="e">
        <f t="shared" si="230"/>
        <v>#VALUE!</v>
      </c>
      <c r="AE352" t="e">
        <f t="shared" si="231"/>
        <v>#VALUE!</v>
      </c>
      <c r="AF352" t="e">
        <f t="shared" si="232"/>
        <v>#VALUE!</v>
      </c>
      <c r="AG352" t="e">
        <f t="shared" si="233"/>
        <v>#VALUE!</v>
      </c>
      <c r="AH352" t="e">
        <f t="shared" si="234"/>
        <v>#VALUE!</v>
      </c>
      <c r="AI352" t="e">
        <f t="shared" si="235"/>
        <v>#VALUE!</v>
      </c>
      <c r="AJ352" s="19" t="e">
        <f t="shared" si="247"/>
        <v>#VALUE!</v>
      </c>
      <c r="AK352" t="e">
        <f t="shared" si="236"/>
        <v>#VALUE!</v>
      </c>
      <c r="AL352" t="e">
        <f t="shared" si="237"/>
        <v>#VALUE!</v>
      </c>
      <c r="AM352" t="e">
        <f t="shared" si="238"/>
        <v>#VALUE!</v>
      </c>
      <c r="AN352" t="e">
        <f t="shared" si="239"/>
        <v>#VALUE!</v>
      </c>
      <c r="AO352" t="e">
        <f t="shared" si="240"/>
        <v>#VALUE!</v>
      </c>
      <c r="AP352" t="e">
        <f t="shared" si="241"/>
        <v>#VALUE!</v>
      </c>
      <c r="AQ352" t="e">
        <f t="shared" si="242"/>
        <v>#VALUE!</v>
      </c>
      <c r="AR352" s="123" t="e">
        <f t="shared" si="248"/>
        <v>#VALUE!</v>
      </c>
      <c r="AS352" t="e">
        <f t="shared" si="243"/>
        <v>#VALUE!</v>
      </c>
      <c r="AT352" s="181" t="e">
        <f>INDEX('stock fisico '!N:N, MATCH(B352, 'stock fisico '!B:B, 0))</f>
        <v>#N/A</v>
      </c>
      <c r="AU352" s="179" t="e">
        <f>INDEX('stock fisico '!D:D, MATCH(B352, 'stock fisico '!B:B, 0))</f>
        <v>#N/A</v>
      </c>
      <c r="AV352" s="177" t="e">
        <f>INDEX('stock fisico '!L:L, MATCH(B352, 'stock fisico '!B:B, 0))</f>
        <v>#N/A</v>
      </c>
    </row>
    <row r="353" spans="1:48" x14ac:dyDescent="0.25">
      <c r="A353" s="181" t="e">
        <f>INDEX('stock fisico '!M:M, MATCH(B353, 'stock fisico '!B:B, 0))</f>
        <v>#N/A</v>
      </c>
      <c r="C353" s="179" t="e">
        <f>INDEX('stock fisico '!C:C, MATCH(B353, 'stock fisico '!B:B, 0))</f>
        <v>#N/A</v>
      </c>
      <c r="D353" s="178" t="e">
        <f>INDEX('stock fisico '!I:I, MATCH(B353, 'stock fisico '!B:B, 0))</f>
        <v>#N/A</v>
      </c>
      <c r="E353" s="173" t="e">
        <f t="shared" si="249"/>
        <v>#VALUE!</v>
      </c>
      <c r="F353" t="e">
        <f t="shared" si="209"/>
        <v>#VALUE!</v>
      </c>
      <c r="G353" t="e">
        <f t="shared" si="210"/>
        <v>#VALUE!</v>
      </c>
      <c r="H353" t="e">
        <f t="shared" si="211"/>
        <v>#VALUE!</v>
      </c>
      <c r="I353" t="e">
        <f t="shared" si="212"/>
        <v>#VALUE!</v>
      </c>
      <c r="J353" t="e">
        <f t="shared" si="213"/>
        <v>#VALUE!</v>
      </c>
      <c r="K353" t="e">
        <f t="shared" si="214"/>
        <v>#VALUE!</v>
      </c>
      <c r="L353" s="175" t="e">
        <f t="shared" si="244"/>
        <v>#VALUE!</v>
      </c>
      <c r="M353" t="e">
        <f t="shared" si="215"/>
        <v>#VALUE!</v>
      </c>
      <c r="N353" t="e">
        <f t="shared" si="216"/>
        <v>#VALUE!</v>
      </c>
      <c r="O353" t="e">
        <f t="shared" si="217"/>
        <v>#VALUE!</v>
      </c>
      <c r="P353" t="e">
        <f t="shared" si="218"/>
        <v>#VALUE!</v>
      </c>
      <c r="Q353" t="e">
        <f t="shared" si="219"/>
        <v>#VALUE!</v>
      </c>
      <c r="R353" t="e">
        <f t="shared" si="220"/>
        <v>#VALUE!</v>
      </c>
      <c r="S353" t="e">
        <f t="shared" si="221"/>
        <v>#VALUE!</v>
      </c>
      <c r="T353" s="174" t="e">
        <f t="shared" si="245"/>
        <v>#VALUE!</v>
      </c>
      <c r="U353" t="e">
        <f t="shared" si="222"/>
        <v>#VALUE!</v>
      </c>
      <c r="V353" t="e">
        <f t="shared" si="223"/>
        <v>#VALUE!</v>
      </c>
      <c r="W353" t="e">
        <f t="shared" si="224"/>
        <v>#VALUE!</v>
      </c>
      <c r="X353" t="e">
        <f t="shared" si="225"/>
        <v>#VALUE!</v>
      </c>
      <c r="Y353" t="e">
        <f t="shared" si="226"/>
        <v>#VALUE!</v>
      </c>
      <c r="Z353" t="e">
        <f t="shared" si="227"/>
        <v>#VALUE!</v>
      </c>
      <c r="AA353" t="e">
        <f t="shared" si="228"/>
        <v>#VALUE!</v>
      </c>
      <c r="AB353" s="23" t="e">
        <f t="shared" si="246"/>
        <v>#VALUE!</v>
      </c>
      <c r="AC353" t="e">
        <f t="shared" si="229"/>
        <v>#VALUE!</v>
      </c>
      <c r="AD353" t="e">
        <f t="shared" si="230"/>
        <v>#VALUE!</v>
      </c>
      <c r="AE353" t="e">
        <f t="shared" si="231"/>
        <v>#VALUE!</v>
      </c>
      <c r="AF353" t="e">
        <f t="shared" si="232"/>
        <v>#VALUE!</v>
      </c>
      <c r="AG353" t="e">
        <f t="shared" si="233"/>
        <v>#VALUE!</v>
      </c>
      <c r="AH353" t="e">
        <f t="shared" si="234"/>
        <v>#VALUE!</v>
      </c>
      <c r="AI353" t="e">
        <f t="shared" si="235"/>
        <v>#VALUE!</v>
      </c>
      <c r="AJ353" s="19" t="e">
        <f t="shared" si="247"/>
        <v>#VALUE!</v>
      </c>
      <c r="AK353" t="e">
        <f t="shared" si="236"/>
        <v>#VALUE!</v>
      </c>
      <c r="AL353" t="e">
        <f t="shared" si="237"/>
        <v>#VALUE!</v>
      </c>
      <c r="AM353" t="e">
        <f t="shared" si="238"/>
        <v>#VALUE!</v>
      </c>
      <c r="AN353" t="e">
        <f t="shared" si="239"/>
        <v>#VALUE!</v>
      </c>
      <c r="AO353" t="e">
        <f t="shared" si="240"/>
        <v>#VALUE!</v>
      </c>
      <c r="AP353" t="e">
        <f t="shared" si="241"/>
        <v>#VALUE!</v>
      </c>
      <c r="AQ353" t="e">
        <f t="shared" si="242"/>
        <v>#VALUE!</v>
      </c>
      <c r="AR353" s="123" t="e">
        <f t="shared" si="248"/>
        <v>#VALUE!</v>
      </c>
      <c r="AS353" t="e">
        <f t="shared" si="243"/>
        <v>#VALUE!</v>
      </c>
      <c r="AT353" s="181" t="e">
        <f>INDEX('stock fisico '!N:N, MATCH(B353, 'stock fisico '!B:B, 0))</f>
        <v>#N/A</v>
      </c>
      <c r="AU353" s="179" t="e">
        <f>INDEX('stock fisico '!D:D, MATCH(B353, 'stock fisico '!B:B, 0))</f>
        <v>#N/A</v>
      </c>
      <c r="AV353" s="177" t="e">
        <f>INDEX('stock fisico '!L:L, MATCH(B353, 'stock fisico '!B:B, 0))</f>
        <v>#N/A</v>
      </c>
    </row>
    <row r="354" spans="1:48" x14ac:dyDescent="0.25">
      <c r="A354" s="181" t="e">
        <f>INDEX('stock fisico '!M:M, MATCH(B354, 'stock fisico '!B:B, 0))</f>
        <v>#N/A</v>
      </c>
      <c r="C354" s="179" t="e">
        <f>INDEX('stock fisico '!C:C, MATCH(B354, 'stock fisico '!B:B, 0))</f>
        <v>#N/A</v>
      </c>
      <c r="D354" s="178" t="e">
        <f>INDEX('stock fisico '!I:I, MATCH(B354, 'stock fisico '!B:B, 0))</f>
        <v>#N/A</v>
      </c>
      <c r="E354" s="173" t="e">
        <f t="shared" si="249"/>
        <v>#VALUE!</v>
      </c>
      <c r="F354" t="e">
        <f t="shared" si="209"/>
        <v>#VALUE!</v>
      </c>
      <c r="G354" t="e">
        <f t="shared" si="210"/>
        <v>#VALUE!</v>
      </c>
      <c r="H354" t="e">
        <f t="shared" si="211"/>
        <v>#VALUE!</v>
      </c>
      <c r="I354" t="e">
        <f t="shared" si="212"/>
        <v>#VALUE!</v>
      </c>
      <c r="J354" t="e">
        <f t="shared" si="213"/>
        <v>#VALUE!</v>
      </c>
      <c r="K354" t="e">
        <f t="shared" si="214"/>
        <v>#VALUE!</v>
      </c>
      <c r="L354" s="175" t="e">
        <f t="shared" si="244"/>
        <v>#VALUE!</v>
      </c>
      <c r="M354" t="e">
        <f t="shared" si="215"/>
        <v>#VALUE!</v>
      </c>
      <c r="N354" t="e">
        <f t="shared" si="216"/>
        <v>#VALUE!</v>
      </c>
      <c r="O354" t="e">
        <f t="shared" si="217"/>
        <v>#VALUE!</v>
      </c>
      <c r="P354" t="e">
        <f t="shared" si="218"/>
        <v>#VALUE!</v>
      </c>
      <c r="Q354" t="e">
        <f t="shared" si="219"/>
        <v>#VALUE!</v>
      </c>
      <c r="R354" t="e">
        <f t="shared" si="220"/>
        <v>#VALUE!</v>
      </c>
      <c r="S354" t="e">
        <f t="shared" si="221"/>
        <v>#VALUE!</v>
      </c>
      <c r="T354" s="174" t="e">
        <f t="shared" si="245"/>
        <v>#VALUE!</v>
      </c>
      <c r="U354" t="e">
        <f t="shared" si="222"/>
        <v>#VALUE!</v>
      </c>
      <c r="V354" t="e">
        <f t="shared" si="223"/>
        <v>#VALUE!</v>
      </c>
      <c r="W354" t="e">
        <f t="shared" si="224"/>
        <v>#VALUE!</v>
      </c>
      <c r="X354" t="e">
        <f t="shared" si="225"/>
        <v>#VALUE!</v>
      </c>
      <c r="Y354" t="e">
        <f t="shared" si="226"/>
        <v>#VALUE!</v>
      </c>
      <c r="Z354" t="e">
        <f t="shared" si="227"/>
        <v>#VALUE!</v>
      </c>
      <c r="AA354" t="e">
        <f t="shared" si="228"/>
        <v>#VALUE!</v>
      </c>
      <c r="AB354" s="23" t="e">
        <f t="shared" si="246"/>
        <v>#VALUE!</v>
      </c>
      <c r="AC354" t="e">
        <f t="shared" si="229"/>
        <v>#VALUE!</v>
      </c>
      <c r="AD354" t="e">
        <f t="shared" si="230"/>
        <v>#VALUE!</v>
      </c>
      <c r="AE354" t="e">
        <f t="shared" si="231"/>
        <v>#VALUE!</v>
      </c>
      <c r="AF354" t="e">
        <f t="shared" si="232"/>
        <v>#VALUE!</v>
      </c>
      <c r="AG354" t="e">
        <f t="shared" si="233"/>
        <v>#VALUE!</v>
      </c>
      <c r="AH354" t="e">
        <f t="shared" si="234"/>
        <v>#VALUE!</v>
      </c>
      <c r="AI354" t="e">
        <f t="shared" si="235"/>
        <v>#VALUE!</v>
      </c>
      <c r="AJ354" s="19" t="e">
        <f t="shared" si="247"/>
        <v>#VALUE!</v>
      </c>
      <c r="AK354" t="e">
        <f t="shared" si="236"/>
        <v>#VALUE!</v>
      </c>
      <c r="AL354" t="e">
        <f t="shared" si="237"/>
        <v>#VALUE!</v>
      </c>
      <c r="AM354" t="e">
        <f t="shared" si="238"/>
        <v>#VALUE!</v>
      </c>
      <c r="AN354" t="e">
        <f t="shared" si="239"/>
        <v>#VALUE!</v>
      </c>
      <c r="AO354" t="e">
        <f t="shared" si="240"/>
        <v>#VALUE!</v>
      </c>
      <c r="AP354" t="e">
        <f t="shared" si="241"/>
        <v>#VALUE!</v>
      </c>
      <c r="AQ354" t="e">
        <f t="shared" si="242"/>
        <v>#VALUE!</v>
      </c>
      <c r="AR354" s="123" t="e">
        <f t="shared" si="248"/>
        <v>#VALUE!</v>
      </c>
      <c r="AS354" t="e">
        <f t="shared" si="243"/>
        <v>#VALUE!</v>
      </c>
      <c r="AT354" s="181" t="e">
        <f>INDEX('stock fisico '!N:N, MATCH(B354, 'stock fisico '!B:B, 0))</f>
        <v>#N/A</v>
      </c>
      <c r="AU354" s="179" t="e">
        <f>INDEX('stock fisico '!D:D, MATCH(B354, 'stock fisico '!B:B, 0))</f>
        <v>#N/A</v>
      </c>
      <c r="AV354" s="177" t="e">
        <f>INDEX('stock fisico '!L:L, MATCH(B354, 'stock fisico '!B:B, 0))</f>
        <v>#N/A</v>
      </c>
    </row>
    <row r="355" spans="1:48" x14ac:dyDescent="0.25">
      <c r="A355" s="181" t="e">
        <f>INDEX('stock fisico '!M:M, MATCH(B355, 'stock fisico '!B:B, 0))</f>
        <v>#N/A</v>
      </c>
      <c r="C355" s="179" t="e">
        <f>INDEX('stock fisico '!C:C, MATCH(B355, 'stock fisico '!B:B, 0))</f>
        <v>#N/A</v>
      </c>
      <c r="D355" s="178" t="e">
        <f>INDEX('stock fisico '!I:I, MATCH(B355, 'stock fisico '!B:B, 0))</f>
        <v>#N/A</v>
      </c>
      <c r="E355" s="173" t="e">
        <f t="shared" si="249"/>
        <v>#VALUE!</v>
      </c>
      <c r="F355" t="e">
        <f t="shared" si="209"/>
        <v>#VALUE!</v>
      </c>
      <c r="G355" t="e">
        <f t="shared" si="210"/>
        <v>#VALUE!</v>
      </c>
      <c r="H355" t="e">
        <f t="shared" si="211"/>
        <v>#VALUE!</v>
      </c>
      <c r="I355" t="e">
        <f t="shared" si="212"/>
        <v>#VALUE!</v>
      </c>
      <c r="J355" t="e">
        <f t="shared" si="213"/>
        <v>#VALUE!</v>
      </c>
      <c r="K355" t="e">
        <f t="shared" si="214"/>
        <v>#VALUE!</v>
      </c>
      <c r="L355" s="175" t="e">
        <f t="shared" si="244"/>
        <v>#VALUE!</v>
      </c>
      <c r="M355" t="e">
        <f t="shared" si="215"/>
        <v>#VALUE!</v>
      </c>
      <c r="N355" t="e">
        <f t="shared" si="216"/>
        <v>#VALUE!</v>
      </c>
      <c r="O355" t="e">
        <f t="shared" si="217"/>
        <v>#VALUE!</v>
      </c>
      <c r="P355" t="e">
        <f t="shared" si="218"/>
        <v>#VALUE!</v>
      </c>
      <c r="Q355" t="e">
        <f t="shared" si="219"/>
        <v>#VALUE!</v>
      </c>
      <c r="R355" t="e">
        <f t="shared" si="220"/>
        <v>#VALUE!</v>
      </c>
      <c r="S355" t="e">
        <f t="shared" si="221"/>
        <v>#VALUE!</v>
      </c>
      <c r="T355" s="174" t="e">
        <f t="shared" si="245"/>
        <v>#VALUE!</v>
      </c>
      <c r="U355" t="e">
        <f t="shared" si="222"/>
        <v>#VALUE!</v>
      </c>
      <c r="V355" t="e">
        <f t="shared" si="223"/>
        <v>#VALUE!</v>
      </c>
      <c r="W355" t="e">
        <f t="shared" si="224"/>
        <v>#VALUE!</v>
      </c>
      <c r="X355" t="e">
        <f t="shared" si="225"/>
        <v>#VALUE!</v>
      </c>
      <c r="Y355" t="e">
        <f t="shared" si="226"/>
        <v>#VALUE!</v>
      </c>
      <c r="Z355" t="e">
        <f t="shared" si="227"/>
        <v>#VALUE!</v>
      </c>
      <c r="AA355" t="e">
        <f t="shared" si="228"/>
        <v>#VALUE!</v>
      </c>
      <c r="AB355" s="23" t="e">
        <f t="shared" si="246"/>
        <v>#VALUE!</v>
      </c>
      <c r="AC355" t="e">
        <f t="shared" si="229"/>
        <v>#VALUE!</v>
      </c>
      <c r="AD355" t="e">
        <f t="shared" si="230"/>
        <v>#VALUE!</v>
      </c>
      <c r="AE355" t="e">
        <f t="shared" si="231"/>
        <v>#VALUE!</v>
      </c>
      <c r="AF355" t="e">
        <f t="shared" si="232"/>
        <v>#VALUE!</v>
      </c>
      <c r="AG355" t="e">
        <f t="shared" si="233"/>
        <v>#VALUE!</v>
      </c>
      <c r="AH355" t="e">
        <f t="shared" si="234"/>
        <v>#VALUE!</v>
      </c>
      <c r="AI355" t="e">
        <f t="shared" si="235"/>
        <v>#VALUE!</v>
      </c>
      <c r="AJ355" s="19" t="e">
        <f t="shared" si="247"/>
        <v>#VALUE!</v>
      </c>
      <c r="AK355" t="e">
        <f t="shared" si="236"/>
        <v>#VALUE!</v>
      </c>
      <c r="AL355" t="e">
        <f t="shared" si="237"/>
        <v>#VALUE!</v>
      </c>
      <c r="AM355" t="e">
        <f t="shared" si="238"/>
        <v>#VALUE!</v>
      </c>
      <c r="AN355" t="e">
        <f t="shared" si="239"/>
        <v>#VALUE!</v>
      </c>
      <c r="AO355" t="e">
        <f t="shared" si="240"/>
        <v>#VALUE!</v>
      </c>
      <c r="AP355" t="e">
        <f t="shared" si="241"/>
        <v>#VALUE!</v>
      </c>
      <c r="AQ355" t="e">
        <f t="shared" si="242"/>
        <v>#VALUE!</v>
      </c>
      <c r="AR355" s="123" t="e">
        <f t="shared" si="248"/>
        <v>#VALUE!</v>
      </c>
      <c r="AS355" t="e">
        <f t="shared" si="243"/>
        <v>#VALUE!</v>
      </c>
      <c r="AT355" s="181" t="e">
        <f>INDEX('stock fisico '!N:N, MATCH(B355, 'stock fisico '!B:B, 0))</f>
        <v>#N/A</v>
      </c>
      <c r="AU355" s="179" t="e">
        <f>INDEX('stock fisico '!D:D, MATCH(B355, 'stock fisico '!B:B, 0))</f>
        <v>#N/A</v>
      </c>
      <c r="AV355" s="177" t="e">
        <f>INDEX('stock fisico '!L:L, MATCH(B355, 'stock fisico '!B:B, 0))</f>
        <v>#N/A</v>
      </c>
    </row>
    <row r="356" spans="1:48" x14ac:dyDescent="0.25">
      <c r="A356" s="181" t="e">
        <f>INDEX('stock fisico '!M:M, MATCH(B356, 'stock fisico '!B:B, 0))</f>
        <v>#N/A</v>
      </c>
      <c r="C356" s="179" t="e">
        <f>INDEX('stock fisico '!C:C, MATCH(B356, 'stock fisico '!B:B, 0))</f>
        <v>#N/A</v>
      </c>
      <c r="D356" s="178" t="e">
        <f>INDEX('stock fisico '!I:I, MATCH(B356, 'stock fisico '!B:B, 0))</f>
        <v>#N/A</v>
      </c>
      <c r="E356" s="173" t="e">
        <f t="shared" si="249"/>
        <v>#VALUE!</v>
      </c>
      <c r="F356" t="e">
        <f t="shared" si="209"/>
        <v>#VALUE!</v>
      </c>
      <c r="G356" t="e">
        <f t="shared" si="210"/>
        <v>#VALUE!</v>
      </c>
      <c r="H356" t="e">
        <f t="shared" si="211"/>
        <v>#VALUE!</v>
      </c>
      <c r="I356" t="e">
        <f t="shared" si="212"/>
        <v>#VALUE!</v>
      </c>
      <c r="J356" t="e">
        <f t="shared" si="213"/>
        <v>#VALUE!</v>
      </c>
      <c r="K356" t="e">
        <f t="shared" si="214"/>
        <v>#VALUE!</v>
      </c>
      <c r="L356" s="175" t="e">
        <f t="shared" si="244"/>
        <v>#VALUE!</v>
      </c>
      <c r="M356" t="e">
        <f t="shared" si="215"/>
        <v>#VALUE!</v>
      </c>
      <c r="N356" t="e">
        <f t="shared" si="216"/>
        <v>#VALUE!</v>
      </c>
      <c r="O356" t="e">
        <f t="shared" si="217"/>
        <v>#VALUE!</v>
      </c>
      <c r="P356" t="e">
        <f t="shared" si="218"/>
        <v>#VALUE!</v>
      </c>
      <c r="Q356" t="e">
        <f t="shared" si="219"/>
        <v>#VALUE!</v>
      </c>
      <c r="R356" t="e">
        <f t="shared" si="220"/>
        <v>#VALUE!</v>
      </c>
      <c r="S356" t="e">
        <f t="shared" si="221"/>
        <v>#VALUE!</v>
      </c>
      <c r="T356" s="174" t="e">
        <f t="shared" si="245"/>
        <v>#VALUE!</v>
      </c>
      <c r="U356" t="e">
        <f t="shared" si="222"/>
        <v>#VALUE!</v>
      </c>
      <c r="V356" t="e">
        <f t="shared" si="223"/>
        <v>#VALUE!</v>
      </c>
      <c r="W356" t="e">
        <f t="shared" si="224"/>
        <v>#VALUE!</v>
      </c>
      <c r="X356" t="e">
        <f t="shared" si="225"/>
        <v>#VALUE!</v>
      </c>
      <c r="Y356" t="e">
        <f t="shared" si="226"/>
        <v>#VALUE!</v>
      </c>
      <c r="Z356" t="e">
        <f t="shared" si="227"/>
        <v>#VALUE!</v>
      </c>
      <c r="AA356" t="e">
        <f t="shared" si="228"/>
        <v>#VALUE!</v>
      </c>
      <c r="AB356" s="23" t="e">
        <f t="shared" si="246"/>
        <v>#VALUE!</v>
      </c>
      <c r="AC356" t="e">
        <f t="shared" si="229"/>
        <v>#VALUE!</v>
      </c>
      <c r="AD356" t="e">
        <f t="shared" si="230"/>
        <v>#VALUE!</v>
      </c>
      <c r="AE356" t="e">
        <f t="shared" si="231"/>
        <v>#VALUE!</v>
      </c>
      <c r="AF356" t="e">
        <f t="shared" si="232"/>
        <v>#VALUE!</v>
      </c>
      <c r="AG356" t="e">
        <f t="shared" si="233"/>
        <v>#VALUE!</v>
      </c>
      <c r="AH356" t="e">
        <f t="shared" si="234"/>
        <v>#VALUE!</v>
      </c>
      <c r="AI356" t="e">
        <f t="shared" si="235"/>
        <v>#VALUE!</v>
      </c>
      <c r="AJ356" s="19" t="e">
        <f t="shared" si="247"/>
        <v>#VALUE!</v>
      </c>
      <c r="AK356" t="e">
        <f t="shared" si="236"/>
        <v>#VALUE!</v>
      </c>
      <c r="AL356" t="e">
        <f t="shared" si="237"/>
        <v>#VALUE!</v>
      </c>
      <c r="AM356" t="e">
        <f t="shared" si="238"/>
        <v>#VALUE!</v>
      </c>
      <c r="AN356" t="e">
        <f t="shared" si="239"/>
        <v>#VALUE!</v>
      </c>
      <c r="AO356" t="e">
        <f t="shared" si="240"/>
        <v>#VALUE!</v>
      </c>
      <c r="AP356" t="e">
        <f t="shared" si="241"/>
        <v>#VALUE!</v>
      </c>
      <c r="AQ356" t="e">
        <f t="shared" si="242"/>
        <v>#VALUE!</v>
      </c>
      <c r="AR356" s="123" t="e">
        <f t="shared" si="248"/>
        <v>#VALUE!</v>
      </c>
      <c r="AS356" t="e">
        <f t="shared" si="243"/>
        <v>#VALUE!</v>
      </c>
      <c r="AT356" s="181" t="e">
        <f>INDEX('stock fisico '!N:N, MATCH(B356, 'stock fisico '!B:B, 0))</f>
        <v>#N/A</v>
      </c>
      <c r="AU356" s="179" t="e">
        <f>INDEX('stock fisico '!D:D, MATCH(B356, 'stock fisico '!B:B, 0))</f>
        <v>#N/A</v>
      </c>
      <c r="AV356" s="177" t="e">
        <f>INDEX('stock fisico '!L:L, MATCH(B356, 'stock fisico '!B:B, 0))</f>
        <v>#N/A</v>
      </c>
    </row>
    <row r="357" spans="1:48" x14ac:dyDescent="0.25">
      <c r="A357" s="181" t="e">
        <f>INDEX('stock fisico '!M:M, MATCH(B357, 'stock fisico '!B:B, 0))</f>
        <v>#N/A</v>
      </c>
      <c r="C357" s="179" t="e">
        <f>INDEX('stock fisico '!C:C, MATCH(B357, 'stock fisico '!B:B, 0))</f>
        <v>#N/A</v>
      </c>
      <c r="D357" s="178" t="e">
        <f>INDEX('stock fisico '!I:I, MATCH(B357, 'stock fisico '!B:B, 0))</f>
        <v>#N/A</v>
      </c>
      <c r="E357" s="173" t="e">
        <f t="shared" si="249"/>
        <v>#VALUE!</v>
      </c>
      <c r="F357" t="e">
        <f t="shared" si="209"/>
        <v>#VALUE!</v>
      </c>
      <c r="G357" t="e">
        <f t="shared" si="210"/>
        <v>#VALUE!</v>
      </c>
      <c r="H357" t="e">
        <f t="shared" si="211"/>
        <v>#VALUE!</v>
      </c>
      <c r="I357" t="e">
        <f t="shared" si="212"/>
        <v>#VALUE!</v>
      </c>
      <c r="J357" t="e">
        <f t="shared" si="213"/>
        <v>#VALUE!</v>
      </c>
      <c r="K357" t="e">
        <f t="shared" si="214"/>
        <v>#VALUE!</v>
      </c>
      <c r="L357" s="175" t="e">
        <f t="shared" si="244"/>
        <v>#VALUE!</v>
      </c>
      <c r="M357" t="e">
        <f t="shared" si="215"/>
        <v>#VALUE!</v>
      </c>
      <c r="N357" t="e">
        <f t="shared" si="216"/>
        <v>#VALUE!</v>
      </c>
      <c r="O357" t="e">
        <f t="shared" si="217"/>
        <v>#VALUE!</v>
      </c>
      <c r="P357" t="e">
        <f t="shared" si="218"/>
        <v>#VALUE!</v>
      </c>
      <c r="Q357" t="e">
        <f t="shared" si="219"/>
        <v>#VALUE!</v>
      </c>
      <c r="R357" t="e">
        <f t="shared" si="220"/>
        <v>#VALUE!</v>
      </c>
      <c r="S357" t="e">
        <f t="shared" si="221"/>
        <v>#VALUE!</v>
      </c>
      <c r="T357" s="174" t="e">
        <f t="shared" si="245"/>
        <v>#VALUE!</v>
      </c>
      <c r="U357" t="e">
        <f t="shared" si="222"/>
        <v>#VALUE!</v>
      </c>
      <c r="V357" t="e">
        <f t="shared" si="223"/>
        <v>#VALUE!</v>
      </c>
      <c r="W357" t="e">
        <f t="shared" si="224"/>
        <v>#VALUE!</v>
      </c>
      <c r="X357" t="e">
        <f t="shared" si="225"/>
        <v>#VALUE!</v>
      </c>
      <c r="Y357" t="e">
        <f t="shared" si="226"/>
        <v>#VALUE!</v>
      </c>
      <c r="Z357" t="e">
        <f t="shared" si="227"/>
        <v>#VALUE!</v>
      </c>
      <c r="AA357" t="e">
        <f t="shared" si="228"/>
        <v>#VALUE!</v>
      </c>
      <c r="AB357" s="23" t="e">
        <f t="shared" si="246"/>
        <v>#VALUE!</v>
      </c>
      <c r="AC357" t="e">
        <f t="shared" si="229"/>
        <v>#VALUE!</v>
      </c>
      <c r="AD357" t="e">
        <f t="shared" si="230"/>
        <v>#VALUE!</v>
      </c>
      <c r="AE357" t="e">
        <f t="shared" si="231"/>
        <v>#VALUE!</v>
      </c>
      <c r="AF357" t="e">
        <f t="shared" si="232"/>
        <v>#VALUE!</v>
      </c>
      <c r="AG357" t="e">
        <f t="shared" si="233"/>
        <v>#VALUE!</v>
      </c>
      <c r="AH357" t="e">
        <f t="shared" si="234"/>
        <v>#VALUE!</v>
      </c>
      <c r="AI357" t="e">
        <f t="shared" si="235"/>
        <v>#VALUE!</v>
      </c>
      <c r="AJ357" s="19" t="e">
        <f t="shared" si="247"/>
        <v>#VALUE!</v>
      </c>
      <c r="AK357" t="e">
        <f t="shared" si="236"/>
        <v>#VALUE!</v>
      </c>
      <c r="AL357" t="e">
        <f t="shared" si="237"/>
        <v>#VALUE!</v>
      </c>
      <c r="AM357" t="e">
        <f t="shared" si="238"/>
        <v>#VALUE!</v>
      </c>
      <c r="AN357" t="e">
        <f t="shared" si="239"/>
        <v>#VALUE!</v>
      </c>
      <c r="AO357" t="e">
        <f t="shared" si="240"/>
        <v>#VALUE!</v>
      </c>
      <c r="AP357" t="e">
        <f t="shared" si="241"/>
        <v>#VALUE!</v>
      </c>
      <c r="AQ357" t="e">
        <f t="shared" si="242"/>
        <v>#VALUE!</v>
      </c>
      <c r="AR357" s="123" t="e">
        <f t="shared" si="248"/>
        <v>#VALUE!</v>
      </c>
      <c r="AS357" t="e">
        <f t="shared" si="243"/>
        <v>#VALUE!</v>
      </c>
      <c r="AT357" s="181" t="e">
        <f>INDEX('stock fisico '!N:N, MATCH(B357, 'stock fisico '!B:B, 0))</f>
        <v>#N/A</v>
      </c>
      <c r="AU357" s="179" t="e">
        <f>INDEX('stock fisico '!D:D, MATCH(B357, 'stock fisico '!B:B, 0))</f>
        <v>#N/A</v>
      </c>
      <c r="AV357" s="177" t="e">
        <f>INDEX('stock fisico '!L:L, MATCH(B357, 'stock fisico '!B:B, 0))</f>
        <v>#N/A</v>
      </c>
    </row>
    <row r="358" spans="1:48" x14ac:dyDescent="0.25">
      <c r="A358" s="181" t="e">
        <f>INDEX('stock fisico '!M:M, MATCH(B358, 'stock fisico '!B:B, 0))</f>
        <v>#N/A</v>
      </c>
      <c r="C358" s="179" t="e">
        <f>INDEX('stock fisico '!C:C, MATCH(B358, 'stock fisico '!B:B, 0))</f>
        <v>#N/A</v>
      </c>
      <c r="D358" s="178" t="e">
        <f>INDEX('stock fisico '!I:I, MATCH(B358, 'stock fisico '!B:B, 0))</f>
        <v>#N/A</v>
      </c>
      <c r="E358" s="173" t="e">
        <f t="shared" si="249"/>
        <v>#VALUE!</v>
      </c>
      <c r="F358" t="e">
        <f t="shared" si="209"/>
        <v>#VALUE!</v>
      </c>
      <c r="G358" t="e">
        <f t="shared" si="210"/>
        <v>#VALUE!</v>
      </c>
      <c r="H358" t="e">
        <f t="shared" si="211"/>
        <v>#VALUE!</v>
      </c>
      <c r="I358" t="e">
        <f t="shared" si="212"/>
        <v>#VALUE!</v>
      </c>
      <c r="J358" t="e">
        <f t="shared" si="213"/>
        <v>#VALUE!</v>
      </c>
      <c r="K358" t="e">
        <f t="shared" si="214"/>
        <v>#VALUE!</v>
      </c>
      <c r="L358" s="175" t="e">
        <f t="shared" si="244"/>
        <v>#VALUE!</v>
      </c>
      <c r="M358" t="e">
        <f t="shared" si="215"/>
        <v>#VALUE!</v>
      </c>
      <c r="N358" t="e">
        <f t="shared" si="216"/>
        <v>#VALUE!</v>
      </c>
      <c r="O358" t="e">
        <f t="shared" si="217"/>
        <v>#VALUE!</v>
      </c>
      <c r="P358" t="e">
        <f t="shared" si="218"/>
        <v>#VALUE!</v>
      </c>
      <c r="Q358" t="e">
        <f t="shared" si="219"/>
        <v>#VALUE!</v>
      </c>
      <c r="R358" t="e">
        <f t="shared" si="220"/>
        <v>#VALUE!</v>
      </c>
      <c r="S358" t="e">
        <f t="shared" si="221"/>
        <v>#VALUE!</v>
      </c>
      <c r="T358" s="174" t="e">
        <f t="shared" si="245"/>
        <v>#VALUE!</v>
      </c>
      <c r="U358" t="e">
        <f t="shared" si="222"/>
        <v>#VALUE!</v>
      </c>
      <c r="V358" t="e">
        <f t="shared" si="223"/>
        <v>#VALUE!</v>
      </c>
      <c r="W358" t="e">
        <f t="shared" si="224"/>
        <v>#VALUE!</v>
      </c>
      <c r="X358" t="e">
        <f t="shared" si="225"/>
        <v>#VALUE!</v>
      </c>
      <c r="Y358" t="e">
        <f t="shared" si="226"/>
        <v>#VALUE!</v>
      </c>
      <c r="Z358" t="e">
        <f t="shared" si="227"/>
        <v>#VALUE!</v>
      </c>
      <c r="AA358" t="e">
        <f t="shared" si="228"/>
        <v>#VALUE!</v>
      </c>
      <c r="AB358" s="23" t="e">
        <f t="shared" si="246"/>
        <v>#VALUE!</v>
      </c>
      <c r="AC358" t="e">
        <f t="shared" si="229"/>
        <v>#VALUE!</v>
      </c>
      <c r="AD358" t="e">
        <f t="shared" si="230"/>
        <v>#VALUE!</v>
      </c>
      <c r="AE358" t="e">
        <f t="shared" si="231"/>
        <v>#VALUE!</v>
      </c>
      <c r="AF358" t="e">
        <f t="shared" si="232"/>
        <v>#VALUE!</v>
      </c>
      <c r="AG358" t="e">
        <f t="shared" si="233"/>
        <v>#VALUE!</v>
      </c>
      <c r="AH358" t="e">
        <f t="shared" si="234"/>
        <v>#VALUE!</v>
      </c>
      <c r="AI358" t="e">
        <f t="shared" si="235"/>
        <v>#VALUE!</v>
      </c>
      <c r="AJ358" s="19" t="e">
        <f t="shared" si="247"/>
        <v>#VALUE!</v>
      </c>
      <c r="AK358" t="e">
        <f t="shared" si="236"/>
        <v>#VALUE!</v>
      </c>
      <c r="AL358" t="e">
        <f t="shared" si="237"/>
        <v>#VALUE!</v>
      </c>
      <c r="AM358" t="e">
        <f t="shared" si="238"/>
        <v>#VALUE!</v>
      </c>
      <c r="AN358" t="e">
        <f t="shared" si="239"/>
        <v>#VALUE!</v>
      </c>
      <c r="AO358" t="e">
        <f t="shared" si="240"/>
        <v>#VALUE!</v>
      </c>
      <c r="AP358" t="e">
        <f t="shared" si="241"/>
        <v>#VALUE!</v>
      </c>
      <c r="AQ358" t="e">
        <f t="shared" si="242"/>
        <v>#VALUE!</v>
      </c>
      <c r="AR358" s="123" t="e">
        <f t="shared" si="248"/>
        <v>#VALUE!</v>
      </c>
      <c r="AS358" t="e">
        <f t="shared" si="243"/>
        <v>#VALUE!</v>
      </c>
      <c r="AT358" s="181" t="e">
        <f>INDEX('stock fisico '!N:N, MATCH(B358, 'stock fisico '!B:B, 0))</f>
        <v>#N/A</v>
      </c>
      <c r="AU358" s="179" t="e">
        <f>INDEX('stock fisico '!D:D, MATCH(B358, 'stock fisico '!B:B, 0))</f>
        <v>#N/A</v>
      </c>
      <c r="AV358" s="177" t="e">
        <f>INDEX('stock fisico '!L:L, MATCH(B358, 'stock fisico '!B:B, 0))</f>
        <v>#N/A</v>
      </c>
    </row>
    <row r="359" spans="1:48" x14ac:dyDescent="0.25">
      <c r="A359" s="181" t="e">
        <f>INDEX('stock fisico '!M:M, MATCH(B359, 'stock fisico '!B:B, 0))</f>
        <v>#N/A</v>
      </c>
      <c r="C359" s="179" t="e">
        <f>INDEX('stock fisico '!C:C, MATCH(B359, 'stock fisico '!B:B, 0))</f>
        <v>#N/A</v>
      </c>
      <c r="D359" s="178" t="e">
        <f>INDEX('stock fisico '!I:I, MATCH(B359, 'stock fisico '!B:B, 0))</f>
        <v>#N/A</v>
      </c>
      <c r="E359" s="173" t="e">
        <f t="shared" si="249"/>
        <v>#VALUE!</v>
      </c>
      <c r="F359" t="e">
        <f t="shared" si="209"/>
        <v>#VALUE!</v>
      </c>
      <c r="G359" t="e">
        <f t="shared" si="210"/>
        <v>#VALUE!</v>
      </c>
      <c r="H359" t="e">
        <f t="shared" si="211"/>
        <v>#VALUE!</v>
      </c>
      <c r="I359" t="e">
        <f t="shared" si="212"/>
        <v>#VALUE!</v>
      </c>
      <c r="J359" t="e">
        <f t="shared" si="213"/>
        <v>#VALUE!</v>
      </c>
      <c r="K359" t="e">
        <f t="shared" si="214"/>
        <v>#VALUE!</v>
      </c>
      <c r="L359" s="175" t="e">
        <f t="shared" si="244"/>
        <v>#VALUE!</v>
      </c>
      <c r="M359" t="e">
        <f t="shared" si="215"/>
        <v>#VALUE!</v>
      </c>
      <c r="N359" t="e">
        <f t="shared" si="216"/>
        <v>#VALUE!</v>
      </c>
      <c r="O359" t="e">
        <f t="shared" si="217"/>
        <v>#VALUE!</v>
      </c>
      <c r="P359" t="e">
        <f t="shared" si="218"/>
        <v>#VALUE!</v>
      </c>
      <c r="Q359" t="e">
        <f t="shared" si="219"/>
        <v>#VALUE!</v>
      </c>
      <c r="R359" t="e">
        <f t="shared" si="220"/>
        <v>#VALUE!</v>
      </c>
      <c r="S359" t="e">
        <f t="shared" si="221"/>
        <v>#VALUE!</v>
      </c>
      <c r="T359" s="174" t="e">
        <f t="shared" si="245"/>
        <v>#VALUE!</v>
      </c>
      <c r="U359" t="e">
        <f t="shared" si="222"/>
        <v>#VALUE!</v>
      </c>
      <c r="V359" t="e">
        <f t="shared" si="223"/>
        <v>#VALUE!</v>
      </c>
      <c r="W359" t="e">
        <f t="shared" si="224"/>
        <v>#VALUE!</v>
      </c>
      <c r="X359" t="e">
        <f t="shared" si="225"/>
        <v>#VALUE!</v>
      </c>
      <c r="Y359" t="e">
        <f t="shared" si="226"/>
        <v>#VALUE!</v>
      </c>
      <c r="Z359" t="e">
        <f t="shared" si="227"/>
        <v>#VALUE!</v>
      </c>
      <c r="AA359" t="e">
        <f t="shared" si="228"/>
        <v>#VALUE!</v>
      </c>
      <c r="AB359" s="23" t="e">
        <f t="shared" si="246"/>
        <v>#VALUE!</v>
      </c>
      <c r="AC359" t="e">
        <f t="shared" si="229"/>
        <v>#VALUE!</v>
      </c>
      <c r="AD359" t="e">
        <f t="shared" si="230"/>
        <v>#VALUE!</v>
      </c>
      <c r="AE359" t="e">
        <f t="shared" si="231"/>
        <v>#VALUE!</v>
      </c>
      <c r="AF359" t="e">
        <f t="shared" si="232"/>
        <v>#VALUE!</v>
      </c>
      <c r="AG359" t="e">
        <f t="shared" si="233"/>
        <v>#VALUE!</v>
      </c>
      <c r="AH359" t="e">
        <f t="shared" si="234"/>
        <v>#VALUE!</v>
      </c>
      <c r="AI359" t="e">
        <f t="shared" si="235"/>
        <v>#VALUE!</v>
      </c>
      <c r="AJ359" s="19" t="e">
        <f t="shared" si="247"/>
        <v>#VALUE!</v>
      </c>
      <c r="AK359" t="e">
        <f t="shared" si="236"/>
        <v>#VALUE!</v>
      </c>
      <c r="AL359" t="e">
        <f t="shared" si="237"/>
        <v>#VALUE!</v>
      </c>
      <c r="AM359" t="e">
        <f t="shared" si="238"/>
        <v>#VALUE!</v>
      </c>
      <c r="AN359" t="e">
        <f t="shared" si="239"/>
        <v>#VALUE!</v>
      </c>
      <c r="AO359" t="e">
        <f t="shared" si="240"/>
        <v>#VALUE!</v>
      </c>
      <c r="AP359" t="e">
        <f t="shared" si="241"/>
        <v>#VALUE!</v>
      </c>
      <c r="AQ359" t="e">
        <f t="shared" si="242"/>
        <v>#VALUE!</v>
      </c>
      <c r="AR359" s="123" t="e">
        <f t="shared" si="248"/>
        <v>#VALUE!</v>
      </c>
      <c r="AS359" t="e">
        <f t="shared" si="243"/>
        <v>#VALUE!</v>
      </c>
      <c r="AT359" s="181" t="e">
        <f>INDEX('stock fisico '!N:N, MATCH(B359, 'stock fisico '!B:B, 0))</f>
        <v>#N/A</v>
      </c>
      <c r="AU359" s="179" t="e">
        <f>INDEX('stock fisico '!D:D, MATCH(B359, 'stock fisico '!B:B, 0))</f>
        <v>#N/A</v>
      </c>
      <c r="AV359" s="177" t="e">
        <f>INDEX('stock fisico '!L:L, MATCH(B359, 'stock fisico '!B:B, 0))</f>
        <v>#N/A</v>
      </c>
    </row>
    <row r="360" spans="1:48" x14ac:dyDescent="0.25">
      <c r="A360" s="181" t="e">
        <f>INDEX('stock fisico '!M:M, MATCH(B360, 'stock fisico '!B:B, 0))</f>
        <v>#N/A</v>
      </c>
      <c r="C360" s="179" t="e">
        <f>INDEX('stock fisico '!C:C, MATCH(B360, 'stock fisico '!B:B, 0))</f>
        <v>#N/A</v>
      </c>
      <c r="D360" s="178" t="e">
        <f>INDEX('stock fisico '!I:I, MATCH(B360, 'stock fisico '!B:B, 0))</f>
        <v>#N/A</v>
      </c>
      <c r="E360" s="173" t="e">
        <f t="shared" si="249"/>
        <v>#VALUE!</v>
      </c>
      <c r="F360" t="e">
        <f t="shared" si="209"/>
        <v>#VALUE!</v>
      </c>
      <c r="G360" t="e">
        <f t="shared" si="210"/>
        <v>#VALUE!</v>
      </c>
      <c r="H360" t="e">
        <f t="shared" si="211"/>
        <v>#VALUE!</v>
      </c>
      <c r="I360" t="e">
        <f t="shared" si="212"/>
        <v>#VALUE!</v>
      </c>
      <c r="J360" t="e">
        <f t="shared" si="213"/>
        <v>#VALUE!</v>
      </c>
      <c r="K360" t="e">
        <f t="shared" si="214"/>
        <v>#VALUE!</v>
      </c>
      <c r="L360" s="175" t="e">
        <f t="shared" si="244"/>
        <v>#VALUE!</v>
      </c>
      <c r="M360" t="e">
        <f t="shared" si="215"/>
        <v>#VALUE!</v>
      </c>
      <c r="N360" t="e">
        <f t="shared" si="216"/>
        <v>#VALUE!</v>
      </c>
      <c r="O360" t="e">
        <f t="shared" si="217"/>
        <v>#VALUE!</v>
      </c>
      <c r="P360" t="e">
        <f t="shared" si="218"/>
        <v>#VALUE!</v>
      </c>
      <c r="Q360" t="e">
        <f t="shared" si="219"/>
        <v>#VALUE!</v>
      </c>
      <c r="R360" t="e">
        <f t="shared" si="220"/>
        <v>#VALUE!</v>
      </c>
      <c r="S360" t="e">
        <f t="shared" si="221"/>
        <v>#VALUE!</v>
      </c>
      <c r="T360" s="174" t="e">
        <f t="shared" si="245"/>
        <v>#VALUE!</v>
      </c>
      <c r="U360" t="e">
        <f t="shared" si="222"/>
        <v>#VALUE!</v>
      </c>
      <c r="V360" t="e">
        <f t="shared" si="223"/>
        <v>#VALUE!</v>
      </c>
      <c r="W360" t="e">
        <f t="shared" si="224"/>
        <v>#VALUE!</v>
      </c>
      <c r="X360" t="e">
        <f t="shared" si="225"/>
        <v>#VALUE!</v>
      </c>
      <c r="Y360" t="e">
        <f t="shared" si="226"/>
        <v>#VALUE!</v>
      </c>
      <c r="Z360" t="e">
        <f t="shared" si="227"/>
        <v>#VALUE!</v>
      </c>
      <c r="AA360" t="e">
        <f t="shared" si="228"/>
        <v>#VALUE!</v>
      </c>
      <c r="AB360" s="23" t="e">
        <f t="shared" si="246"/>
        <v>#VALUE!</v>
      </c>
      <c r="AC360" t="e">
        <f t="shared" si="229"/>
        <v>#VALUE!</v>
      </c>
      <c r="AD360" t="e">
        <f t="shared" si="230"/>
        <v>#VALUE!</v>
      </c>
      <c r="AE360" t="e">
        <f t="shared" si="231"/>
        <v>#VALUE!</v>
      </c>
      <c r="AF360" t="e">
        <f t="shared" si="232"/>
        <v>#VALUE!</v>
      </c>
      <c r="AG360" t="e">
        <f t="shared" si="233"/>
        <v>#VALUE!</v>
      </c>
      <c r="AH360" t="e">
        <f t="shared" si="234"/>
        <v>#VALUE!</v>
      </c>
      <c r="AI360" t="e">
        <f t="shared" si="235"/>
        <v>#VALUE!</v>
      </c>
      <c r="AJ360" s="19" t="e">
        <f t="shared" si="247"/>
        <v>#VALUE!</v>
      </c>
      <c r="AK360" t="e">
        <f t="shared" si="236"/>
        <v>#VALUE!</v>
      </c>
      <c r="AL360" t="e">
        <f t="shared" si="237"/>
        <v>#VALUE!</v>
      </c>
      <c r="AM360" t="e">
        <f t="shared" si="238"/>
        <v>#VALUE!</v>
      </c>
      <c r="AN360" t="e">
        <f t="shared" si="239"/>
        <v>#VALUE!</v>
      </c>
      <c r="AO360" t="e">
        <f t="shared" si="240"/>
        <v>#VALUE!</v>
      </c>
      <c r="AP360" t="e">
        <f t="shared" si="241"/>
        <v>#VALUE!</v>
      </c>
      <c r="AQ360" t="e">
        <f t="shared" si="242"/>
        <v>#VALUE!</v>
      </c>
      <c r="AR360" s="123" t="e">
        <f t="shared" si="248"/>
        <v>#VALUE!</v>
      </c>
      <c r="AS360" t="e">
        <f t="shared" si="243"/>
        <v>#VALUE!</v>
      </c>
      <c r="AT360" s="181" t="e">
        <f>INDEX('stock fisico '!N:N, MATCH(B360, 'stock fisico '!B:B, 0))</f>
        <v>#N/A</v>
      </c>
      <c r="AU360" s="179" t="e">
        <f>INDEX('stock fisico '!D:D, MATCH(B360, 'stock fisico '!B:B, 0))</f>
        <v>#N/A</v>
      </c>
      <c r="AV360" s="177" t="e">
        <f>INDEX('stock fisico '!L:L, MATCH(B360, 'stock fisico '!B:B, 0))</f>
        <v>#N/A</v>
      </c>
    </row>
    <row r="361" spans="1:48" x14ac:dyDescent="0.25">
      <c r="A361" s="181" t="e">
        <f>INDEX('stock fisico '!M:M, MATCH(B361, 'stock fisico '!B:B, 0))</f>
        <v>#N/A</v>
      </c>
      <c r="C361" s="179" t="e">
        <f>INDEX('stock fisico '!C:C, MATCH(B361, 'stock fisico '!B:B, 0))</f>
        <v>#N/A</v>
      </c>
      <c r="D361" s="178" t="e">
        <f>INDEX('stock fisico '!I:I, MATCH(B361, 'stock fisico '!B:B, 0))</f>
        <v>#N/A</v>
      </c>
      <c r="E361" s="173" t="e">
        <f t="shared" si="249"/>
        <v>#VALUE!</v>
      </c>
      <c r="F361" t="e">
        <f t="shared" si="209"/>
        <v>#VALUE!</v>
      </c>
      <c r="G361" t="e">
        <f t="shared" si="210"/>
        <v>#VALUE!</v>
      </c>
      <c r="H361" t="e">
        <f t="shared" si="211"/>
        <v>#VALUE!</v>
      </c>
      <c r="I361" t="e">
        <f t="shared" si="212"/>
        <v>#VALUE!</v>
      </c>
      <c r="J361" t="e">
        <f t="shared" si="213"/>
        <v>#VALUE!</v>
      </c>
      <c r="K361" t="e">
        <f t="shared" si="214"/>
        <v>#VALUE!</v>
      </c>
      <c r="L361" s="175" t="e">
        <f t="shared" si="244"/>
        <v>#VALUE!</v>
      </c>
      <c r="M361" t="e">
        <f t="shared" si="215"/>
        <v>#VALUE!</v>
      </c>
      <c r="N361" t="e">
        <f t="shared" si="216"/>
        <v>#VALUE!</v>
      </c>
      <c r="O361" t="e">
        <f t="shared" si="217"/>
        <v>#VALUE!</v>
      </c>
      <c r="P361" t="e">
        <f t="shared" si="218"/>
        <v>#VALUE!</v>
      </c>
      <c r="Q361" t="e">
        <f t="shared" si="219"/>
        <v>#VALUE!</v>
      </c>
      <c r="R361" t="e">
        <f t="shared" si="220"/>
        <v>#VALUE!</v>
      </c>
      <c r="S361" t="e">
        <f t="shared" si="221"/>
        <v>#VALUE!</v>
      </c>
      <c r="T361" s="174" t="e">
        <f t="shared" si="245"/>
        <v>#VALUE!</v>
      </c>
      <c r="U361" t="e">
        <f t="shared" si="222"/>
        <v>#VALUE!</v>
      </c>
      <c r="V361" t="e">
        <f t="shared" si="223"/>
        <v>#VALUE!</v>
      </c>
      <c r="W361" t="e">
        <f t="shared" si="224"/>
        <v>#VALUE!</v>
      </c>
      <c r="X361" t="e">
        <f t="shared" si="225"/>
        <v>#VALUE!</v>
      </c>
      <c r="Y361" t="e">
        <f t="shared" si="226"/>
        <v>#VALUE!</v>
      </c>
      <c r="Z361" t="e">
        <f t="shared" si="227"/>
        <v>#VALUE!</v>
      </c>
      <c r="AA361" t="e">
        <f t="shared" si="228"/>
        <v>#VALUE!</v>
      </c>
      <c r="AB361" s="23" t="e">
        <f t="shared" si="246"/>
        <v>#VALUE!</v>
      </c>
      <c r="AC361" t="e">
        <f t="shared" si="229"/>
        <v>#VALUE!</v>
      </c>
      <c r="AD361" t="e">
        <f t="shared" si="230"/>
        <v>#VALUE!</v>
      </c>
      <c r="AE361" t="e">
        <f t="shared" si="231"/>
        <v>#VALUE!</v>
      </c>
      <c r="AF361" t="e">
        <f t="shared" si="232"/>
        <v>#VALUE!</v>
      </c>
      <c r="AG361" t="e">
        <f t="shared" si="233"/>
        <v>#VALUE!</v>
      </c>
      <c r="AH361" t="e">
        <f t="shared" si="234"/>
        <v>#VALUE!</v>
      </c>
      <c r="AI361" t="e">
        <f t="shared" si="235"/>
        <v>#VALUE!</v>
      </c>
      <c r="AJ361" s="19" t="e">
        <f t="shared" si="247"/>
        <v>#VALUE!</v>
      </c>
      <c r="AK361" t="e">
        <f t="shared" si="236"/>
        <v>#VALUE!</v>
      </c>
      <c r="AL361" t="e">
        <f t="shared" si="237"/>
        <v>#VALUE!</v>
      </c>
      <c r="AM361" t="e">
        <f t="shared" si="238"/>
        <v>#VALUE!</v>
      </c>
      <c r="AN361" t="e">
        <f t="shared" si="239"/>
        <v>#VALUE!</v>
      </c>
      <c r="AO361" t="e">
        <f t="shared" si="240"/>
        <v>#VALUE!</v>
      </c>
      <c r="AP361" t="e">
        <f t="shared" si="241"/>
        <v>#VALUE!</v>
      </c>
      <c r="AQ361" t="e">
        <f t="shared" si="242"/>
        <v>#VALUE!</v>
      </c>
      <c r="AR361" s="123" t="e">
        <f t="shared" si="248"/>
        <v>#VALUE!</v>
      </c>
      <c r="AS361" t="e">
        <f t="shared" si="243"/>
        <v>#VALUE!</v>
      </c>
      <c r="AT361" s="181" t="e">
        <f>INDEX('stock fisico '!N:N, MATCH(B361, 'stock fisico '!B:B, 0))</f>
        <v>#N/A</v>
      </c>
      <c r="AU361" s="179" t="e">
        <f>INDEX('stock fisico '!D:D, MATCH(B361, 'stock fisico '!B:B, 0))</f>
        <v>#N/A</v>
      </c>
      <c r="AV361" s="177" t="e">
        <f>INDEX('stock fisico '!L:L, MATCH(B361, 'stock fisico '!B:B, 0))</f>
        <v>#N/A</v>
      </c>
    </row>
    <row r="362" spans="1:48" x14ac:dyDescent="0.25">
      <c r="A362" s="181" t="e">
        <f>INDEX('stock fisico '!M:M, MATCH(B362, 'stock fisico '!B:B, 0))</f>
        <v>#N/A</v>
      </c>
      <c r="C362" s="179" t="e">
        <f>INDEX('stock fisico '!C:C, MATCH(B362, 'stock fisico '!B:B, 0))</f>
        <v>#N/A</v>
      </c>
      <c r="D362" s="178" t="e">
        <f>INDEX('stock fisico '!I:I, MATCH(B362, 'stock fisico '!B:B, 0))</f>
        <v>#N/A</v>
      </c>
      <c r="E362" s="173" t="e">
        <f t="shared" si="249"/>
        <v>#VALUE!</v>
      </c>
      <c r="F362" t="e">
        <f t="shared" si="209"/>
        <v>#VALUE!</v>
      </c>
      <c r="G362" t="e">
        <f t="shared" si="210"/>
        <v>#VALUE!</v>
      </c>
      <c r="H362" t="e">
        <f t="shared" si="211"/>
        <v>#VALUE!</v>
      </c>
      <c r="I362" t="e">
        <f t="shared" si="212"/>
        <v>#VALUE!</v>
      </c>
      <c r="J362" t="e">
        <f t="shared" si="213"/>
        <v>#VALUE!</v>
      </c>
      <c r="K362" t="e">
        <f t="shared" si="214"/>
        <v>#VALUE!</v>
      </c>
      <c r="L362" s="175" t="e">
        <f t="shared" si="244"/>
        <v>#VALUE!</v>
      </c>
      <c r="M362" t="e">
        <f t="shared" si="215"/>
        <v>#VALUE!</v>
      </c>
      <c r="N362" t="e">
        <f t="shared" si="216"/>
        <v>#VALUE!</v>
      </c>
      <c r="O362" t="e">
        <f t="shared" si="217"/>
        <v>#VALUE!</v>
      </c>
      <c r="P362" t="e">
        <f t="shared" si="218"/>
        <v>#VALUE!</v>
      </c>
      <c r="Q362" t="e">
        <f t="shared" si="219"/>
        <v>#VALUE!</v>
      </c>
      <c r="R362" t="e">
        <f t="shared" si="220"/>
        <v>#VALUE!</v>
      </c>
      <c r="S362" t="e">
        <f t="shared" si="221"/>
        <v>#VALUE!</v>
      </c>
      <c r="T362" s="174" t="e">
        <f t="shared" si="245"/>
        <v>#VALUE!</v>
      </c>
      <c r="U362" t="e">
        <f t="shared" si="222"/>
        <v>#VALUE!</v>
      </c>
      <c r="V362" t="e">
        <f t="shared" si="223"/>
        <v>#VALUE!</v>
      </c>
      <c r="W362" t="e">
        <f t="shared" si="224"/>
        <v>#VALUE!</v>
      </c>
      <c r="X362" t="e">
        <f t="shared" si="225"/>
        <v>#VALUE!</v>
      </c>
      <c r="Y362" t="e">
        <f t="shared" si="226"/>
        <v>#VALUE!</v>
      </c>
      <c r="Z362" t="e">
        <f t="shared" si="227"/>
        <v>#VALUE!</v>
      </c>
      <c r="AA362" t="e">
        <f t="shared" si="228"/>
        <v>#VALUE!</v>
      </c>
      <c r="AB362" s="23" t="e">
        <f t="shared" si="246"/>
        <v>#VALUE!</v>
      </c>
      <c r="AC362" t="e">
        <f t="shared" si="229"/>
        <v>#VALUE!</v>
      </c>
      <c r="AD362" t="e">
        <f t="shared" si="230"/>
        <v>#VALUE!</v>
      </c>
      <c r="AE362" t="e">
        <f t="shared" si="231"/>
        <v>#VALUE!</v>
      </c>
      <c r="AF362" t="e">
        <f t="shared" si="232"/>
        <v>#VALUE!</v>
      </c>
      <c r="AG362" t="e">
        <f t="shared" si="233"/>
        <v>#VALUE!</v>
      </c>
      <c r="AH362" t="e">
        <f t="shared" si="234"/>
        <v>#VALUE!</v>
      </c>
      <c r="AI362" t="e">
        <f t="shared" si="235"/>
        <v>#VALUE!</v>
      </c>
      <c r="AJ362" s="19" t="e">
        <f t="shared" si="247"/>
        <v>#VALUE!</v>
      </c>
      <c r="AK362" t="e">
        <f t="shared" si="236"/>
        <v>#VALUE!</v>
      </c>
      <c r="AL362" t="e">
        <f t="shared" si="237"/>
        <v>#VALUE!</v>
      </c>
      <c r="AM362" t="e">
        <f t="shared" si="238"/>
        <v>#VALUE!</v>
      </c>
      <c r="AN362" t="e">
        <f t="shared" si="239"/>
        <v>#VALUE!</v>
      </c>
      <c r="AO362" t="e">
        <f t="shared" si="240"/>
        <v>#VALUE!</v>
      </c>
      <c r="AP362" t="e">
        <f t="shared" si="241"/>
        <v>#VALUE!</v>
      </c>
      <c r="AQ362" t="e">
        <f t="shared" si="242"/>
        <v>#VALUE!</v>
      </c>
      <c r="AR362" s="123" t="e">
        <f t="shared" si="248"/>
        <v>#VALUE!</v>
      </c>
      <c r="AS362" t="e">
        <f t="shared" si="243"/>
        <v>#VALUE!</v>
      </c>
      <c r="AT362" s="181" t="e">
        <f>INDEX('stock fisico '!N:N, MATCH(B362, 'stock fisico '!B:B, 0))</f>
        <v>#N/A</v>
      </c>
      <c r="AU362" s="179" t="e">
        <f>INDEX('stock fisico '!D:D, MATCH(B362, 'stock fisico '!B:B, 0))</f>
        <v>#N/A</v>
      </c>
      <c r="AV362" s="177" t="e">
        <f>INDEX('stock fisico '!L:L, MATCH(B362, 'stock fisico '!B:B, 0))</f>
        <v>#N/A</v>
      </c>
    </row>
    <row r="363" spans="1:48" x14ac:dyDescent="0.25">
      <c r="A363" s="181" t="e">
        <f>INDEX('stock fisico '!M:M, MATCH(B363, 'stock fisico '!B:B, 0))</f>
        <v>#N/A</v>
      </c>
      <c r="C363" s="179" t="e">
        <f>INDEX('stock fisico '!C:C, MATCH(B363, 'stock fisico '!B:B, 0))</f>
        <v>#N/A</v>
      </c>
      <c r="D363" s="178" t="e">
        <f>INDEX('stock fisico '!I:I, MATCH(B363, 'stock fisico '!B:B, 0))</f>
        <v>#N/A</v>
      </c>
      <c r="E363" s="173" t="e">
        <f t="shared" si="249"/>
        <v>#VALUE!</v>
      </c>
      <c r="F363" t="e">
        <f t="shared" si="209"/>
        <v>#VALUE!</v>
      </c>
      <c r="G363" t="e">
        <f t="shared" si="210"/>
        <v>#VALUE!</v>
      </c>
      <c r="H363" t="e">
        <f t="shared" si="211"/>
        <v>#VALUE!</v>
      </c>
      <c r="I363" t="e">
        <f t="shared" si="212"/>
        <v>#VALUE!</v>
      </c>
      <c r="J363" t="e">
        <f t="shared" si="213"/>
        <v>#VALUE!</v>
      </c>
      <c r="K363" t="e">
        <f t="shared" si="214"/>
        <v>#VALUE!</v>
      </c>
      <c r="L363" s="175" t="e">
        <f t="shared" si="244"/>
        <v>#VALUE!</v>
      </c>
      <c r="M363" t="e">
        <f t="shared" si="215"/>
        <v>#VALUE!</v>
      </c>
      <c r="N363" t="e">
        <f t="shared" si="216"/>
        <v>#VALUE!</v>
      </c>
      <c r="O363" t="e">
        <f t="shared" si="217"/>
        <v>#VALUE!</v>
      </c>
      <c r="P363" t="e">
        <f t="shared" si="218"/>
        <v>#VALUE!</v>
      </c>
      <c r="Q363" t="e">
        <f t="shared" si="219"/>
        <v>#VALUE!</v>
      </c>
      <c r="R363" t="e">
        <f t="shared" si="220"/>
        <v>#VALUE!</v>
      </c>
      <c r="S363" t="e">
        <f t="shared" si="221"/>
        <v>#VALUE!</v>
      </c>
      <c r="T363" s="174" t="e">
        <f t="shared" si="245"/>
        <v>#VALUE!</v>
      </c>
      <c r="U363" t="e">
        <f t="shared" si="222"/>
        <v>#VALUE!</v>
      </c>
      <c r="V363" t="e">
        <f t="shared" si="223"/>
        <v>#VALUE!</v>
      </c>
      <c r="W363" t="e">
        <f t="shared" si="224"/>
        <v>#VALUE!</v>
      </c>
      <c r="X363" t="e">
        <f t="shared" si="225"/>
        <v>#VALUE!</v>
      </c>
      <c r="Y363" t="e">
        <f t="shared" si="226"/>
        <v>#VALUE!</v>
      </c>
      <c r="Z363" t="e">
        <f t="shared" si="227"/>
        <v>#VALUE!</v>
      </c>
      <c r="AA363" t="e">
        <f t="shared" si="228"/>
        <v>#VALUE!</v>
      </c>
      <c r="AB363" s="23" t="e">
        <f t="shared" si="246"/>
        <v>#VALUE!</v>
      </c>
      <c r="AC363" t="e">
        <f t="shared" si="229"/>
        <v>#VALUE!</v>
      </c>
      <c r="AD363" t="e">
        <f t="shared" si="230"/>
        <v>#VALUE!</v>
      </c>
      <c r="AE363" t="e">
        <f t="shared" si="231"/>
        <v>#VALUE!</v>
      </c>
      <c r="AF363" t="e">
        <f t="shared" si="232"/>
        <v>#VALUE!</v>
      </c>
      <c r="AG363" t="e">
        <f t="shared" si="233"/>
        <v>#VALUE!</v>
      </c>
      <c r="AH363" t="e">
        <f t="shared" si="234"/>
        <v>#VALUE!</v>
      </c>
      <c r="AI363" t="e">
        <f t="shared" si="235"/>
        <v>#VALUE!</v>
      </c>
      <c r="AJ363" s="19" t="e">
        <f t="shared" si="247"/>
        <v>#VALUE!</v>
      </c>
      <c r="AK363" t="e">
        <f t="shared" si="236"/>
        <v>#VALUE!</v>
      </c>
      <c r="AL363" t="e">
        <f t="shared" si="237"/>
        <v>#VALUE!</v>
      </c>
      <c r="AM363" t="e">
        <f t="shared" si="238"/>
        <v>#VALUE!</v>
      </c>
      <c r="AN363" t="e">
        <f t="shared" si="239"/>
        <v>#VALUE!</v>
      </c>
      <c r="AO363" t="e">
        <f t="shared" si="240"/>
        <v>#VALUE!</v>
      </c>
      <c r="AP363" t="e">
        <f t="shared" si="241"/>
        <v>#VALUE!</v>
      </c>
      <c r="AQ363" t="e">
        <f t="shared" si="242"/>
        <v>#VALUE!</v>
      </c>
      <c r="AR363" s="123" t="e">
        <f t="shared" si="248"/>
        <v>#VALUE!</v>
      </c>
      <c r="AS363" t="e">
        <f t="shared" si="243"/>
        <v>#VALUE!</v>
      </c>
      <c r="AT363" s="181" t="e">
        <f>INDEX('stock fisico '!N:N, MATCH(B363, 'stock fisico '!B:B, 0))</f>
        <v>#N/A</v>
      </c>
      <c r="AU363" s="179" t="e">
        <f>INDEX('stock fisico '!D:D, MATCH(B363, 'stock fisico '!B:B, 0))</f>
        <v>#N/A</v>
      </c>
      <c r="AV363" s="177" t="e">
        <f>INDEX('stock fisico '!L:L, MATCH(B363, 'stock fisico '!B:B, 0))</f>
        <v>#N/A</v>
      </c>
    </row>
    <row r="364" spans="1:48" x14ac:dyDescent="0.25">
      <c r="A364" s="181" t="e">
        <f>INDEX('stock fisico '!M:M, MATCH(B364, 'stock fisico '!B:B, 0))</f>
        <v>#N/A</v>
      </c>
      <c r="C364" s="179" t="e">
        <f>INDEX('stock fisico '!C:C, MATCH(B364, 'stock fisico '!B:B, 0))</f>
        <v>#N/A</v>
      </c>
      <c r="D364" s="178" t="e">
        <f>INDEX('stock fisico '!I:I, MATCH(B364, 'stock fisico '!B:B, 0))</f>
        <v>#N/A</v>
      </c>
      <c r="E364" s="173" t="e">
        <f t="shared" si="249"/>
        <v>#VALUE!</v>
      </c>
      <c r="F364" t="e">
        <f t="shared" si="209"/>
        <v>#VALUE!</v>
      </c>
      <c r="G364" t="e">
        <f t="shared" si="210"/>
        <v>#VALUE!</v>
      </c>
      <c r="H364" t="e">
        <f t="shared" si="211"/>
        <v>#VALUE!</v>
      </c>
      <c r="I364" t="e">
        <f t="shared" si="212"/>
        <v>#VALUE!</v>
      </c>
      <c r="J364" t="e">
        <f t="shared" si="213"/>
        <v>#VALUE!</v>
      </c>
      <c r="K364" t="e">
        <f t="shared" si="214"/>
        <v>#VALUE!</v>
      </c>
      <c r="L364" s="175" t="e">
        <f t="shared" si="244"/>
        <v>#VALUE!</v>
      </c>
      <c r="M364" t="e">
        <f t="shared" si="215"/>
        <v>#VALUE!</v>
      </c>
      <c r="N364" t="e">
        <f t="shared" si="216"/>
        <v>#VALUE!</v>
      </c>
      <c r="O364" t="e">
        <f t="shared" si="217"/>
        <v>#VALUE!</v>
      </c>
      <c r="P364" t="e">
        <f t="shared" si="218"/>
        <v>#VALUE!</v>
      </c>
      <c r="Q364" t="e">
        <f t="shared" si="219"/>
        <v>#VALUE!</v>
      </c>
      <c r="R364" t="e">
        <f t="shared" si="220"/>
        <v>#VALUE!</v>
      </c>
      <c r="S364" t="e">
        <f t="shared" si="221"/>
        <v>#VALUE!</v>
      </c>
      <c r="T364" s="174" t="e">
        <f t="shared" si="245"/>
        <v>#VALUE!</v>
      </c>
      <c r="U364" t="e">
        <f t="shared" si="222"/>
        <v>#VALUE!</v>
      </c>
      <c r="V364" t="e">
        <f t="shared" si="223"/>
        <v>#VALUE!</v>
      </c>
      <c r="W364" t="e">
        <f t="shared" si="224"/>
        <v>#VALUE!</v>
      </c>
      <c r="X364" t="e">
        <f t="shared" si="225"/>
        <v>#VALUE!</v>
      </c>
      <c r="Y364" t="e">
        <f t="shared" si="226"/>
        <v>#VALUE!</v>
      </c>
      <c r="Z364" t="e">
        <f t="shared" si="227"/>
        <v>#VALUE!</v>
      </c>
      <c r="AA364" t="e">
        <f t="shared" si="228"/>
        <v>#VALUE!</v>
      </c>
      <c r="AB364" s="23" t="e">
        <f t="shared" si="246"/>
        <v>#VALUE!</v>
      </c>
      <c r="AC364" t="e">
        <f t="shared" si="229"/>
        <v>#VALUE!</v>
      </c>
      <c r="AD364" t="e">
        <f t="shared" si="230"/>
        <v>#VALUE!</v>
      </c>
      <c r="AE364" t="e">
        <f t="shared" si="231"/>
        <v>#VALUE!</v>
      </c>
      <c r="AF364" t="e">
        <f t="shared" si="232"/>
        <v>#VALUE!</v>
      </c>
      <c r="AG364" t="e">
        <f t="shared" si="233"/>
        <v>#VALUE!</v>
      </c>
      <c r="AH364" t="e">
        <f t="shared" si="234"/>
        <v>#VALUE!</v>
      </c>
      <c r="AI364" t="e">
        <f t="shared" si="235"/>
        <v>#VALUE!</v>
      </c>
      <c r="AJ364" s="19" t="e">
        <f t="shared" si="247"/>
        <v>#VALUE!</v>
      </c>
      <c r="AK364" t="e">
        <f t="shared" si="236"/>
        <v>#VALUE!</v>
      </c>
      <c r="AL364" t="e">
        <f t="shared" si="237"/>
        <v>#VALUE!</v>
      </c>
      <c r="AM364" t="e">
        <f t="shared" si="238"/>
        <v>#VALUE!</v>
      </c>
      <c r="AN364" t="e">
        <f t="shared" si="239"/>
        <v>#VALUE!</v>
      </c>
      <c r="AO364" t="e">
        <f t="shared" si="240"/>
        <v>#VALUE!</v>
      </c>
      <c r="AP364" t="e">
        <f t="shared" si="241"/>
        <v>#VALUE!</v>
      </c>
      <c r="AQ364" t="e">
        <f t="shared" si="242"/>
        <v>#VALUE!</v>
      </c>
      <c r="AR364" s="123" t="e">
        <f t="shared" si="248"/>
        <v>#VALUE!</v>
      </c>
      <c r="AS364" t="e">
        <f t="shared" si="243"/>
        <v>#VALUE!</v>
      </c>
      <c r="AT364" s="181" t="e">
        <f>INDEX('stock fisico '!N:N, MATCH(B364, 'stock fisico '!B:B, 0))</f>
        <v>#N/A</v>
      </c>
      <c r="AU364" s="179" t="e">
        <f>INDEX('stock fisico '!D:D, MATCH(B364, 'stock fisico '!B:B, 0))</f>
        <v>#N/A</v>
      </c>
      <c r="AV364" s="177" t="e">
        <f>INDEX('stock fisico '!L:L, MATCH(B364, 'stock fisico '!B:B, 0))</f>
        <v>#N/A</v>
      </c>
    </row>
    <row r="365" spans="1:48" x14ac:dyDescent="0.25">
      <c r="A365" s="181" t="e">
        <f>INDEX('stock fisico '!M:M, MATCH(B365, 'stock fisico '!B:B, 0))</f>
        <v>#N/A</v>
      </c>
      <c r="C365" s="179" t="e">
        <f>INDEX('stock fisico '!C:C, MATCH(B365, 'stock fisico '!B:B, 0))</f>
        <v>#N/A</v>
      </c>
      <c r="D365" s="178" t="e">
        <f>INDEX('stock fisico '!I:I, MATCH(B365, 'stock fisico '!B:B, 0))</f>
        <v>#N/A</v>
      </c>
      <c r="E365" s="173" t="e">
        <f t="shared" si="249"/>
        <v>#VALUE!</v>
      </c>
      <c r="F365" t="e">
        <f t="shared" si="209"/>
        <v>#VALUE!</v>
      </c>
      <c r="G365" t="e">
        <f t="shared" si="210"/>
        <v>#VALUE!</v>
      </c>
      <c r="H365" t="e">
        <f t="shared" si="211"/>
        <v>#VALUE!</v>
      </c>
      <c r="I365" t="e">
        <f t="shared" si="212"/>
        <v>#VALUE!</v>
      </c>
      <c r="J365" t="e">
        <f t="shared" si="213"/>
        <v>#VALUE!</v>
      </c>
      <c r="K365" t="e">
        <f t="shared" si="214"/>
        <v>#VALUE!</v>
      </c>
      <c r="L365" s="175" t="e">
        <f t="shared" si="244"/>
        <v>#VALUE!</v>
      </c>
      <c r="M365" t="e">
        <f t="shared" si="215"/>
        <v>#VALUE!</v>
      </c>
      <c r="N365" t="e">
        <f t="shared" si="216"/>
        <v>#VALUE!</v>
      </c>
      <c r="O365" t="e">
        <f t="shared" si="217"/>
        <v>#VALUE!</v>
      </c>
      <c r="P365" t="e">
        <f t="shared" si="218"/>
        <v>#VALUE!</v>
      </c>
      <c r="Q365" t="e">
        <f t="shared" si="219"/>
        <v>#VALUE!</v>
      </c>
      <c r="R365" t="e">
        <f t="shared" si="220"/>
        <v>#VALUE!</v>
      </c>
      <c r="S365" t="e">
        <f t="shared" si="221"/>
        <v>#VALUE!</v>
      </c>
      <c r="T365" s="174" t="e">
        <f t="shared" si="245"/>
        <v>#VALUE!</v>
      </c>
      <c r="U365" t="e">
        <f t="shared" si="222"/>
        <v>#VALUE!</v>
      </c>
      <c r="V365" t="e">
        <f t="shared" si="223"/>
        <v>#VALUE!</v>
      </c>
      <c r="W365" t="e">
        <f t="shared" si="224"/>
        <v>#VALUE!</v>
      </c>
      <c r="X365" t="e">
        <f t="shared" si="225"/>
        <v>#VALUE!</v>
      </c>
      <c r="Y365" t="e">
        <f t="shared" si="226"/>
        <v>#VALUE!</v>
      </c>
      <c r="Z365" t="e">
        <f t="shared" si="227"/>
        <v>#VALUE!</v>
      </c>
      <c r="AA365" t="e">
        <f t="shared" si="228"/>
        <v>#VALUE!</v>
      </c>
      <c r="AB365" s="23" t="e">
        <f t="shared" si="246"/>
        <v>#VALUE!</v>
      </c>
      <c r="AC365" t="e">
        <f t="shared" si="229"/>
        <v>#VALUE!</v>
      </c>
      <c r="AD365" t="e">
        <f t="shared" si="230"/>
        <v>#VALUE!</v>
      </c>
      <c r="AE365" t="e">
        <f t="shared" si="231"/>
        <v>#VALUE!</v>
      </c>
      <c r="AF365" t="e">
        <f t="shared" si="232"/>
        <v>#VALUE!</v>
      </c>
      <c r="AG365" t="e">
        <f t="shared" si="233"/>
        <v>#VALUE!</v>
      </c>
      <c r="AH365" t="e">
        <f t="shared" si="234"/>
        <v>#VALUE!</v>
      </c>
      <c r="AI365" t="e">
        <f t="shared" si="235"/>
        <v>#VALUE!</v>
      </c>
      <c r="AJ365" s="19" t="e">
        <f t="shared" si="247"/>
        <v>#VALUE!</v>
      </c>
      <c r="AK365" t="e">
        <f t="shared" si="236"/>
        <v>#VALUE!</v>
      </c>
      <c r="AL365" t="e">
        <f t="shared" si="237"/>
        <v>#VALUE!</v>
      </c>
      <c r="AM365" t="e">
        <f t="shared" si="238"/>
        <v>#VALUE!</v>
      </c>
      <c r="AN365" t="e">
        <f t="shared" si="239"/>
        <v>#VALUE!</v>
      </c>
      <c r="AO365" t="e">
        <f t="shared" si="240"/>
        <v>#VALUE!</v>
      </c>
      <c r="AP365" t="e">
        <f t="shared" si="241"/>
        <v>#VALUE!</v>
      </c>
      <c r="AQ365" t="e">
        <f t="shared" si="242"/>
        <v>#VALUE!</v>
      </c>
      <c r="AR365" s="123" t="e">
        <f t="shared" si="248"/>
        <v>#VALUE!</v>
      </c>
      <c r="AS365" t="e">
        <f t="shared" si="243"/>
        <v>#VALUE!</v>
      </c>
      <c r="AT365" s="181" t="e">
        <f>INDEX('stock fisico '!N:N, MATCH(B365, 'stock fisico '!B:B, 0))</f>
        <v>#N/A</v>
      </c>
      <c r="AU365" s="179" t="e">
        <f>INDEX('stock fisico '!D:D, MATCH(B365, 'stock fisico '!B:B, 0))</f>
        <v>#N/A</v>
      </c>
      <c r="AV365" s="177" t="e">
        <f>INDEX('stock fisico '!L:L, MATCH(B365, 'stock fisico '!B:B, 0))</f>
        <v>#N/A</v>
      </c>
    </row>
    <row r="366" spans="1:48" x14ac:dyDescent="0.25">
      <c r="A366" s="181" t="e">
        <f>INDEX('stock fisico '!M:M, MATCH(B366, 'stock fisico '!B:B, 0))</f>
        <v>#N/A</v>
      </c>
      <c r="C366" s="179" t="e">
        <f>INDEX('stock fisico '!C:C, MATCH(B366, 'stock fisico '!B:B, 0))</f>
        <v>#N/A</v>
      </c>
      <c r="D366" s="178" t="e">
        <f>INDEX('stock fisico '!I:I, MATCH(B366, 'stock fisico '!B:B, 0))</f>
        <v>#N/A</v>
      </c>
      <c r="E366" s="173" t="e">
        <f t="shared" si="249"/>
        <v>#VALUE!</v>
      </c>
      <c r="F366" t="e">
        <f t="shared" si="209"/>
        <v>#VALUE!</v>
      </c>
      <c r="G366" t="e">
        <f t="shared" si="210"/>
        <v>#VALUE!</v>
      </c>
      <c r="H366" t="e">
        <f t="shared" si="211"/>
        <v>#VALUE!</v>
      </c>
      <c r="I366" t="e">
        <f t="shared" si="212"/>
        <v>#VALUE!</v>
      </c>
      <c r="J366" t="e">
        <f t="shared" si="213"/>
        <v>#VALUE!</v>
      </c>
      <c r="K366" t="e">
        <f t="shared" si="214"/>
        <v>#VALUE!</v>
      </c>
      <c r="L366" s="175" t="e">
        <f t="shared" si="244"/>
        <v>#VALUE!</v>
      </c>
      <c r="M366" t="e">
        <f t="shared" si="215"/>
        <v>#VALUE!</v>
      </c>
      <c r="N366" t="e">
        <f t="shared" si="216"/>
        <v>#VALUE!</v>
      </c>
      <c r="O366" t="e">
        <f t="shared" si="217"/>
        <v>#VALUE!</v>
      </c>
      <c r="P366" t="e">
        <f t="shared" si="218"/>
        <v>#VALUE!</v>
      </c>
      <c r="Q366" t="e">
        <f t="shared" si="219"/>
        <v>#VALUE!</v>
      </c>
      <c r="R366" t="e">
        <f t="shared" si="220"/>
        <v>#VALUE!</v>
      </c>
      <c r="S366" t="e">
        <f t="shared" si="221"/>
        <v>#VALUE!</v>
      </c>
      <c r="T366" s="174" t="e">
        <f t="shared" si="245"/>
        <v>#VALUE!</v>
      </c>
      <c r="U366" t="e">
        <f t="shared" si="222"/>
        <v>#VALUE!</v>
      </c>
      <c r="V366" t="e">
        <f t="shared" si="223"/>
        <v>#VALUE!</v>
      </c>
      <c r="W366" t="e">
        <f t="shared" si="224"/>
        <v>#VALUE!</v>
      </c>
      <c r="X366" t="e">
        <f t="shared" si="225"/>
        <v>#VALUE!</v>
      </c>
      <c r="Y366" t="e">
        <f t="shared" si="226"/>
        <v>#VALUE!</v>
      </c>
      <c r="Z366" t="e">
        <f t="shared" si="227"/>
        <v>#VALUE!</v>
      </c>
      <c r="AA366" t="e">
        <f t="shared" si="228"/>
        <v>#VALUE!</v>
      </c>
      <c r="AB366" s="23" t="e">
        <f t="shared" si="246"/>
        <v>#VALUE!</v>
      </c>
      <c r="AC366" t="e">
        <f t="shared" si="229"/>
        <v>#VALUE!</v>
      </c>
      <c r="AD366" t="e">
        <f t="shared" si="230"/>
        <v>#VALUE!</v>
      </c>
      <c r="AE366" t="e">
        <f t="shared" si="231"/>
        <v>#VALUE!</v>
      </c>
      <c r="AF366" t="e">
        <f t="shared" si="232"/>
        <v>#VALUE!</v>
      </c>
      <c r="AG366" t="e">
        <f t="shared" si="233"/>
        <v>#VALUE!</v>
      </c>
      <c r="AH366" t="e">
        <f t="shared" si="234"/>
        <v>#VALUE!</v>
      </c>
      <c r="AI366" t="e">
        <f t="shared" si="235"/>
        <v>#VALUE!</v>
      </c>
      <c r="AJ366" s="19" t="e">
        <f t="shared" si="247"/>
        <v>#VALUE!</v>
      </c>
      <c r="AK366" t="e">
        <f t="shared" si="236"/>
        <v>#VALUE!</v>
      </c>
      <c r="AL366" t="e">
        <f t="shared" si="237"/>
        <v>#VALUE!</v>
      </c>
      <c r="AM366" t="e">
        <f t="shared" si="238"/>
        <v>#VALUE!</v>
      </c>
      <c r="AN366" t="e">
        <f t="shared" si="239"/>
        <v>#VALUE!</v>
      </c>
      <c r="AO366" t="e">
        <f t="shared" si="240"/>
        <v>#VALUE!</v>
      </c>
      <c r="AP366" t="e">
        <f t="shared" si="241"/>
        <v>#VALUE!</v>
      </c>
      <c r="AQ366" t="e">
        <f t="shared" si="242"/>
        <v>#VALUE!</v>
      </c>
      <c r="AR366" s="123" t="e">
        <f t="shared" si="248"/>
        <v>#VALUE!</v>
      </c>
      <c r="AS366" t="e">
        <f t="shared" si="243"/>
        <v>#VALUE!</v>
      </c>
      <c r="AT366" s="181" t="e">
        <f>INDEX('stock fisico '!N:N, MATCH(B366, 'stock fisico '!B:B, 0))</f>
        <v>#N/A</v>
      </c>
      <c r="AU366" s="179" t="e">
        <f>INDEX('stock fisico '!D:D, MATCH(B366, 'stock fisico '!B:B, 0))</f>
        <v>#N/A</v>
      </c>
      <c r="AV366" s="177" t="e">
        <f>INDEX('stock fisico '!L:L, MATCH(B366, 'stock fisico '!B:B, 0))</f>
        <v>#N/A</v>
      </c>
    </row>
    <row r="367" spans="1:48" x14ac:dyDescent="0.25">
      <c r="A367" s="181" t="e">
        <f>INDEX('stock fisico '!M:M, MATCH(B367, 'stock fisico '!B:B, 0))</f>
        <v>#N/A</v>
      </c>
      <c r="C367" s="179" t="e">
        <f>INDEX('stock fisico '!C:C, MATCH(B367, 'stock fisico '!B:B, 0))</f>
        <v>#N/A</v>
      </c>
      <c r="D367" s="178" t="e">
        <f>INDEX('stock fisico '!I:I, MATCH(B367, 'stock fisico '!B:B, 0))</f>
        <v>#N/A</v>
      </c>
      <c r="E367" s="173" t="e">
        <f t="shared" si="249"/>
        <v>#VALUE!</v>
      </c>
      <c r="F367" t="e">
        <f t="shared" si="209"/>
        <v>#VALUE!</v>
      </c>
      <c r="G367" t="e">
        <f t="shared" si="210"/>
        <v>#VALUE!</v>
      </c>
      <c r="H367" t="e">
        <f t="shared" si="211"/>
        <v>#VALUE!</v>
      </c>
      <c r="I367" t="e">
        <f t="shared" si="212"/>
        <v>#VALUE!</v>
      </c>
      <c r="J367" t="e">
        <f t="shared" si="213"/>
        <v>#VALUE!</v>
      </c>
      <c r="K367" t="e">
        <f t="shared" si="214"/>
        <v>#VALUE!</v>
      </c>
      <c r="L367" s="175" t="e">
        <f t="shared" si="244"/>
        <v>#VALUE!</v>
      </c>
      <c r="M367" t="e">
        <f t="shared" si="215"/>
        <v>#VALUE!</v>
      </c>
      <c r="N367" t="e">
        <f t="shared" si="216"/>
        <v>#VALUE!</v>
      </c>
      <c r="O367" t="e">
        <f t="shared" si="217"/>
        <v>#VALUE!</v>
      </c>
      <c r="P367" t="e">
        <f t="shared" si="218"/>
        <v>#VALUE!</v>
      </c>
      <c r="Q367" t="e">
        <f t="shared" si="219"/>
        <v>#VALUE!</v>
      </c>
      <c r="R367" t="e">
        <f t="shared" si="220"/>
        <v>#VALUE!</v>
      </c>
      <c r="S367" t="e">
        <f t="shared" si="221"/>
        <v>#VALUE!</v>
      </c>
      <c r="T367" s="174" t="e">
        <f t="shared" si="245"/>
        <v>#VALUE!</v>
      </c>
      <c r="U367" t="e">
        <f t="shared" si="222"/>
        <v>#VALUE!</v>
      </c>
      <c r="V367" t="e">
        <f t="shared" si="223"/>
        <v>#VALUE!</v>
      </c>
      <c r="W367" t="e">
        <f t="shared" si="224"/>
        <v>#VALUE!</v>
      </c>
      <c r="X367" t="e">
        <f t="shared" si="225"/>
        <v>#VALUE!</v>
      </c>
      <c r="Y367" t="e">
        <f t="shared" si="226"/>
        <v>#VALUE!</v>
      </c>
      <c r="Z367" t="e">
        <f t="shared" si="227"/>
        <v>#VALUE!</v>
      </c>
      <c r="AA367" t="e">
        <f t="shared" si="228"/>
        <v>#VALUE!</v>
      </c>
      <c r="AB367" s="23" t="e">
        <f t="shared" si="246"/>
        <v>#VALUE!</v>
      </c>
      <c r="AC367" t="e">
        <f t="shared" si="229"/>
        <v>#VALUE!</v>
      </c>
      <c r="AD367" t="e">
        <f t="shared" si="230"/>
        <v>#VALUE!</v>
      </c>
      <c r="AE367" t="e">
        <f t="shared" si="231"/>
        <v>#VALUE!</v>
      </c>
      <c r="AF367" t="e">
        <f t="shared" si="232"/>
        <v>#VALUE!</v>
      </c>
      <c r="AG367" t="e">
        <f t="shared" si="233"/>
        <v>#VALUE!</v>
      </c>
      <c r="AH367" t="e">
        <f t="shared" si="234"/>
        <v>#VALUE!</v>
      </c>
      <c r="AI367" t="e">
        <f t="shared" si="235"/>
        <v>#VALUE!</v>
      </c>
      <c r="AJ367" s="19" t="e">
        <f t="shared" si="247"/>
        <v>#VALUE!</v>
      </c>
      <c r="AK367" t="e">
        <f t="shared" si="236"/>
        <v>#VALUE!</v>
      </c>
      <c r="AL367" t="e">
        <f t="shared" si="237"/>
        <v>#VALUE!</v>
      </c>
      <c r="AM367" t="e">
        <f t="shared" si="238"/>
        <v>#VALUE!</v>
      </c>
      <c r="AN367" t="e">
        <f t="shared" si="239"/>
        <v>#VALUE!</v>
      </c>
      <c r="AO367" t="e">
        <f t="shared" si="240"/>
        <v>#VALUE!</v>
      </c>
      <c r="AP367" t="e">
        <f t="shared" si="241"/>
        <v>#VALUE!</v>
      </c>
      <c r="AQ367" t="e">
        <f t="shared" si="242"/>
        <v>#VALUE!</v>
      </c>
      <c r="AR367" s="123" t="e">
        <f t="shared" si="248"/>
        <v>#VALUE!</v>
      </c>
      <c r="AS367" t="e">
        <f t="shared" si="243"/>
        <v>#VALUE!</v>
      </c>
      <c r="AT367" s="181" t="e">
        <f>INDEX('stock fisico '!N:N, MATCH(B367, 'stock fisico '!B:B, 0))</f>
        <v>#N/A</v>
      </c>
      <c r="AU367" s="179" t="e">
        <f>INDEX('stock fisico '!D:D, MATCH(B367, 'stock fisico '!B:B, 0))</f>
        <v>#N/A</v>
      </c>
      <c r="AV367" s="177" t="e">
        <f>INDEX('stock fisico '!L:L, MATCH(B367, 'stock fisico '!B:B, 0))</f>
        <v>#N/A</v>
      </c>
    </row>
    <row r="368" spans="1:48" x14ac:dyDescent="0.25">
      <c r="A368" s="181" t="e">
        <f>INDEX('stock fisico '!M:M, MATCH(B368, 'stock fisico '!B:B, 0))</f>
        <v>#N/A</v>
      </c>
      <c r="C368" s="179" t="e">
        <f>INDEX('stock fisico '!C:C, MATCH(B368, 'stock fisico '!B:B, 0))</f>
        <v>#N/A</v>
      </c>
      <c r="D368" s="178" t="e">
        <f>INDEX('stock fisico '!I:I, MATCH(B368, 'stock fisico '!B:B, 0))</f>
        <v>#N/A</v>
      </c>
      <c r="E368" s="173" t="e">
        <f t="shared" si="249"/>
        <v>#VALUE!</v>
      </c>
      <c r="F368" t="e">
        <f t="shared" si="209"/>
        <v>#VALUE!</v>
      </c>
      <c r="G368" t="e">
        <f t="shared" si="210"/>
        <v>#VALUE!</v>
      </c>
      <c r="H368" t="e">
        <f t="shared" si="211"/>
        <v>#VALUE!</v>
      </c>
      <c r="I368" t="e">
        <f t="shared" si="212"/>
        <v>#VALUE!</v>
      </c>
      <c r="J368" t="e">
        <f t="shared" si="213"/>
        <v>#VALUE!</v>
      </c>
      <c r="K368" t="e">
        <f t="shared" si="214"/>
        <v>#VALUE!</v>
      </c>
      <c r="L368" s="175" t="e">
        <f t="shared" si="244"/>
        <v>#VALUE!</v>
      </c>
      <c r="M368" t="e">
        <f t="shared" si="215"/>
        <v>#VALUE!</v>
      </c>
      <c r="N368" t="e">
        <f t="shared" si="216"/>
        <v>#VALUE!</v>
      </c>
      <c r="O368" t="e">
        <f t="shared" si="217"/>
        <v>#VALUE!</v>
      </c>
      <c r="P368" t="e">
        <f t="shared" si="218"/>
        <v>#VALUE!</v>
      </c>
      <c r="Q368" t="e">
        <f t="shared" si="219"/>
        <v>#VALUE!</v>
      </c>
      <c r="R368" t="e">
        <f t="shared" si="220"/>
        <v>#VALUE!</v>
      </c>
      <c r="S368" t="e">
        <f t="shared" si="221"/>
        <v>#VALUE!</v>
      </c>
      <c r="T368" s="174" t="e">
        <f t="shared" si="245"/>
        <v>#VALUE!</v>
      </c>
      <c r="U368" t="e">
        <f t="shared" si="222"/>
        <v>#VALUE!</v>
      </c>
      <c r="V368" t="e">
        <f t="shared" si="223"/>
        <v>#VALUE!</v>
      </c>
      <c r="W368" t="e">
        <f t="shared" si="224"/>
        <v>#VALUE!</v>
      </c>
      <c r="X368" t="e">
        <f t="shared" si="225"/>
        <v>#VALUE!</v>
      </c>
      <c r="Y368" t="e">
        <f t="shared" si="226"/>
        <v>#VALUE!</v>
      </c>
      <c r="Z368" t="e">
        <f t="shared" si="227"/>
        <v>#VALUE!</v>
      </c>
      <c r="AA368" t="e">
        <f t="shared" si="228"/>
        <v>#VALUE!</v>
      </c>
      <c r="AB368" s="23" t="e">
        <f t="shared" si="246"/>
        <v>#VALUE!</v>
      </c>
      <c r="AC368" t="e">
        <f t="shared" si="229"/>
        <v>#VALUE!</v>
      </c>
      <c r="AD368" t="e">
        <f t="shared" si="230"/>
        <v>#VALUE!</v>
      </c>
      <c r="AE368" t="e">
        <f t="shared" si="231"/>
        <v>#VALUE!</v>
      </c>
      <c r="AF368" t="e">
        <f t="shared" si="232"/>
        <v>#VALUE!</v>
      </c>
      <c r="AG368" t="e">
        <f t="shared" si="233"/>
        <v>#VALUE!</v>
      </c>
      <c r="AH368" t="e">
        <f t="shared" si="234"/>
        <v>#VALUE!</v>
      </c>
      <c r="AI368" t="e">
        <f t="shared" si="235"/>
        <v>#VALUE!</v>
      </c>
      <c r="AJ368" s="19" t="e">
        <f t="shared" si="247"/>
        <v>#VALUE!</v>
      </c>
      <c r="AK368" t="e">
        <f t="shared" si="236"/>
        <v>#VALUE!</v>
      </c>
      <c r="AL368" t="e">
        <f t="shared" si="237"/>
        <v>#VALUE!</v>
      </c>
      <c r="AM368" t="e">
        <f t="shared" si="238"/>
        <v>#VALUE!</v>
      </c>
      <c r="AN368" t="e">
        <f t="shared" si="239"/>
        <v>#VALUE!</v>
      </c>
      <c r="AO368" t="e">
        <f t="shared" si="240"/>
        <v>#VALUE!</v>
      </c>
      <c r="AP368" t="e">
        <f t="shared" si="241"/>
        <v>#VALUE!</v>
      </c>
      <c r="AQ368" t="e">
        <f t="shared" si="242"/>
        <v>#VALUE!</v>
      </c>
      <c r="AR368" s="123" t="e">
        <f t="shared" si="248"/>
        <v>#VALUE!</v>
      </c>
      <c r="AS368" t="e">
        <f t="shared" si="243"/>
        <v>#VALUE!</v>
      </c>
      <c r="AT368" s="181" t="e">
        <f>INDEX('stock fisico '!N:N, MATCH(B368, 'stock fisico '!B:B, 0))</f>
        <v>#N/A</v>
      </c>
      <c r="AU368" s="179" t="e">
        <f>INDEX('stock fisico '!D:D, MATCH(B368, 'stock fisico '!B:B, 0))</f>
        <v>#N/A</v>
      </c>
      <c r="AV368" s="177" t="e">
        <f>INDEX('stock fisico '!L:L, MATCH(B368, 'stock fisico '!B:B, 0))</f>
        <v>#N/A</v>
      </c>
    </row>
    <row r="369" spans="1:48" x14ac:dyDescent="0.25">
      <c r="A369" s="181" t="e">
        <f>INDEX('stock fisico '!M:M, MATCH(B369, 'stock fisico '!B:B, 0))</f>
        <v>#N/A</v>
      </c>
      <c r="C369" s="179" t="e">
        <f>INDEX('stock fisico '!C:C, MATCH(B369, 'stock fisico '!B:B, 0))</f>
        <v>#N/A</v>
      </c>
      <c r="D369" s="178" t="e">
        <f>INDEX('stock fisico '!I:I, MATCH(B369, 'stock fisico '!B:B, 0))</f>
        <v>#N/A</v>
      </c>
      <c r="E369" s="173" t="e">
        <f t="shared" si="249"/>
        <v>#VALUE!</v>
      </c>
      <c r="F369" t="e">
        <f t="shared" si="209"/>
        <v>#VALUE!</v>
      </c>
      <c r="G369" t="e">
        <f t="shared" si="210"/>
        <v>#VALUE!</v>
      </c>
      <c r="H369" t="e">
        <f t="shared" si="211"/>
        <v>#VALUE!</v>
      </c>
      <c r="I369" t="e">
        <f t="shared" si="212"/>
        <v>#VALUE!</v>
      </c>
      <c r="J369" t="e">
        <f t="shared" si="213"/>
        <v>#VALUE!</v>
      </c>
      <c r="K369" t="e">
        <f t="shared" si="214"/>
        <v>#VALUE!</v>
      </c>
      <c r="L369" s="175" t="e">
        <f t="shared" si="244"/>
        <v>#VALUE!</v>
      </c>
      <c r="M369" t="e">
        <f t="shared" si="215"/>
        <v>#VALUE!</v>
      </c>
      <c r="N369" t="e">
        <f t="shared" si="216"/>
        <v>#VALUE!</v>
      </c>
      <c r="O369" t="e">
        <f t="shared" si="217"/>
        <v>#VALUE!</v>
      </c>
      <c r="P369" t="e">
        <f t="shared" si="218"/>
        <v>#VALUE!</v>
      </c>
      <c r="Q369" t="e">
        <f t="shared" si="219"/>
        <v>#VALUE!</v>
      </c>
      <c r="R369" t="e">
        <f t="shared" si="220"/>
        <v>#VALUE!</v>
      </c>
      <c r="S369" t="e">
        <f t="shared" si="221"/>
        <v>#VALUE!</v>
      </c>
      <c r="T369" s="174" t="e">
        <f t="shared" si="245"/>
        <v>#VALUE!</v>
      </c>
      <c r="U369" t="e">
        <f t="shared" si="222"/>
        <v>#VALUE!</v>
      </c>
      <c r="V369" t="e">
        <f t="shared" si="223"/>
        <v>#VALUE!</v>
      </c>
      <c r="W369" t="e">
        <f t="shared" si="224"/>
        <v>#VALUE!</v>
      </c>
      <c r="X369" t="e">
        <f t="shared" si="225"/>
        <v>#VALUE!</v>
      </c>
      <c r="Y369" t="e">
        <f t="shared" si="226"/>
        <v>#VALUE!</v>
      </c>
      <c r="Z369" t="e">
        <f t="shared" si="227"/>
        <v>#VALUE!</v>
      </c>
      <c r="AA369" t="e">
        <f t="shared" si="228"/>
        <v>#VALUE!</v>
      </c>
      <c r="AB369" s="23" t="e">
        <f t="shared" si="246"/>
        <v>#VALUE!</v>
      </c>
      <c r="AC369" t="e">
        <f t="shared" si="229"/>
        <v>#VALUE!</v>
      </c>
      <c r="AD369" t="e">
        <f t="shared" si="230"/>
        <v>#VALUE!</v>
      </c>
      <c r="AE369" t="e">
        <f t="shared" si="231"/>
        <v>#VALUE!</v>
      </c>
      <c r="AF369" t="e">
        <f t="shared" si="232"/>
        <v>#VALUE!</v>
      </c>
      <c r="AG369" t="e">
        <f t="shared" si="233"/>
        <v>#VALUE!</v>
      </c>
      <c r="AH369" t="e">
        <f t="shared" si="234"/>
        <v>#VALUE!</v>
      </c>
      <c r="AI369" t="e">
        <f t="shared" si="235"/>
        <v>#VALUE!</v>
      </c>
      <c r="AJ369" s="19" t="e">
        <f t="shared" si="247"/>
        <v>#VALUE!</v>
      </c>
      <c r="AK369" t="e">
        <f t="shared" si="236"/>
        <v>#VALUE!</v>
      </c>
      <c r="AL369" t="e">
        <f t="shared" si="237"/>
        <v>#VALUE!</v>
      </c>
      <c r="AM369" t="e">
        <f t="shared" si="238"/>
        <v>#VALUE!</v>
      </c>
      <c r="AN369" t="e">
        <f t="shared" si="239"/>
        <v>#VALUE!</v>
      </c>
      <c r="AO369" t="e">
        <f t="shared" si="240"/>
        <v>#VALUE!</v>
      </c>
      <c r="AP369" t="e">
        <f t="shared" si="241"/>
        <v>#VALUE!</v>
      </c>
      <c r="AQ369" t="e">
        <f t="shared" si="242"/>
        <v>#VALUE!</v>
      </c>
      <c r="AR369" s="123" t="e">
        <f t="shared" si="248"/>
        <v>#VALUE!</v>
      </c>
      <c r="AS369" t="e">
        <f t="shared" si="243"/>
        <v>#VALUE!</v>
      </c>
      <c r="AT369" s="181" t="e">
        <f>INDEX('stock fisico '!N:N, MATCH(B369, 'stock fisico '!B:B, 0))</f>
        <v>#N/A</v>
      </c>
      <c r="AU369" s="179" t="e">
        <f>INDEX('stock fisico '!D:D, MATCH(B369, 'stock fisico '!B:B, 0))</f>
        <v>#N/A</v>
      </c>
      <c r="AV369" s="177" t="e">
        <f>INDEX('stock fisico '!L:L, MATCH(B369, 'stock fisico '!B:B, 0))</f>
        <v>#N/A</v>
      </c>
    </row>
    <row r="370" spans="1:48" x14ac:dyDescent="0.25">
      <c r="A370" s="181" t="e">
        <f>INDEX('stock fisico '!M:M, MATCH(B370, 'stock fisico '!B:B, 0))</f>
        <v>#N/A</v>
      </c>
      <c r="C370" s="179" t="e">
        <f>INDEX('stock fisico '!C:C, MATCH(B370, 'stock fisico '!B:B, 0))</f>
        <v>#N/A</v>
      </c>
      <c r="D370" s="178" t="e">
        <f>INDEX('stock fisico '!I:I, MATCH(B370, 'stock fisico '!B:B, 0))</f>
        <v>#N/A</v>
      </c>
      <c r="E370" s="173" t="e">
        <f t="shared" si="249"/>
        <v>#VALUE!</v>
      </c>
      <c r="F370" t="e">
        <f t="shared" si="209"/>
        <v>#VALUE!</v>
      </c>
      <c r="G370" t="e">
        <f t="shared" si="210"/>
        <v>#VALUE!</v>
      </c>
      <c r="H370" t="e">
        <f t="shared" si="211"/>
        <v>#VALUE!</v>
      </c>
      <c r="I370" t="e">
        <f t="shared" si="212"/>
        <v>#VALUE!</v>
      </c>
      <c r="J370" t="e">
        <f t="shared" si="213"/>
        <v>#VALUE!</v>
      </c>
      <c r="K370" t="e">
        <f t="shared" si="214"/>
        <v>#VALUE!</v>
      </c>
      <c r="L370" s="175" t="e">
        <f t="shared" si="244"/>
        <v>#VALUE!</v>
      </c>
      <c r="M370" t="e">
        <f t="shared" si="215"/>
        <v>#VALUE!</v>
      </c>
      <c r="N370" t="e">
        <f t="shared" si="216"/>
        <v>#VALUE!</v>
      </c>
      <c r="O370" t="e">
        <f t="shared" si="217"/>
        <v>#VALUE!</v>
      </c>
      <c r="P370" t="e">
        <f t="shared" si="218"/>
        <v>#VALUE!</v>
      </c>
      <c r="Q370" t="e">
        <f t="shared" si="219"/>
        <v>#VALUE!</v>
      </c>
      <c r="R370" t="e">
        <f t="shared" si="220"/>
        <v>#VALUE!</v>
      </c>
      <c r="S370" t="e">
        <f t="shared" si="221"/>
        <v>#VALUE!</v>
      </c>
      <c r="T370" s="174" t="e">
        <f t="shared" si="245"/>
        <v>#VALUE!</v>
      </c>
      <c r="U370" t="e">
        <f t="shared" si="222"/>
        <v>#VALUE!</v>
      </c>
      <c r="V370" t="e">
        <f t="shared" si="223"/>
        <v>#VALUE!</v>
      </c>
      <c r="W370" t="e">
        <f t="shared" si="224"/>
        <v>#VALUE!</v>
      </c>
      <c r="X370" t="e">
        <f t="shared" si="225"/>
        <v>#VALUE!</v>
      </c>
      <c r="Y370" t="e">
        <f t="shared" si="226"/>
        <v>#VALUE!</v>
      </c>
      <c r="Z370" t="e">
        <f t="shared" si="227"/>
        <v>#VALUE!</v>
      </c>
      <c r="AA370" t="e">
        <f t="shared" si="228"/>
        <v>#VALUE!</v>
      </c>
      <c r="AB370" s="23" t="e">
        <f t="shared" si="246"/>
        <v>#VALUE!</v>
      </c>
      <c r="AC370" t="e">
        <f t="shared" si="229"/>
        <v>#VALUE!</v>
      </c>
      <c r="AD370" t="e">
        <f t="shared" si="230"/>
        <v>#VALUE!</v>
      </c>
      <c r="AE370" t="e">
        <f t="shared" si="231"/>
        <v>#VALUE!</v>
      </c>
      <c r="AF370" t="e">
        <f t="shared" si="232"/>
        <v>#VALUE!</v>
      </c>
      <c r="AG370" t="e">
        <f t="shared" si="233"/>
        <v>#VALUE!</v>
      </c>
      <c r="AH370" t="e">
        <f t="shared" si="234"/>
        <v>#VALUE!</v>
      </c>
      <c r="AI370" t="e">
        <f t="shared" si="235"/>
        <v>#VALUE!</v>
      </c>
      <c r="AJ370" s="19" t="e">
        <f t="shared" si="247"/>
        <v>#VALUE!</v>
      </c>
      <c r="AK370" t="e">
        <f t="shared" si="236"/>
        <v>#VALUE!</v>
      </c>
      <c r="AL370" t="e">
        <f t="shared" si="237"/>
        <v>#VALUE!</v>
      </c>
      <c r="AM370" t="e">
        <f t="shared" si="238"/>
        <v>#VALUE!</v>
      </c>
      <c r="AN370" t="e">
        <f t="shared" si="239"/>
        <v>#VALUE!</v>
      </c>
      <c r="AO370" t="e">
        <f t="shared" si="240"/>
        <v>#VALUE!</v>
      </c>
      <c r="AP370" t="e">
        <f t="shared" si="241"/>
        <v>#VALUE!</v>
      </c>
      <c r="AQ370" t="e">
        <f t="shared" si="242"/>
        <v>#VALUE!</v>
      </c>
      <c r="AR370" s="123" t="e">
        <f t="shared" si="248"/>
        <v>#VALUE!</v>
      </c>
      <c r="AS370" t="e">
        <f t="shared" si="243"/>
        <v>#VALUE!</v>
      </c>
      <c r="AT370" s="181" t="e">
        <f>INDEX('stock fisico '!N:N, MATCH(B370, 'stock fisico '!B:B, 0))</f>
        <v>#N/A</v>
      </c>
      <c r="AU370" s="179" t="e">
        <f>INDEX('stock fisico '!D:D, MATCH(B370, 'stock fisico '!B:B, 0))</f>
        <v>#N/A</v>
      </c>
      <c r="AV370" s="177" t="e">
        <f>INDEX('stock fisico '!L:L, MATCH(B370, 'stock fisico '!B:B, 0))</f>
        <v>#N/A</v>
      </c>
    </row>
    <row r="371" spans="1:48" x14ac:dyDescent="0.25">
      <c r="A371" s="181" t="e">
        <f>INDEX('stock fisico '!M:M, MATCH(B371, 'stock fisico '!B:B, 0))</f>
        <v>#N/A</v>
      </c>
      <c r="C371" s="179" t="e">
        <f>INDEX('stock fisico '!C:C, MATCH(B371, 'stock fisico '!B:B, 0))</f>
        <v>#N/A</v>
      </c>
      <c r="D371" s="178" t="e">
        <f>INDEX('stock fisico '!I:I, MATCH(B371, 'stock fisico '!B:B, 0))</f>
        <v>#N/A</v>
      </c>
      <c r="E371" s="173" t="e">
        <f t="shared" si="249"/>
        <v>#VALUE!</v>
      </c>
      <c r="F371" t="e">
        <f t="shared" si="209"/>
        <v>#VALUE!</v>
      </c>
      <c r="G371" t="e">
        <f t="shared" si="210"/>
        <v>#VALUE!</v>
      </c>
      <c r="H371" t="e">
        <f t="shared" si="211"/>
        <v>#VALUE!</v>
      </c>
      <c r="I371" t="e">
        <f t="shared" si="212"/>
        <v>#VALUE!</v>
      </c>
      <c r="J371" t="e">
        <f t="shared" si="213"/>
        <v>#VALUE!</v>
      </c>
      <c r="K371" t="e">
        <f t="shared" si="214"/>
        <v>#VALUE!</v>
      </c>
      <c r="L371" s="175" t="e">
        <f t="shared" si="244"/>
        <v>#VALUE!</v>
      </c>
      <c r="M371" t="e">
        <f t="shared" si="215"/>
        <v>#VALUE!</v>
      </c>
      <c r="N371" t="e">
        <f t="shared" si="216"/>
        <v>#VALUE!</v>
      </c>
      <c r="O371" t="e">
        <f t="shared" si="217"/>
        <v>#VALUE!</v>
      </c>
      <c r="P371" t="e">
        <f t="shared" si="218"/>
        <v>#VALUE!</v>
      </c>
      <c r="Q371" t="e">
        <f t="shared" si="219"/>
        <v>#VALUE!</v>
      </c>
      <c r="R371" t="e">
        <f t="shared" si="220"/>
        <v>#VALUE!</v>
      </c>
      <c r="S371" t="e">
        <f t="shared" si="221"/>
        <v>#VALUE!</v>
      </c>
      <c r="T371" s="174" t="e">
        <f t="shared" si="245"/>
        <v>#VALUE!</v>
      </c>
      <c r="U371" t="e">
        <f t="shared" si="222"/>
        <v>#VALUE!</v>
      </c>
      <c r="V371" t="e">
        <f t="shared" si="223"/>
        <v>#VALUE!</v>
      </c>
      <c r="W371" t="e">
        <f t="shared" si="224"/>
        <v>#VALUE!</v>
      </c>
      <c r="X371" t="e">
        <f t="shared" si="225"/>
        <v>#VALUE!</v>
      </c>
      <c r="Y371" t="e">
        <f t="shared" si="226"/>
        <v>#VALUE!</v>
      </c>
      <c r="Z371" t="e">
        <f t="shared" si="227"/>
        <v>#VALUE!</v>
      </c>
      <c r="AA371" t="e">
        <f t="shared" si="228"/>
        <v>#VALUE!</v>
      </c>
      <c r="AB371" s="23" t="e">
        <f t="shared" si="246"/>
        <v>#VALUE!</v>
      </c>
      <c r="AC371" t="e">
        <f t="shared" si="229"/>
        <v>#VALUE!</v>
      </c>
      <c r="AD371" t="e">
        <f t="shared" si="230"/>
        <v>#VALUE!</v>
      </c>
      <c r="AE371" t="e">
        <f t="shared" si="231"/>
        <v>#VALUE!</v>
      </c>
      <c r="AF371" t="e">
        <f t="shared" si="232"/>
        <v>#VALUE!</v>
      </c>
      <c r="AG371" t="e">
        <f t="shared" si="233"/>
        <v>#VALUE!</v>
      </c>
      <c r="AH371" t="e">
        <f t="shared" si="234"/>
        <v>#VALUE!</v>
      </c>
      <c r="AI371" t="e">
        <f t="shared" si="235"/>
        <v>#VALUE!</v>
      </c>
      <c r="AJ371" s="19" t="e">
        <f t="shared" si="247"/>
        <v>#VALUE!</v>
      </c>
      <c r="AK371" t="e">
        <f t="shared" si="236"/>
        <v>#VALUE!</v>
      </c>
      <c r="AL371" t="e">
        <f t="shared" si="237"/>
        <v>#VALUE!</v>
      </c>
      <c r="AM371" t="e">
        <f t="shared" si="238"/>
        <v>#VALUE!</v>
      </c>
      <c r="AN371" t="e">
        <f t="shared" si="239"/>
        <v>#VALUE!</v>
      </c>
      <c r="AO371" t="e">
        <f t="shared" si="240"/>
        <v>#VALUE!</v>
      </c>
      <c r="AP371" t="e">
        <f t="shared" si="241"/>
        <v>#VALUE!</v>
      </c>
      <c r="AQ371" t="e">
        <f t="shared" si="242"/>
        <v>#VALUE!</v>
      </c>
      <c r="AR371" s="123" t="e">
        <f t="shared" si="248"/>
        <v>#VALUE!</v>
      </c>
      <c r="AS371" t="e">
        <f t="shared" si="243"/>
        <v>#VALUE!</v>
      </c>
      <c r="AT371" s="181" t="e">
        <f>INDEX('stock fisico '!N:N, MATCH(B371, 'stock fisico '!B:B, 0))</f>
        <v>#N/A</v>
      </c>
      <c r="AU371" s="179" t="e">
        <f>INDEX('stock fisico '!D:D, MATCH(B371, 'stock fisico '!B:B, 0))</f>
        <v>#N/A</v>
      </c>
      <c r="AV371" s="177" t="e">
        <f>INDEX('stock fisico '!L:L, MATCH(B371, 'stock fisico '!B:B, 0))</f>
        <v>#N/A</v>
      </c>
    </row>
    <row r="372" spans="1:48" x14ac:dyDescent="0.25">
      <c r="A372" s="181" t="e">
        <f>INDEX('stock fisico '!M:M, MATCH(B372, 'stock fisico '!B:B, 0))</f>
        <v>#N/A</v>
      </c>
      <c r="C372" s="179" t="e">
        <f>INDEX('stock fisico '!C:C, MATCH(B372, 'stock fisico '!B:B, 0))</f>
        <v>#N/A</v>
      </c>
      <c r="D372" s="178" t="e">
        <f>INDEX('stock fisico '!I:I, MATCH(B372, 'stock fisico '!B:B, 0))</f>
        <v>#N/A</v>
      </c>
      <c r="E372" s="173" t="e">
        <f t="shared" si="249"/>
        <v>#VALUE!</v>
      </c>
      <c r="F372" t="e">
        <f t="shared" si="209"/>
        <v>#VALUE!</v>
      </c>
      <c r="G372" t="e">
        <f t="shared" si="210"/>
        <v>#VALUE!</v>
      </c>
      <c r="H372" t="e">
        <f t="shared" si="211"/>
        <v>#VALUE!</v>
      </c>
      <c r="I372" t="e">
        <f t="shared" si="212"/>
        <v>#VALUE!</v>
      </c>
      <c r="J372" t="e">
        <f t="shared" si="213"/>
        <v>#VALUE!</v>
      </c>
      <c r="K372" t="e">
        <f t="shared" si="214"/>
        <v>#VALUE!</v>
      </c>
      <c r="L372" s="175" t="e">
        <f t="shared" si="244"/>
        <v>#VALUE!</v>
      </c>
      <c r="M372" t="e">
        <f t="shared" si="215"/>
        <v>#VALUE!</v>
      </c>
      <c r="N372" t="e">
        <f t="shared" si="216"/>
        <v>#VALUE!</v>
      </c>
      <c r="O372" t="e">
        <f t="shared" si="217"/>
        <v>#VALUE!</v>
      </c>
      <c r="P372" t="e">
        <f t="shared" si="218"/>
        <v>#VALUE!</v>
      </c>
      <c r="Q372" t="e">
        <f t="shared" si="219"/>
        <v>#VALUE!</v>
      </c>
      <c r="R372" t="e">
        <f t="shared" si="220"/>
        <v>#VALUE!</v>
      </c>
      <c r="S372" t="e">
        <f t="shared" si="221"/>
        <v>#VALUE!</v>
      </c>
      <c r="T372" s="174" t="e">
        <f t="shared" si="245"/>
        <v>#VALUE!</v>
      </c>
      <c r="U372" t="e">
        <f t="shared" si="222"/>
        <v>#VALUE!</v>
      </c>
      <c r="V372" t="e">
        <f t="shared" si="223"/>
        <v>#VALUE!</v>
      </c>
      <c r="W372" t="e">
        <f t="shared" si="224"/>
        <v>#VALUE!</v>
      </c>
      <c r="X372" t="e">
        <f t="shared" si="225"/>
        <v>#VALUE!</v>
      </c>
      <c r="Y372" t="e">
        <f t="shared" si="226"/>
        <v>#VALUE!</v>
      </c>
      <c r="Z372" t="e">
        <f t="shared" si="227"/>
        <v>#VALUE!</v>
      </c>
      <c r="AA372" t="e">
        <f t="shared" si="228"/>
        <v>#VALUE!</v>
      </c>
      <c r="AB372" s="23" t="e">
        <f t="shared" si="246"/>
        <v>#VALUE!</v>
      </c>
      <c r="AC372" t="e">
        <f t="shared" si="229"/>
        <v>#VALUE!</v>
      </c>
      <c r="AD372" t="e">
        <f t="shared" si="230"/>
        <v>#VALUE!</v>
      </c>
      <c r="AE372" t="e">
        <f t="shared" si="231"/>
        <v>#VALUE!</v>
      </c>
      <c r="AF372" t="e">
        <f t="shared" si="232"/>
        <v>#VALUE!</v>
      </c>
      <c r="AG372" t="e">
        <f t="shared" si="233"/>
        <v>#VALUE!</v>
      </c>
      <c r="AH372" t="e">
        <f t="shared" si="234"/>
        <v>#VALUE!</v>
      </c>
      <c r="AI372" t="e">
        <f t="shared" si="235"/>
        <v>#VALUE!</v>
      </c>
      <c r="AJ372" s="19" t="e">
        <f t="shared" si="247"/>
        <v>#VALUE!</v>
      </c>
      <c r="AK372" t="e">
        <f t="shared" si="236"/>
        <v>#VALUE!</v>
      </c>
      <c r="AL372" t="e">
        <f t="shared" si="237"/>
        <v>#VALUE!</v>
      </c>
      <c r="AM372" t="e">
        <f t="shared" si="238"/>
        <v>#VALUE!</v>
      </c>
      <c r="AN372" t="e">
        <f t="shared" si="239"/>
        <v>#VALUE!</v>
      </c>
      <c r="AO372" t="e">
        <f t="shared" si="240"/>
        <v>#VALUE!</v>
      </c>
      <c r="AP372" t="e">
        <f t="shared" si="241"/>
        <v>#VALUE!</v>
      </c>
      <c r="AQ372" t="e">
        <f t="shared" si="242"/>
        <v>#VALUE!</v>
      </c>
      <c r="AR372" s="123" t="e">
        <f t="shared" si="248"/>
        <v>#VALUE!</v>
      </c>
      <c r="AS372" t="e">
        <f t="shared" si="243"/>
        <v>#VALUE!</v>
      </c>
      <c r="AT372" s="181" t="e">
        <f>INDEX('stock fisico '!N:N, MATCH(B372, 'stock fisico '!B:B, 0))</f>
        <v>#N/A</v>
      </c>
      <c r="AU372" s="179" t="e">
        <f>INDEX('stock fisico '!D:D, MATCH(B372, 'stock fisico '!B:B, 0))</f>
        <v>#N/A</v>
      </c>
      <c r="AV372" s="177" t="e">
        <f>INDEX('stock fisico '!L:L, MATCH(B372, 'stock fisico '!B:B, 0))</f>
        <v>#N/A</v>
      </c>
    </row>
    <row r="373" spans="1:48" x14ac:dyDescent="0.25">
      <c r="A373" s="181" t="e">
        <f>INDEX('stock fisico '!M:M, MATCH(B373, 'stock fisico '!B:B, 0))</f>
        <v>#N/A</v>
      </c>
      <c r="C373" s="179" t="e">
        <f>INDEX('stock fisico '!C:C, MATCH(B373, 'stock fisico '!B:B, 0))</f>
        <v>#N/A</v>
      </c>
      <c r="D373" s="178" t="e">
        <f>INDEX('stock fisico '!I:I, MATCH(B373, 'stock fisico '!B:B, 0))</f>
        <v>#N/A</v>
      </c>
      <c r="E373" s="173" t="e">
        <f t="shared" si="249"/>
        <v>#VALUE!</v>
      </c>
      <c r="F373" t="e">
        <f t="shared" si="209"/>
        <v>#VALUE!</v>
      </c>
      <c r="G373" t="e">
        <f t="shared" si="210"/>
        <v>#VALUE!</v>
      </c>
      <c r="H373" t="e">
        <f t="shared" si="211"/>
        <v>#VALUE!</v>
      </c>
      <c r="I373" t="e">
        <f t="shared" si="212"/>
        <v>#VALUE!</v>
      </c>
      <c r="J373" t="e">
        <f t="shared" si="213"/>
        <v>#VALUE!</v>
      </c>
      <c r="K373" t="e">
        <f t="shared" si="214"/>
        <v>#VALUE!</v>
      </c>
      <c r="L373" s="175" t="e">
        <f t="shared" si="244"/>
        <v>#VALUE!</v>
      </c>
      <c r="M373" t="e">
        <f t="shared" si="215"/>
        <v>#VALUE!</v>
      </c>
      <c r="N373" t="e">
        <f t="shared" si="216"/>
        <v>#VALUE!</v>
      </c>
      <c r="O373" t="e">
        <f t="shared" si="217"/>
        <v>#VALUE!</v>
      </c>
      <c r="P373" t="e">
        <f t="shared" si="218"/>
        <v>#VALUE!</v>
      </c>
      <c r="Q373" t="e">
        <f t="shared" si="219"/>
        <v>#VALUE!</v>
      </c>
      <c r="R373" t="e">
        <f t="shared" si="220"/>
        <v>#VALUE!</v>
      </c>
      <c r="S373" t="e">
        <f t="shared" si="221"/>
        <v>#VALUE!</v>
      </c>
      <c r="T373" s="174" t="e">
        <f t="shared" si="245"/>
        <v>#VALUE!</v>
      </c>
      <c r="U373" t="e">
        <f t="shared" si="222"/>
        <v>#VALUE!</v>
      </c>
      <c r="V373" t="e">
        <f t="shared" si="223"/>
        <v>#VALUE!</v>
      </c>
      <c r="W373" t="e">
        <f t="shared" si="224"/>
        <v>#VALUE!</v>
      </c>
      <c r="X373" t="e">
        <f t="shared" si="225"/>
        <v>#VALUE!</v>
      </c>
      <c r="Y373" t="e">
        <f t="shared" si="226"/>
        <v>#VALUE!</v>
      </c>
      <c r="Z373" t="e">
        <f t="shared" si="227"/>
        <v>#VALUE!</v>
      </c>
      <c r="AA373" t="e">
        <f t="shared" si="228"/>
        <v>#VALUE!</v>
      </c>
      <c r="AB373" s="23" t="e">
        <f t="shared" si="246"/>
        <v>#VALUE!</v>
      </c>
      <c r="AC373" t="e">
        <f t="shared" si="229"/>
        <v>#VALUE!</v>
      </c>
      <c r="AD373" t="e">
        <f t="shared" si="230"/>
        <v>#VALUE!</v>
      </c>
      <c r="AE373" t="e">
        <f t="shared" si="231"/>
        <v>#VALUE!</v>
      </c>
      <c r="AF373" t="e">
        <f t="shared" si="232"/>
        <v>#VALUE!</v>
      </c>
      <c r="AG373" t="e">
        <f t="shared" si="233"/>
        <v>#VALUE!</v>
      </c>
      <c r="AH373" t="e">
        <f t="shared" si="234"/>
        <v>#VALUE!</v>
      </c>
      <c r="AI373" t="e">
        <f t="shared" si="235"/>
        <v>#VALUE!</v>
      </c>
      <c r="AJ373" s="19" t="e">
        <f t="shared" si="247"/>
        <v>#VALUE!</v>
      </c>
      <c r="AK373" t="e">
        <f t="shared" si="236"/>
        <v>#VALUE!</v>
      </c>
      <c r="AL373" t="e">
        <f t="shared" si="237"/>
        <v>#VALUE!</v>
      </c>
      <c r="AM373" t="e">
        <f t="shared" si="238"/>
        <v>#VALUE!</v>
      </c>
      <c r="AN373" t="e">
        <f t="shared" si="239"/>
        <v>#VALUE!</v>
      </c>
      <c r="AO373" t="e">
        <f t="shared" si="240"/>
        <v>#VALUE!</v>
      </c>
      <c r="AP373" t="e">
        <f t="shared" si="241"/>
        <v>#VALUE!</v>
      </c>
      <c r="AQ373" t="e">
        <f t="shared" si="242"/>
        <v>#VALUE!</v>
      </c>
      <c r="AR373" s="123" t="e">
        <f t="shared" si="248"/>
        <v>#VALUE!</v>
      </c>
      <c r="AS373" t="e">
        <f t="shared" si="243"/>
        <v>#VALUE!</v>
      </c>
      <c r="AT373" s="181" t="e">
        <f>INDEX('stock fisico '!N:N, MATCH(B373, 'stock fisico '!B:B, 0))</f>
        <v>#N/A</v>
      </c>
      <c r="AU373" s="179" t="e">
        <f>INDEX('stock fisico '!D:D, MATCH(B373, 'stock fisico '!B:B, 0))</f>
        <v>#N/A</v>
      </c>
      <c r="AV373" s="177" t="e">
        <f>INDEX('stock fisico '!L:L, MATCH(B373, 'stock fisico '!B:B, 0))</f>
        <v>#N/A</v>
      </c>
    </row>
    <row r="374" spans="1:48" x14ac:dyDescent="0.25">
      <c r="A374" s="181" t="e">
        <f>INDEX('stock fisico '!M:M, MATCH(B374, 'stock fisico '!B:B, 0))</f>
        <v>#N/A</v>
      </c>
      <c r="C374" s="179" t="e">
        <f>INDEX('stock fisico '!C:C, MATCH(B374, 'stock fisico '!B:B, 0))</f>
        <v>#N/A</v>
      </c>
      <c r="D374" s="178" t="e">
        <f>INDEX('stock fisico '!I:I, MATCH(B374, 'stock fisico '!B:B, 0))</f>
        <v>#N/A</v>
      </c>
      <c r="E374" s="173" t="e">
        <f t="shared" si="249"/>
        <v>#VALUE!</v>
      </c>
      <c r="F374" t="e">
        <f t="shared" si="209"/>
        <v>#VALUE!</v>
      </c>
      <c r="G374" t="e">
        <f t="shared" si="210"/>
        <v>#VALUE!</v>
      </c>
      <c r="H374" t="e">
        <f t="shared" si="211"/>
        <v>#VALUE!</v>
      </c>
      <c r="I374" t="e">
        <f t="shared" si="212"/>
        <v>#VALUE!</v>
      </c>
      <c r="J374" t="e">
        <f t="shared" si="213"/>
        <v>#VALUE!</v>
      </c>
      <c r="K374" t="e">
        <f t="shared" si="214"/>
        <v>#VALUE!</v>
      </c>
      <c r="L374" s="175" t="e">
        <f t="shared" si="244"/>
        <v>#VALUE!</v>
      </c>
      <c r="M374" t="e">
        <f t="shared" si="215"/>
        <v>#VALUE!</v>
      </c>
      <c r="N374" t="e">
        <f t="shared" si="216"/>
        <v>#VALUE!</v>
      </c>
      <c r="O374" t="e">
        <f t="shared" si="217"/>
        <v>#VALUE!</v>
      </c>
      <c r="P374" t="e">
        <f t="shared" si="218"/>
        <v>#VALUE!</v>
      </c>
      <c r="Q374" t="e">
        <f t="shared" si="219"/>
        <v>#VALUE!</v>
      </c>
      <c r="R374" t="e">
        <f t="shared" si="220"/>
        <v>#VALUE!</v>
      </c>
      <c r="S374" t="e">
        <f t="shared" si="221"/>
        <v>#VALUE!</v>
      </c>
      <c r="T374" s="174" t="e">
        <f t="shared" si="245"/>
        <v>#VALUE!</v>
      </c>
      <c r="U374" t="e">
        <f t="shared" si="222"/>
        <v>#VALUE!</v>
      </c>
      <c r="V374" t="e">
        <f t="shared" si="223"/>
        <v>#VALUE!</v>
      </c>
      <c r="W374" t="e">
        <f t="shared" si="224"/>
        <v>#VALUE!</v>
      </c>
      <c r="X374" t="e">
        <f t="shared" si="225"/>
        <v>#VALUE!</v>
      </c>
      <c r="Y374" t="e">
        <f t="shared" si="226"/>
        <v>#VALUE!</v>
      </c>
      <c r="Z374" t="e">
        <f t="shared" si="227"/>
        <v>#VALUE!</v>
      </c>
      <c r="AA374" t="e">
        <f t="shared" si="228"/>
        <v>#VALUE!</v>
      </c>
      <c r="AB374" s="23" t="e">
        <f t="shared" si="246"/>
        <v>#VALUE!</v>
      </c>
      <c r="AC374" t="e">
        <f t="shared" si="229"/>
        <v>#VALUE!</v>
      </c>
      <c r="AD374" t="e">
        <f t="shared" si="230"/>
        <v>#VALUE!</v>
      </c>
      <c r="AE374" t="e">
        <f t="shared" si="231"/>
        <v>#VALUE!</v>
      </c>
      <c r="AF374" t="e">
        <f t="shared" si="232"/>
        <v>#VALUE!</v>
      </c>
      <c r="AG374" t="e">
        <f t="shared" si="233"/>
        <v>#VALUE!</v>
      </c>
      <c r="AH374" t="e">
        <f t="shared" si="234"/>
        <v>#VALUE!</v>
      </c>
      <c r="AI374" t="e">
        <f t="shared" si="235"/>
        <v>#VALUE!</v>
      </c>
      <c r="AJ374" s="19" t="e">
        <f t="shared" si="247"/>
        <v>#VALUE!</v>
      </c>
      <c r="AK374" t="e">
        <f t="shared" si="236"/>
        <v>#VALUE!</v>
      </c>
      <c r="AL374" t="e">
        <f t="shared" si="237"/>
        <v>#VALUE!</v>
      </c>
      <c r="AM374" t="e">
        <f t="shared" si="238"/>
        <v>#VALUE!</v>
      </c>
      <c r="AN374" t="e">
        <f t="shared" si="239"/>
        <v>#VALUE!</v>
      </c>
      <c r="AO374" t="e">
        <f t="shared" si="240"/>
        <v>#VALUE!</v>
      </c>
      <c r="AP374" t="e">
        <f t="shared" si="241"/>
        <v>#VALUE!</v>
      </c>
      <c r="AQ374" t="e">
        <f t="shared" si="242"/>
        <v>#VALUE!</v>
      </c>
      <c r="AR374" s="123" t="e">
        <f t="shared" si="248"/>
        <v>#VALUE!</v>
      </c>
      <c r="AS374" t="e">
        <f t="shared" si="243"/>
        <v>#VALUE!</v>
      </c>
      <c r="AT374" s="181" t="e">
        <f>INDEX('stock fisico '!N:N, MATCH(B374, 'stock fisico '!B:B, 0))</f>
        <v>#N/A</v>
      </c>
      <c r="AU374" s="179" t="e">
        <f>INDEX('stock fisico '!D:D, MATCH(B374, 'stock fisico '!B:B, 0))</f>
        <v>#N/A</v>
      </c>
      <c r="AV374" s="177" t="e">
        <f>INDEX('stock fisico '!L:L, MATCH(B374, 'stock fisico '!B:B, 0))</f>
        <v>#N/A</v>
      </c>
    </row>
    <row r="375" spans="1:48" x14ac:dyDescent="0.25">
      <c r="A375" s="181" t="e">
        <f>INDEX('stock fisico '!M:M, MATCH(B375, 'stock fisico '!B:B, 0))</f>
        <v>#N/A</v>
      </c>
      <c r="C375" s="179" t="e">
        <f>INDEX('stock fisico '!C:C, MATCH(B375, 'stock fisico '!B:B, 0))</f>
        <v>#N/A</v>
      </c>
      <c r="D375" s="178" t="e">
        <f>INDEX('stock fisico '!I:I, MATCH(B375, 'stock fisico '!B:B, 0))</f>
        <v>#N/A</v>
      </c>
      <c r="E375" s="173" t="e">
        <f t="shared" si="249"/>
        <v>#VALUE!</v>
      </c>
      <c r="F375" t="e">
        <f t="shared" si="209"/>
        <v>#VALUE!</v>
      </c>
      <c r="G375" t="e">
        <f t="shared" si="210"/>
        <v>#VALUE!</v>
      </c>
      <c r="H375" t="e">
        <f t="shared" si="211"/>
        <v>#VALUE!</v>
      </c>
      <c r="I375" t="e">
        <f t="shared" si="212"/>
        <v>#VALUE!</v>
      </c>
      <c r="J375" t="e">
        <f t="shared" si="213"/>
        <v>#VALUE!</v>
      </c>
      <c r="K375" t="e">
        <f t="shared" si="214"/>
        <v>#VALUE!</v>
      </c>
      <c r="L375" s="175" t="e">
        <f t="shared" si="244"/>
        <v>#VALUE!</v>
      </c>
      <c r="M375" t="e">
        <f t="shared" si="215"/>
        <v>#VALUE!</v>
      </c>
      <c r="N375" t="e">
        <f t="shared" si="216"/>
        <v>#VALUE!</v>
      </c>
      <c r="O375" t="e">
        <f t="shared" si="217"/>
        <v>#VALUE!</v>
      </c>
      <c r="P375" t="e">
        <f t="shared" si="218"/>
        <v>#VALUE!</v>
      </c>
      <c r="Q375" t="e">
        <f t="shared" si="219"/>
        <v>#VALUE!</v>
      </c>
      <c r="R375" t="e">
        <f t="shared" si="220"/>
        <v>#VALUE!</v>
      </c>
      <c r="S375" t="e">
        <f t="shared" si="221"/>
        <v>#VALUE!</v>
      </c>
      <c r="T375" s="174" t="e">
        <f t="shared" si="245"/>
        <v>#VALUE!</v>
      </c>
      <c r="U375" t="e">
        <f t="shared" si="222"/>
        <v>#VALUE!</v>
      </c>
      <c r="V375" t="e">
        <f t="shared" si="223"/>
        <v>#VALUE!</v>
      </c>
      <c r="W375" t="e">
        <f t="shared" si="224"/>
        <v>#VALUE!</v>
      </c>
      <c r="X375" t="e">
        <f t="shared" si="225"/>
        <v>#VALUE!</v>
      </c>
      <c r="Y375" t="e">
        <f t="shared" si="226"/>
        <v>#VALUE!</v>
      </c>
      <c r="Z375" t="e">
        <f t="shared" si="227"/>
        <v>#VALUE!</v>
      </c>
      <c r="AA375" t="e">
        <f t="shared" si="228"/>
        <v>#VALUE!</v>
      </c>
      <c r="AB375" s="23" t="e">
        <f t="shared" si="246"/>
        <v>#VALUE!</v>
      </c>
      <c r="AC375" t="e">
        <f t="shared" si="229"/>
        <v>#VALUE!</v>
      </c>
      <c r="AD375" t="e">
        <f t="shared" si="230"/>
        <v>#VALUE!</v>
      </c>
      <c r="AE375" t="e">
        <f t="shared" si="231"/>
        <v>#VALUE!</v>
      </c>
      <c r="AF375" t="e">
        <f t="shared" si="232"/>
        <v>#VALUE!</v>
      </c>
      <c r="AG375" t="e">
        <f t="shared" si="233"/>
        <v>#VALUE!</v>
      </c>
      <c r="AH375" t="e">
        <f t="shared" si="234"/>
        <v>#VALUE!</v>
      </c>
      <c r="AI375" t="e">
        <f t="shared" si="235"/>
        <v>#VALUE!</v>
      </c>
      <c r="AJ375" s="19" t="e">
        <f t="shared" si="247"/>
        <v>#VALUE!</v>
      </c>
      <c r="AK375" t="e">
        <f t="shared" si="236"/>
        <v>#VALUE!</v>
      </c>
      <c r="AL375" t="e">
        <f t="shared" si="237"/>
        <v>#VALUE!</v>
      </c>
      <c r="AM375" t="e">
        <f t="shared" si="238"/>
        <v>#VALUE!</v>
      </c>
      <c r="AN375" t="e">
        <f t="shared" si="239"/>
        <v>#VALUE!</v>
      </c>
      <c r="AO375" t="e">
        <f t="shared" si="240"/>
        <v>#VALUE!</v>
      </c>
      <c r="AP375" t="e">
        <f t="shared" si="241"/>
        <v>#VALUE!</v>
      </c>
      <c r="AQ375" t="e">
        <f t="shared" si="242"/>
        <v>#VALUE!</v>
      </c>
      <c r="AR375" s="123" t="e">
        <f t="shared" si="248"/>
        <v>#VALUE!</v>
      </c>
      <c r="AS375" t="e">
        <f t="shared" si="243"/>
        <v>#VALUE!</v>
      </c>
      <c r="AT375" s="181" t="e">
        <f>INDEX('stock fisico '!N:N, MATCH(B375, 'stock fisico '!B:B, 0))</f>
        <v>#N/A</v>
      </c>
      <c r="AU375" s="179" t="e">
        <f>INDEX('stock fisico '!D:D, MATCH(B375, 'stock fisico '!B:B, 0))</f>
        <v>#N/A</v>
      </c>
      <c r="AV375" s="177" t="e">
        <f>INDEX('stock fisico '!L:L, MATCH(B375, 'stock fisico '!B:B, 0))</f>
        <v>#N/A</v>
      </c>
    </row>
    <row r="376" spans="1:48" x14ac:dyDescent="0.25">
      <c r="A376" s="181" t="e">
        <f>INDEX('stock fisico '!M:M, MATCH(B376, 'stock fisico '!B:B, 0))</f>
        <v>#N/A</v>
      </c>
      <c r="C376" s="179" t="e">
        <f>INDEX('stock fisico '!C:C, MATCH(B376, 'stock fisico '!B:B, 0))</f>
        <v>#N/A</v>
      </c>
      <c r="D376" s="178" t="e">
        <f>INDEX('stock fisico '!I:I, MATCH(B376, 'stock fisico '!B:B, 0))</f>
        <v>#N/A</v>
      </c>
      <c r="E376" s="173" t="e">
        <f t="shared" si="249"/>
        <v>#VALUE!</v>
      </c>
      <c r="F376" t="e">
        <f t="shared" si="209"/>
        <v>#VALUE!</v>
      </c>
      <c r="G376" t="e">
        <f t="shared" si="210"/>
        <v>#VALUE!</v>
      </c>
      <c r="H376" t="e">
        <f t="shared" si="211"/>
        <v>#VALUE!</v>
      </c>
      <c r="I376" t="e">
        <f t="shared" si="212"/>
        <v>#VALUE!</v>
      </c>
      <c r="J376" t="e">
        <f t="shared" si="213"/>
        <v>#VALUE!</v>
      </c>
      <c r="K376" t="e">
        <f t="shared" si="214"/>
        <v>#VALUE!</v>
      </c>
      <c r="L376" s="175" t="e">
        <f t="shared" si="244"/>
        <v>#VALUE!</v>
      </c>
      <c r="M376" t="e">
        <f t="shared" si="215"/>
        <v>#VALUE!</v>
      </c>
      <c r="N376" t="e">
        <f t="shared" si="216"/>
        <v>#VALUE!</v>
      </c>
      <c r="O376" t="e">
        <f t="shared" si="217"/>
        <v>#VALUE!</v>
      </c>
      <c r="P376" t="e">
        <f t="shared" si="218"/>
        <v>#VALUE!</v>
      </c>
      <c r="Q376" t="e">
        <f t="shared" si="219"/>
        <v>#VALUE!</v>
      </c>
      <c r="R376" t="e">
        <f t="shared" si="220"/>
        <v>#VALUE!</v>
      </c>
      <c r="S376" t="e">
        <f t="shared" si="221"/>
        <v>#VALUE!</v>
      </c>
      <c r="T376" s="174" t="e">
        <f t="shared" si="245"/>
        <v>#VALUE!</v>
      </c>
      <c r="U376" t="e">
        <f t="shared" si="222"/>
        <v>#VALUE!</v>
      </c>
      <c r="V376" t="e">
        <f t="shared" si="223"/>
        <v>#VALUE!</v>
      </c>
      <c r="W376" t="e">
        <f t="shared" si="224"/>
        <v>#VALUE!</v>
      </c>
      <c r="X376" t="e">
        <f t="shared" si="225"/>
        <v>#VALUE!</v>
      </c>
      <c r="Y376" t="e">
        <f t="shared" si="226"/>
        <v>#VALUE!</v>
      </c>
      <c r="Z376" t="e">
        <f t="shared" si="227"/>
        <v>#VALUE!</v>
      </c>
      <c r="AA376" t="e">
        <f t="shared" si="228"/>
        <v>#VALUE!</v>
      </c>
      <c r="AB376" s="23" t="e">
        <f t="shared" si="246"/>
        <v>#VALUE!</v>
      </c>
      <c r="AC376" t="e">
        <f t="shared" si="229"/>
        <v>#VALUE!</v>
      </c>
      <c r="AD376" t="e">
        <f t="shared" si="230"/>
        <v>#VALUE!</v>
      </c>
      <c r="AE376" t="e">
        <f t="shared" si="231"/>
        <v>#VALUE!</v>
      </c>
      <c r="AF376" t="e">
        <f t="shared" si="232"/>
        <v>#VALUE!</v>
      </c>
      <c r="AG376" t="e">
        <f t="shared" si="233"/>
        <v>#VALUE!</v>
      </c>
      <c r="AH376" t="e">
        <f t="shared" si="234"/>
        <v>#VALUE!</v>
      </c>
      <c r="AI376" t="e">
        <f t="shared" si="235"/>
        <v>#VALUE!</v>
      </c>
      <c r="AJ376" s="19" t="e">
        <f t="shared" si="247"/>
        <v>#VALUE!</v>
      </c>
      <c r="AK376" t="e">
        <f t="shared" si="236"/>
        <v>#VALUE!</v>
      </c>
      <c r="AL376" t="e">
        <f t="shared" si="237"/>
        <v>#VALUE!</v>
      </c>
      <c r="AM376" t="e">
        <f t="shared" si="238"/>
        <v>#VALUE!</v>
      </c>
      <c r="AN376" t="e">
        <f t="shared" si="239"/>
        <v>#VALUE!</v>
      </c>
      <c r="AO376" t="e">
        <f t="shared" si="240"/>
        <v>#VALUE!</v>
      </c>
      <c r="AP376" t="e">
        <f t="shared" si="241"/>
        <v>#VALUE!</v>
      </c>
      <c r="AQ376" t="e">
        <f t="shared" si="242"/>
        <v>#VALUE!</v>
      </c>
      <c r="AR376" s="123" t="e">
        <f t="shared" si="248"/>
        <v>#VALUE!</v>
      </c>
      <c r="AS376" t="e">
        <f t="shared" si="243"/>
        <v>#VALUE!</v>
      </c>
      <c r="AT376" s="181" t="e">
        <f>INDEX('stock fisico '!N:N, MATCH(B376, 'stock fisico '!B:B, 0))</f>
        <v>#N/A</v>
      </c>
      <c r="AU376" s="179" t="e">
        <f>INDEX('stock fisico '!D:D, MATCH(B376, 'stock fisico '!B:B, 0))</f>
        <v>#N/A</v>
      </c>
      <c r="AV376" s="177" t="e">
        <f>INDEX('stock fisico '!L:L, MATCH(B376, 'stock fisico '!B:B, 0))</f>
        <v>#N/A</v>
      </c>
    </row>
    <row r="377" spans="1:48" x14ac:dyDescent="0.25">
      <c r="A377" s="181" t="e">
        <f>INDEX('stock fisico '!M:M, MATCH(B377, 'stock fisico '!B:B, 0))</f>
        <v>#N/A</v>
      </c>
      <c r="C377" s="179" t="e">
        <f>INDEX('stock fisico '!C:C, MATCH(B377, 'stock fisico '!B:B, 0))</f>
        <v>#N/A</v>
      </c>
      <c r="D377" s="178" t="e">
        <f>INDEX('stock fisico '!I:I, MATCH(B377, 'stock fisico '!B:B, 0))</f>
        <v>#N/A</v>
      </c>
      <c r="E377" s="173" t="e">
        <f t="shared" si="249"/>
        <v>#VALUE!</v>
      </c>
      <c r="F377" t="e">
        <f t="shared" si="209"/>
        <v>#VALUE!</v>
      </c>
      <c r="G377" t="e">
        <f t="shared" si="210"/>
        <v>#VALUE!</v>
      </c>
      <c r="H377" t="e">
        <f t="shared" si="211"/>
        <v>#VALUE!</v>
      </c>
      <c r="I377" t="e">
        <f t="shared" si="212"/>
        <v>#VALUE!</v>
      </c>
      <c r="J377" t="e">
        <f t="shared" si="213"/>
        <v>#VALUE!</v>
      </c>
      <c r="K377" t="e">
        <f t="shared" si="214"/>
        <v>#VALUE!</v>
      </c>
      <c r="L377" s="175" t="e">
        <f t="shared" si="244"/>
        <v>#VALUE!</v>
      </c>
      <c r="M377" t="e">
        <f t="shared" si="215"/>
        <v>#VALUE!</v>
      </c>
      <c r="N377" t="e">
        <f t="shared" si="216"/>
        <v>#VALUE!</v>
      </c>
      <c r="O377" t="e">
        <f t="shared" si="217"/>
        <v>#VALUE!</v>
      </c>
      <c r="P377" t="e">
        <f t="shared" si="218"/>
        <v>#VALUE!</v>
      </c>
      <c r="Q377" t="e">
        <f t="shared" si="219"/>
        <v>#VALUE!</v>
      </c>
      <c r="R377" t="e">
        <f t="shared" si="220"/>
        <v>#VALUE!</v>
      </c>
      <c r="S377" t="e">
        <f t="shared" si="221"/>
        <v>#VALUE!</v>
      </c>
      <c r="T377" s="174" t="e">
        <f t="shared" si="245"/>
        <v>#VALUE!</v>
      </c>
      <c r="U377" t="e">
        <f t="shared" si="222"/>
        <v>#VALUE!</v>
      </c>
      <c r="V377" t="e">
        <f t="shared" si="223"/>
        <v>#VALUE!</v>
      </c>
      <c r="W377" t="e">
        <f t="shared" si="224"/>
        <v>#VALUE!</v>
      </c>
      <c r="X377" t="e">
        <f t="shared" si="225"/>
        <v>#VALUE!</v>
      </c>
      <c r="Y377" t="e">
        <f t="shared" si="226"/>
        <v>#VALUE!</v>
      </c>
      <c r="Z377" t="e">
        <f t="shared" si="227"/>
        <v>#VALUE!</v>
      </c>
      <c r="AA377" t="e">
        <f t="shared" si="228"/>
        <v>#VALUE!</v>
      </c>
      <c r="AB377" s="23" t="e">
        <f t="shared" si="246"/>
        <v>#VALUE!</v>
      </c>
      <c r="AC377" t="e">
        <f t="shared" si="229"/>
        <v>#VALUE!</v>
      </c>
      <c r="AD377" t="e">
        <f t="shared" si="230"/>
        <v>#VALUE!</v>
      </c>
      <c r="AE377" t="e">
        <f t="shared" si="231"/>
        <v>#VALUE!</v>
      </c>
      <c r="AF377" t="e">
        <f t="shared" si="232"/>
        <v>#VALUE!</v>
      </c>
      <c r="AG377" t="e">
        <f t="shared" si="233"/>
        <v>#VALUE!</v>
      </c>
      <c r="AH377" t="e">
        <f t="shared" si="234"/>
        <v>#VALUE!</v>
      </c>
      <c r="AI377" t="e">
        <f t="shared" si="235"/>
        <v>#VALUE!</v>
      </c>
      <c r="AJ377" s="19" t="e">
        <f t="shared" si="247"/>
        <v>#VALUE!</v>
      </c>
      <c r="AK377" t="e">
        <f t="shared" si="236"/>
        <v>#VALUE!</v>
      </c>
      <c r="AL377" t="e">
        <f t="shared" si="237"/>
        <v>#VALUE!</v>
      </c>
      <c r="AM377" t="e">
        <f t="shared" si="238"/>
        <v>#VALUE!</v>
      </c>
      <c r="AN377" t="e">
        <f t="shared" si="239"/>
        <v>#VALUE!</v>
      </c>
      <c r="AO377" t="e">
        <f t="shared" si="240"/>
        <v>#VALUE!</v>
      </c>
      <c r="AP377" t="e">
        <f t="shared" si="241"/>
        <v>#VALUE!</v>
      </c>
      <c r="AQ377" t="e">
        <f t="shared" si="242"/>
        <v>#VALUE!</v>
      </c>
      <c r="AR377" s="123" t="e">
        <f t="shared" si="248"/>
        <v>#VALUE!</v>
      </c>
      <c r="AS377" t="e">
        <f t="shared" si="243"/>
        <v>#VALUE!</v>
      </c>
      <c r="AT377" s="181" t="e">
        <f>INDEX('stock fisico '!N:N, MATCH(B377, 'stock fisico '!B:B, 0))</f>
        <v>#N/A</v>
      </c>
      <c r="AU377" s="179" t="e">
        <f>INDEX('stock fisico '!D:D, MATCH(B377, 'stock fisico '!B:B, 0))</f>
        <v>#N/A</v>
      </c>
      <c r="AV377" s="177" t="e">
        <f>INDEX('stock fisico '!L:L, MATCH(B377, 'stock fisico '!B:B, 0))</f>
        <v>#N/A</v>
      </c>
    </row>
    <row r="378" spans="1:48" x14ac:dyDescent="0.25">
      <c r="A378" s="181" t="e">
        <f>INDEX('stock fisico '!M:M, MATCH(B378, 'stock fisico '!B:B, 0))</f>
        <v>#N/A</v>
      </c>
      <c r="C378" s="179" t="e">
        <f>INDEX('stock fisico '!C:C, MATCH(B378, 'stock fisico '!B:B, 0))</f>
        <v>#N/A</v>
      </c>
      <c r="D378" s="178" t="e">
        <f>INDEX('stock fisico '!I:I, MATCH(B378, 'stock fisico '!B:B, 0))</f>
        <v>#N/A</v>
      </c>
      <c r="E378" s="173" t="e">
        <f t="shared" si="249"/>
        <v>#VALUE!</v>
      </c>
      <c r="F378" t="e">
        <f t="shared" si="209"/>
        <v>#VALUE!</v>
      </c>
      <c r="G378" t="e">
        <f t="shared" si="210"/>
        <v>#VALUE!</v>
      </c>
      <c r="H378" t="e">
        <f t="shared" si="211"/>
        <v>#VALUE!</v>
      </c>
      <c r="I378" t="e">
        <f t="shared" si="212"/>
        <v>#VALUE!</v>
      </c>
      <c r="J378" t="e">
        <f t="shared" si="213"/>
        <v>#VALUE!</v>
      </c>
      <c r="K378" t="e">
        <f t="shared" si="214"/>
        <v>#VALUE!</v>
      </c>
      <c r="L378" s="175" t="e">
        <f t="shared" si="244"/>
        <v>#VALUE!</v>
      </c>
      <c r="M378" t="e">
        <f t="shared" si="215"/>
        <v>#VALUE!</v>
      </c>
      <c r="N378" t="e">
        <f t="shared" si="216"/>
        <v>#VALUE!</v>
      </c>
      <c r="O378" t="e">
        <f t="shared" si="217"/>
        <v>#VALUE!</v>
      </c>
      <c r="P378" t="e">
        <f t="shared" si="218"/>
        <v>#VALUE!</v>
      </c>
      <c r="Q378" t="e">
        <f t="shared" si="219"/>
        <v>#VALUE!</v>
      </c>
      <c r="R378" t="e">
        <f t="shared" si="220"/>
        <v>#VALUE!</v>
      </c>
      <c r="S378" t="e">
        <f t="shared" si="221"/>
        <v>#VALUE!</v>
      </c>
      <c r="T378" s="174" t="e">
        <f t="shared" si="245"/>
        <v>#VALUE!</v>
      </c>
      <c r="U378" t="e">
        <f t="shared" si="222"/>
        <v>#VALUE!</v>
      </c>
      <c r="V378" t="e">
        <f t="shared" si="223"/>
        <v>#VALUE!</v>
      </c>
      <c r="W378" t="e">
        <f t="shared" si="224"/>
        <v>#VALUE!</v>
      </c>
      <c r="X378" t="e">
        <f t="shared" si="225"/>
        <v>#VALUE!</v>
      </c>
      <c r="Y378" t="e">
        <f t="shared" si="226"/>
        <v>#VALUE!</v>
      </c>
      <c r="Z378" t="e">
        <f t="shared" si="227"/>
        <v>#VALUE!</v>
      </c>
      <c r="AA378" t="e">
        <f t="shared" si="228"/>
        <v>#VALUE!</v>
      </c>
      <c r="AB378" s="23" t="e">
        <f t="shared" si="246"/>
        <v>#VALUE!</v>
      </c>
      <c r="AC378" t="e">
        <f t="shared" si="229"/>
        <v>#VALUE!</v>
      </c>
      <c r="AD378" t="e">
        <f t="shared" si="230"/>
        <v>#VALUE!</v>
      </c>
      <c r="AE378" t="e">
        <f t="shared" si="231"/>
        <v>#VALUE!</v>
      </c>
      <c r="AF378" t="e">
        <f t="shared" si="232"/>
        <v>#VALUE!</v>
      </c>
      <c r="AG378" t="e">
        <f t="shared" si="233"/>
        <v>#VALUE!</v>
      </c>
      <c r="AH378" t="e">
        <f t="shared" si="234"/>
        <v>#VALUE!</v>
      </c>
      <c r="AI378" t="e">
        <f t="shared" si="235"/>
        <v>#VALUE!</v>
      </c>
      <c r="AJ378" s="19" t="e">
        <f t="shared" si="247"/>
        <v>#VALUE!</v>
      </c>
      <c r="AK378" t="e">
        <f t="shared" si="236"/>
        <v>#VALUE!</v>
      </c>
      <c r="AL378" t="e">
        <f t="shared" si="237"/>
        <v>#VALUE!</v>
      </c>
      <c r="AM378" t="e">
        <f t="shared" si="238"/>
        <v>#VALUE!</v>
      </c>
      <c r="AN378" t="e">
        <f t="shared" si="239"/>
        <v>#VALUE!</v>
      </c>
      <c r="AO378" t="e">
        <f t="shared" si="240"/>
        <v>#VALUE!</v>
      </c>
      <c r="AP378" t="e">
        <f t="shared" si="241"/>
        <v>#VALUE!</v>
      </c>
      <c r="AQ378" t="e">
        <f t="shared" si="242"/>
        <v>#VALUE!</v>
      </c>
      <c r="AR378" s="123" t="e">
        <f t="shared" si="248"/>
        <v>#VALUE!</v>
      </c>
      <c r="AS378" t="e">
        <f t="shared" si="243"/>
        <v>#VALUE!</v>
      </c>
      <c r="AT378" s="181" t="e">
        <f>INDEX('stock fisico '!N:N, MATCH(B378, 'stock fisico '!B:B, 0))</f>
        <v>#N/A</v>
      </c>
      <c r="AU378" s="179" t="e">
        <f>INDEX('stock fisico '!D:D, MATCH(B378, 'stock fisico '!B:B, 0))</f>
        <v>#N/A</v>
      </c>
      <c r="AV378" s="177" t="e">
        <f>INDEX('stock fisico '!L:L, MATCH(B378, 'stock fisico '!B:B, 0))</f>
        <v>#N/A</v>
      </c>
    </row>
    <row r="379" spans="1:48" x14ac:dyDescent="0.25">
      <c r="A379" s="181" t="e">
        <f>INDEX('stock fisico '!M:M, MATCH(B379, 'stock fisico '!B:B, 0))</f>
        <v>#N/A</v>
      </c>
      <c r="C379" s="179" t="e">
        <f>INDEX('stock fisico '!C:C, MATCH(B379, 'stock fisico '!B:B, 0))</f>
        <v>#N/A</v>
      </c>
      <c r="D379" s="178" t="e">
        <f>INDEX('stock fisico '!I:I, MATCH(B379, 'stock fisico '!B:B, 0))</f>
        <v>#N/A</v>
      </c>
      <c r="E379" s="173" t="e">
        <f t="shared" si="249"/>
        <v>#VALUE!</v>
      </c>
      <c r="F379" t="e">
        <f t="shared" si="209"/>
        <v>#VALUE!</v>
      </c>
      <c r="G379" t="e">
        <f t="shared" si="210"/>
        <v>#VALUE!</v>
      </c>
      <c r="H379" t="e">
        <f t="shared" si="211"/>
        <v>#VALUE!</v>
      </c>
      <c r="I379" t="e">
        <f t="shared" si="212"/>
        <v>#VALUE!</v>
      </c>
      <c r="J379" t="e">
        <f t="shared" si="213"/>
        <v>#VALUE!</v>
      </c>
      <c r="K379" t="e">
        <f t="shared" si="214"/>
        <v>#VALUE!</v>
      </c>
      <c r="L379" s="175" t="e">
        <f t="shared" si="244"/>
        <v>#VALUE!</v>
      </c>
      <c r="M379" t="e">
        <f t="shared" si="215"/>
        <v>#VALUE!</v>
      </c>
      <c r="N379" t="e">
        <f t="shared" si="216"/>
        <v>#VALUE!</v>
      </c>
      <c r="O379" t="e">
        <f t="shared" si="217"/>
        <v>#VALUE!</v>
      </c>
      <c r="P379" t="e">
        <f t="shared" si="218"/>
        <v>#VALUE!</v>
      </c>
      <c r="Q379" t="e">
        <f t="shared" si="219"/>
        <v>#VALUE!</v>
      </c>
      <c r="R379" t="e">
        <f t="shared" si="220"/>
        <v>#VALUE!</v>
      </c>
      <c r="S379" t="e">
        <f t="shared" si="221"/>
        <v>#VALUE!</v>
      </c>
      <c r="T379" s="174" t="e">
        <f t="shared" si="245"/>
        <v>#VALUE!</v>
      </c>
      <c r="U379" t="e">
        <f t="shared" si="222"/>
        <v>#VALUE!</v>
      </c>
      <c r="V379" t="e">
        <f t="shared" si="223"/>
        <v>#VALUE!</v>
      </c>
      <c r="W379" t="e">
        <f t="shared" si="224"/>
        <v>#VALUE!</v>
      </c>
      <c r="X379" t="e">
        <f t="shared" si="225"/>
        <v>#VALUE!</v>
      </c>
      <c r="Y379" t="e">
        <f t="shared" si="226"/>
        <v>#VALUE!</v>
      </c>
      <c r="Z379" t="e">
        <f t="shared" si="227"/>
        <v>#VALUE!</v>
      </c>
      <c r="AA379" t="e">
        <f t="shared" si="228"/>
        <v>#VALUE!</v>
      </c>
      <c r="AB379" s="23" t="e">
        <f t="shared" si="246"/>
        <v>#VALUE!</v>
      </c>
      <c r="AC379" t="e">
        <f t="shared" si="229"/>
        <v>#VALUE!</v>
      </c>
      <c r="AD379" t="e">
        <f t="shared" si="230"/>
        <v>#VALUE!</v>
      </c>
      <c r="AE379" t="e">
        <f t="shared" si="231"/>
        <v>#VALUE!</v>
      </c>
      <c r="AF379" t="e">
        <f t="shared" si="232"/>
        <v>#VALUE!</v>
      </c>
      <c r="AG379" t="e">
        <f t="shared" si="233"/>
        <v>#VALUE!</v>
      </c>
      <c r="AH379" t="e">
        <f t="shared" si="234"/>
        <v>#VALUE!</v>
      </c>
      <c r="AI379" t="e">
        <f t="shared" si="235"/>
        <v>#VALUE!</v>
      </c>
      <c r="AJ379" s="19" t="e">
        <f t="shared" si="247"/>
        <v>#VALUE!</v>
      </c>
      <c r="AK379" t="e">
        <f t="shared" si="236"/>
        <v>#VALUE!</v>
      </c>
      <c r="AL379" t="e">
        <f t="shared" si="237"/>
        <v>#VALUE!</v>
      </c>
      <c r="AM379" t="e">
        <f t="shared" si="238"/>
        <v>#VALUE!</v>
      </c>
      <c r="AN379" t="e">
        <f t="shared" si="239"/>
        <v>#VALUE!</v>
      </c>
      <c r="AO379" t="e">
        <f t="shared" si="240"/>
        <v>#VALUE!</v>
      </c>
      <c r="AP379" t="e">
        <f t="shared" si="241"/>
        <v>#VALUE!</v>
      </c>
      <c r="AQ379" t="e">
        <f t="shared" si="242"/>
        <v>#VALUE!</v>
      </c>
      <c r="AR379" s="123" t="e">
        <f t="shared" si="248"/>
        <v>#VALUE!</v>
      </c>
      <c r="AS379" t="e">
        <f t="shared" si="243"/>
        <v>#VALUE!</v>
      </c>
      <c r="AT379" s="181" t="e">
        <f>INDEX('stock fisico '!N:N, MATCH(B379, 'stock fisico '!B:B, 0))</f>
        <v>#N/A</v>
      </c>
      <c r="AU379" s="179" t="e">
        <f>INDEX('stock fisico '!D:D, MATCH(B379, 'stock fisico '!B:B, 0))</f>
        <v>#N/A</v>
      </c>
      <c r="AV379" s="177" t="e">
        <f>INDEX('stock fisico '!L:L, MATCH(B379, 'stock fisico '!B:B, 0))</f>
        <v>#N/A</v>
      </c>
    </row>
    <row r="380" spans="1:48" x14ac:dyDescent="0.25">
      <c r="A380" s="181" t="e">
        <f>INDEX('stock fisico '!M:M, MATCH(B380, 'stock fisico '!B:B, 0))</f>
        <v>#N/A</v>
      </c>
      <c r="C380" s="179" t="e">
        <f>INDEX('stock fisico '!C:C, MATCH(B380, 'stock fisico '!B:B, 0))</f>
        <v>#N/A</v>
      </c>
      <c r="D380" s="178" t="e">
        <f>INDEX('stock fisico '!I:I, MATCH(B380, 'stock fisico '!B:B, 0))</f>
        <v>#N/A</v>
      </c>
      <c r="E380" s="173" t="e">
        <f t="shared" si="249"/>
        <v>#VALUE!</v>
      </c>
      <c r="F380" t="e">
        <f t="shared" si="209"/>
        <v>#VALUE!</v>
      </c>
      <c r="G380" t="e">
        <f t="shared" si="210"/>
        <v>#VALUE!</v>
      </c>
      <c r="H380" t="e">
        <f t="shared" si="211"/>
        <v>#VALUE!</v>
      </c>
      <c r="I380" t="e">
        <f t="shared" si="212"/>
        <v>#VALUE!</v>
      </c>
      <c r="J380" t="e">
        <f t="shared" si="213"/>
        <v>#VALUE!</v>
      </c>
      <c r="K380" t="e">
        <f t="shared" si="214"/>
        <v>#VALUE!</v>
      </c>
      <c r="L380" s="175" t="e">
        <f t="shared" si="244"/>
        <v>#VALUE!</v>
      </c>
      <c r="M380" t="e">
        <f t="shared" si="215"/>
        <v>#VALUE!</v>
      </c>
      <c r="N380" t="e">
        <f t="shared" si="216"/>
        <v>#VALUE!</v>
      </c>
      <c r="O380" t="e">
        <f t="shared" si="217"/>
        <v>#VALUE!</v>
      </c>
      <c r="P380" t="e">
        <f t="shared" si="218"/>
        <v>#VALUE!</v>
      </c>
      <c r="Q380" t="e">
        <f t="shared" si="219"/>
        <v>#VALUE!</v>
      </c>
      <c r="R380" t="e">
        <f t="shared" si="220"/>
        <v>#VALUE!</v>
      </c>
      <c r="S380" t="e">
        <f t="shared" si="221"/>
        <v>#VALUE!</v>
      </c>
      <c r="T380" s="174" t="e">
        <f t="shared" si="245"/>
        <v>#VALUE!</v>
      </c>
      <c r="U380" t="e">
        <f t="shared" si="222"/>
        <v>#VALUE!</v>
      </c>
      <c r="V380" t="e">
        <f t="shared" si="223"/>
        <v>#VALUE!</v>
      </c>
      <c r="W380" t="e">
        <f t="shared" si="224"/>
        <v>#VALUE!</v>
      </c>
      <c r="X380" t="e">
        <f t="shared" si="225"/>
        <v>#VALUE!</v>
      </c>
      <c r="Y380" t="e">
        <f t="shared" si="226"/>
        <v>#VALUE!</v>
      </c>
      <c r="Z380" t="e">
        <f t="shared" si="227"/>
        <v>#VALUE!</v>
      </c>
      <c r="AA380" t="e">
        <f t="shared" si="228"/>
        <v>#VALUE!</v>
      </c>
      <c r="AB380" s="23" t="e">
        <f t="shared" si="246"/>
        <v>#VALUE!</v>
      </c>
      <c r="AC380" t="e">
        <f t="shared" si="229"/>
        <v>#VALUE!</v>
      </c>
      <c r="AD380" t="e">
        <f t="shared" si="230"/>
        <v>#VALUE!</v>
      </c>
      <c r="AE380" t="e">
        <f t="shared" si="231"/>
        <v>#VALUE!</v>
      </c>
      <c r="AF380" t="e">
        <f t="shared" si="232"/>
        <v>#VALUE!</v>
      </c>
      <c r="AG380" t="e">
        <f t="shared" si="233"/>
        <v>#VALUE!</v>
      </c>
      <c r="AH380" t="e">
        <f t="shared" si="234"/>
        <v>#VALUE!</v>
      </c>
      <c r="AI380" t="e">
        <f t="shared" si="235"/>
        <v>#VALUE!</v>
      </c>
      <c r="AJ380" s="19" t="e">
        <f t="shared" si="247"/>
        <v>#VALUE!</v>
      </c>
      <c r="AK380" t="e">
        <f t="shared" si="236"/>
        <v>#VALUE!</v>
      </c>
      <c r="AL380" t="e">
        <f t="shared" si="237"/>
        <v>#VALUE!</v>
      </c>
      <c r="AM380" t="e">
        <f t="shared" si="238"/>
        <v>#VALUE!</v>
      </c>
      <c r="AN380" t="e">
        <f t="shared" si="239"/>
        <v>#VALUE!</v>
      </c>
      <c r="AO380" t="e">
        <f t="shared" si="240"/>
        <v>#VALUE!</v>
      </c>
      <c r="AP380" t="e">
        <f t="shared" si="241"/>
        <v>#VALUE!</v>
      </c>
      <c r="AQ380" t="e">
        <f t="shared" si="242"/>
        <v>#VALUE!</v>
      </c>
      <c r="AR380" s="123" t="e">
        <f t="shared" si="248"/>
        <v>#VALUE!</v>
      </c>
      <c r="AS380" t="e">
        <f t="shared" si="243"/>
        <v>#VALUE!</v>
      </c>
      <c r="AT380" s="181" t="e">
        <f>INDEX('stock fisico '!N:N, MATCH(B380, 'stock fisico '!B:B, 0))</f>
        <v>#N/A</v>
      </c>
      <c r="AU380" s="179" t="e">
        <f>INDEX('stock fisico '!D:D, MATCH(B380, 'stock fisico '!B:B, 0))</f>
        <v>#N/A</v>
      </c>
      <c r="AV380" s="177" t="e">
        <f>INDEX('stock fisico '!L:L, MATCH(B380, 'stock fisico '!B:B, 0))</f>
        <v>#N/A</v>
      </c>
    </row>
    <row r="381" spans="1:48" x14ac:dyDescent="0.25">
      <c r="A381" s="181" t="e">
        <f>INDEX('stock fisico '!M:M, MATCH(B381, 'stock fisico '!B:B, 0))</f>
        <v>#N/A</v>
      </c>
      <c r="C381" s="179" t="e">
        <f>INDEX('stock fisico '!C:C, MATCH(B381, 'stock fisico '!B:B, 0))</f>
        <v>#N/A</v>
      </c>
      <c r="D381" s="178" t="e">
        <f>INDEX('stock fisico '!I:I, MATCH(B381, 'stock fisico '!B:B, 0))</f>
        <v>#N/A</v>
      </c>
      <c r="E381" s="173" t="e">
        <f t="shared" si="249"/>
        <v>#VALUE!</v>
      </c>
      <c r="F381" t="e">
        <f t="shared" si="209"/>
        <v>#VALUE!</v>
      </c>
      <c r="G381" t="e">
        <f t="shared" si="210"/>
        <v>#VALUE!</v>
      </c>
      <c r="H381" t="e">
        <f t="shared" si="211"/>
        <v>#VALUE!</v>
      </c>
      <c r="I381" t="e">
        <f t="shared" si="212"/>
        <v>#VALUE!</v>
      </c>
      <c r="J381" t="e">
        <f t="shared" si="213"/>
        <v>#VALUE!</v>
      </c>
      <c r="K381" t="e">
        <f t="shared" si="214"/>
        <v>#VALUE!</v>
      </c>
      <c r="L381" s="175" t="e">
        <f t="shared" si="244"/>
        <v>#VALUE!</v>
      </c>
      <c r="M381" t="e">
        <f t="shared" si="215"/>
        <v>#VALUE!</v>
      </c>
      <c r="N381" t="e">
        <f t="shared" si="216"/>
        <v>#VALUE!</v>
      </c>
      <c r="O381" t="e">
        <f t="shared" si="217"/>
        <v>#VALUE!</v>
      </c>
      <c r="P381" t="e">
        <f t="shared" si="218"/>
        <v>#VALUE!</v>
      </c>
      <c r="Q381" t="e">
        <f t="shared" si="219"/>
        <v>#VALUE!</v>
      </c>
      <c r="R381" t="e">
        <f t="shared" si="220"/>
        <v>#VALUE!</v>
      </c>
      <c r="S381" t="e">
        <f t="shared" si="221"/>
        <v>#VALUE!</v>
      </c>
      <c r="T381" s="174" t="e">
        <f t="shared" si="245"/>
        <v>#VALUE!</v>
      </c>
      <c r="U381" t="e">
        <f t="shared" si="222"/>
        <v>#VALUE!</v>
      </c>
      <c r="V381" t="e">
        <f t="shared" si="223"/>
        <v>#VALUE!</v>
      </c>
      <c r="W381" t="e">
        <f t="shared" si="224"/>
        <v>#VALUE!</v>
      </c>
      <c r="X381" t="e">
        <f t="shared" si="225"/>
        <v>#VALUE!</v>
      </c>
      <c r="Y381" t="e">
        <f t="shared" si="226"/>
        <v>#VALUE!</v>
      </c>
      <c r="Z381" t="e">
        <f t="shared" si="227"/>
        <v>#VALUE!</v>
      </c>
      <c r="AA381" t="e">
        <f t="shared" si="228"/>
        <v>#VALUE!</v>
      </c>
      <c r="AB381" s="23" t="e">
        <f t="shared" si="246"/>
        <v>#VALUE!</v>
      </c>
      <c r="AC381" t="e">
        <f t="shared" si="229"/>
        <v>#VALUE!</v>
      </c>
      <c r="AD381" t="e">
        <f t="shared" si="230"/>
        <v>#VALUE!</v>
      </c>
      <c r="AE381" t="e">
        <f t="shared" si="231"/>
        <v>#VALUE!</v>
      </c>
      <c r="AF381" t="e">
        <f t="shared" si="232"/>
        <v>#VALUE!</v>
      </c>
      <c r="AG381" t="e">
        <f t="shared" si="233"/>
        <v>#VALUE!</v>
      </c>
      <c r="AH381" t="e">
        <f t="shared" si="234"/>
        <v>#VALUE!</v>
      </c>
      <c r="AI381" t="e">
        <f t="shared" si="235"/>
        <v>#VALUE!</v>
      </c>
      <c r="AJ381" s="19" t="e">
        <f t="shared" si="247"/>
        <v>#VALUE!</v>
      </c>
      <c r="AK381" t="e">
        <f t="shared" si="236"/>
        <v>#VALUE!</v>
      </c>
      <c r="AL381" t="e">
        <f t="shared" si="237"/>
        <v>#VALUE!</v>
      </c>
      <c r="AM381" t="e">
        <f t="shared" si="238"/>
        <v>#VALUE!</v>
      </c>
      <c r="AN381" t="e">
        <f t="shared" si="239"/>
        <v>#VALUE!</v>
      </c>
      <c r="AO381" t="e">
        <f t="shared" si="240"/>
        <v>#VALUE!</v>
      </c>
      <c r="AP381" t="e">
        <f t="shared" si="241"/>
        <v>#VALUE!</v>
      </c>
      <c r="AQ381" t="e">
        <f t="shared" si="242"/>
        <v>#VALUE!</v>
      </c>
      <c r="AR381" s="123" t="e">
        <f t="shared" si="248"/>
        <v>#VALUE!</v>
      </c>
      <c r="AS381" t="e">
        <f t="shared" si="243"/>
        <v>#VALUE!</v>
      </c>
      <c r="AT381" s="181" t="e">
        <f>INDEX('stock fisico '!N:N, MATCH(B381, 'stock fisico '!B:B, 0))</f>
        <v>#N/A</v>
      </c>
      <c r="AU381" s="179" t="e">
        <f>INDEX('stock fisico '!D:D, MATCH(B381, 'stock fisico '!B:B, 0))</f>
        <v>#N/A</v>
      </c>
      <c r="AV381" s="177" t="e">
        <f>INDEX('stock fisico '!L:L, MATCH(B381, 'stock fisico '!B:B, 0))</f>
        <v>#N/A</v>
      </c>
    </row>
    <row r="382" spans="1:48" x14ac:dyDescent="0.25">
      <c r="A382" s="181" t="e">
        <f>INDEX('stock fisico '!M:M, MATCH(B382, 'stock fisico '!B:B, 0))</f>
        <v>#N/A</v>
      </c>
      <c r="C382" s="179" t="e">
        <f>INDEX('stock fisico '!C:C, MATCH(B382, 'stock fisico '!B:B, 0))</f>
        <v>#N/A</v>
      </c>
      <c r="D382" s="178" t="e">
        <f>INDEX('stock fisico '!I:I, MATCH(B382, 'stock fisico '!B:B, 0))</f>
        <v>#N/A</v>
      </c>
      <c r="E382" s="173" t="e">
        <f t="shared" si="249"/>
        <v>#VALUE!</v>
      </c>
      <c r="F382" t="e">
        <f t="shared" si="209"/>
        <v>#VALUE!</v>
      </c>
      <c r="G382" t="e">
        <f t="shared" si="210"/>
        <v>#VALUE!</v>
      </c>
      <c r="H382" t="e">
        <f t="shared" si="211"/>
        <v>#VALUE!</v>
      </c>
      <c r="I382" t="e">
        <f t="shared" si="212"/>
        <v>#VALUE!</v>
      </c>
      <c r="J382" t="e">
        <f t="shared" si="213"/>
        <v>#VALUE!</v>
      </c>
      <c r="K382" t="e">
        <f t="shared" si="214"/>
        <v>#VALUE!</v>
      </c>
      <c r="L382" s="175" t="e">
        <f t="shared" si="244"/>
        <v>#VALUE!</v>
      </c>
      <c r="M382" t="e">
        <f t="shared" si="215"/>
        <v>#VALUE!</v>
      </c>
      <c r="N382" t="e">
        <f t="shared" si="216"/>
        <v>#VALUE!</v>
      </c>
      <c r="O382" t="e">
        <f t="shared" si="217"/>
        <v>#VALUE!</v>
      </c>
      <c r="P382" t="e">
        <f t="shared" si="218"/>
        <v>#VALUE!</v>
      </c>
      <c r="Q382" t="e">
        <f t="shared" si="219"/>
        <v>#VALUE!</v>
      </c>
      <c r="R382" t="e">
        <f t="shared" si="220"/>
        <v>#VALUE!</v>
      </c>
      <c r="S382" t="e">
        <f t="shared" si="221"/>
        <v>#VALUE!</v>
      </c>
      <c r="T382" s="174" t="e">
        <f t="shared" si="245"/>
        <v>#VALUE!</v>
      </c>
      <c r="U382" t="e">
        <f t="shared" si="222"/>
        <v>#VALUE!</v>
      </c>
      <c r="V382" t="e">
        <f t="shared" si="223"/>
        <v>#VALUE!</v>
      </c>
      <c r="W382" t="e">
        <f t="shared" si="224"/>
        <v>#VALUE!</v>
      </c>
      <c r="X382" t="e">
        <f t="shared" si="225"/>
        <v>#VALUE!</v>
      </c>
      <c r="Y382" t="e">
        <f t="shared" si="226"/>
        <v>#VALUE!</v>
      </c>
      <c r="Z382" t="e">
        <f t="shared" si="227"/>
        <v>#VALUE!</v>
      </c>
      <c r="AA382" t="e">
        <f t="shared" si="228"/>
        <v>#VALUE!</v>
      </c>
      <c r="AB382" s="23" t="e">
        <f t="shared" si="246"/>
        <v>#VALUE!</v>
      </c>
      <c r="AC382" t="e">
        <f t="shared" si="229"/>
        <v>#VALUE!</v>
      </c>
      <c r="AD382" t="e">
        <f t="shared" si="230"/>
        <v>#VALUE!</v>
      </c>
      <c r="AE382" t="e">
        <f t="shared" si="231"/>
        <v>#VALUE!</v>
      </c>
      <c r="AF382" t="e">
        <f t="shared" si="232"/>
        <v>#VALUE!</v>
      </c>
      <c r="AG382" t="e">
        <f t="shared" si="233"/>
        <v>#VALUE!</v>
      </c>
      <c r="AH382" t="e">
        <f t="shared" si="234"/>
        <v>#VALUE!</v>
      </c>
      <c r="AI382" t="e">
        <f t="shared" si="235"/>
        <v>#VALUE!</v>
      </c>
      <c r="AJ382" s="19" t="e">
        <f t="shared" si="247"/>
        <v>#VALUE!</v>
      </c>
      <c r="AK382" t="e">
        <f t="shared" si="236"/>
        <v>#VALUE!</v>
      </c>
      <c r="AL382" t="e">
        <f t="shared" si="237"/>
        <v>#VALUE!</v>
      </c>
      <c r="AM382" t="e">
        <f t="shared" si="238"/>
        <v>#VALUE!</v>
      </c>
      <c r="AN382" t="e">
        <f t="shared" si="239"/>
        <v>#VALUE!</v>
      </c>
      <c r="AO382" t="e">
        <f t="shared" si="240"/>
        <v>#VALUE!</v>
      </c>
      <c r="AP382" t="e">
        <f t="shared" si="241"/>
        <v>#VALUE!</v>
      </c>
      <c r="AQ382" t="e">
        <f t="shared" si="242"/>
        <v>#VALUE!</v>
      </c>
      <c r="AR382" s="123" t="e">
        <f t="shared" si="248"/>
        <v>#VALUE!</v>
      </c>
      <c r="AS382" t="e">
        <f t="shared" si="243"/>
        <v>#VALUE!</v>
      </c>
      <c r="AT382" s="181" t="e">
        <f>INDEX('stock fisico '!N:N, MATCH(B382, 'stock fisico '!B:B, 0))</f>
        <v>#N/A</v>
      </c>
      <c r="AU382" s="179" t="e">
        <f>INDEX('stock fisico '!D:D, MATCH(B382, 'stock fisico '!B:B, 0))</f>
        <v>#N/A</v>
      </c>
      <c r="AV382" s="177" t="e">
        <f>INDEX('stock fisico '!L:L, MATCH(B382, 'stock fisico '!B:B, 0))</f>
        <v>#N/A</v>
      </c>
    </row>
    <row r="383" spans="1:48" x14ac:dyDescent="0.25">
      <c r="A383" s="181" t="e">
        <f>INDEX('stock fisico '!M:M, MATCH(B383, 'stock fisico '!B:B, 0))</f>
        <v>#N/A</v>
      </c>
      <c r="C383" s="179" t="e">
        <f>INDEX('stock fisico '!C:C, MATCH(B383, 'stock fisico '!B:B, 0))</f>
        <v>#N/A</v>
      </c>
      <c r="D383" s="178" t="e">
        <f>INDEX('stock fisico '!I:I, MATCH(B383, 'stock fisico '!B:B, 0))</f>
        <v>#N/A</v>
      </c>
      <c r="E383" s="173" t="e">
        <f t="shared" si="249"/>
        <v>#VALUE!</v>
      </c>
      <c r="F383" t="e">
        <f t="shared" si="209"/>
        <v>#VALUE!</v>
      </c>
      <c r="G383" t="e">
        <f t="shared" si="210"/>
        <v>#VALUE!</v>
      </c>
      <c r="H383" t="e">
        <f t="shared" si="211"/>
        <v>#VALUE!</v>
      </c>
      <c r="I383" t="e">
        <f t="shared" si="212"/>
        <v>#VALUE!</v>
      </c>
      <c r="J383" t="e">
        <f t="shared" si="213"/>
        <v>#VALUE!</v>
      </c>
      <c r="K383" t="e">
        <f t="shared" si="214"/>
        <v>#VALUE!</v>
      </c>
      <c r="L383" s="175" t="e">
        <f t="shared" si="244"/>
        <v>#VALUE!</v>
      </c>
      <c r="M383" t="e">
        <f t="shared" si="215"/>
        <v>#VALUE!</v>
      </c>
      <c r="N383" t="e">
        <f t="shared" si="216"/>
        <v>#VALUE!</v>
      </c>
      <c r="O383" t="e">
        <f t="shared" si="217"/>
        <v>#VALUE!</v>
      </c>
      <c r="P383" t="e">
        <f t="shared" si="218"/>
        <v>#VALUE!</v>
      </c>
      <c r="Q383" t="e">
        <f t="shared" si="219"/>
        <v>#VALUE!</v>
      </c>
      <c r="R383" t="e">
        <f t="shared" si="220"/>
        <v>#VALUE!</v>
      </c>
      <c r="S383" t="e">
        <f t="shared" si="221"/>
        <v>#VALUE!</v>
      </c>
      <c r="T383" s="174" t="e">
        <f t="shared" si="245"/>
        <v>#VALUE!</v>
      </c>
      <c r="U383" t="e">
        <f t="shared" si="222"/>
        <v>#VALUE!</v>
      </c>
      <c r="V383" t="e">
        <f t="shared" si="223"/>
        <v>#VALUE!</v>
      </c>
      <c r="W383" t="e">
        <f t="shared" si="224"/>
        <v>#VALUE!</v>
      </c>
      <c r="X383" t="e">
        <f t="shared" si="225"/>
        <v>#VALUE!</v>
      </c>
      <c r="Y383" t="e">
        <f t="shared" si="226"/>
        <v>#VALUE!</v>
      </c>
      <c r="Z383" t="e">
        <f t="shared" si="227"/>
        <v>#VALUE!</v>
      </c>
      <c r="AA383" t="e">
        <f t="shared" si="228"/>
        <v>#VALUE!</v>
      </c>
      <c r="AB383" s="23" t="e">
        <f t="shared" si="246"/>
        <v>#VALUE!</v>
      </c>
      <c r="AC383" t="e">
        <f t="shared" si="229"/>
        <v>#VALUE!</v>
      </c>
      <c r="AD383" t="e">
        <f t="shared" si="230"/>
        <v>#VALUE!</v>
      </c>
      <c r="AE383" t="e">
        <f t="shared" si="231"/>
        <v>#VALUE!</v>
      </c>
      <c r="AF383" t="e">
        <f t="shared" si="232"/>
        <v>#VALUE!</v>
      </c>
      <c r="AG383" t="e">
        <f t="shared" si="233"/>
        <v>#VALUE!</v>
      </c>
      <c r="AH383" t="e">
        <f t="shared" si="234"/>
        <v>#VALUE!</v>
      </c>
      <c r="AI383" t="e">
        <f t="shared" si="235"/>
        <v>#VALUE!</v>
      </c>
      <c r="AJ383" s="19" t="e">
        <f t="shared" si="247"/>
        <v>#VALUE!</v>
      </c>
      <c r="AK383" t="e">
        <f t="shared" si="236"/>
        <v>#VALUE!</v>
      </c>
      <c r="AL383" t="e">
        <f t="shared" si="237"/>
        <v>#VALUE!</v>
      </c>
      <c r="AM383" t="e">
        <f t="shared" si="238"/>
        <v>#VALUE!</v>
      </c>
      <c r="AN383" t="e">
        <f t="shared" si="239"/>
        <v>#VALUE!</v>
      </c>
      <c r="AO383" t="e">
        <f t="shared" si="240"/>
        <v>#VALUE!</v>
      </c>
      <c r="AP383" t="e">
        <f t="shared" si="241"/>
        <v>#VALUE!</v>
      </c>
      <c r="AQ383" t="e">
        <f t="shared" si="242"/>
        <v>#VALUE!</v>
      </c>
      <c r="AR383" s="123" t="e">
        <f t="shared" si="248"/>
        <v>#VALUE!</v>
      </c>
      <c r="AS383" t="e">
        <f t="shared" si="243"/>
        <v>#VALUE!</v>
      </c>
      <c r="AT383" s="181" t="e">
        <f>INDEX('stock fisico '!N:N, MATCH(B383, 'stock fisico '!B:B, 0))</f>
        <v>#N/A</v>
      </c>
      <c r="AU383" s="179" t="e">
        <f>INDEX('stock fisico '!D:D, MATCH(B383, 'stock fisico '!B:B, 0))</f>
        <v>#N/A</v>
      </c>
      <c r="AV383" s="177" t="e">
        <f>INDEX('stock fisico '!L:L, MATCH(B383, 'stock fisico '!B:B, 0))</f>
        <v>#N/A</v>
      </c>
    </row>
    <row r="384" spans="1:48" x14ac:dyDescent="0.25">
      <c r="A384" s="181" t="e">
        <f>INDEX('stock fisico '!M:M, MATCH(B384, 'stock fisico '!B:B, 0))</f>
        <v>#N/A</v>
      </c>
      <c r="C384" s="179" t="e">
        <f>INDEX('stock fisico '!C:C, MATCH(B384, 'stock fisico '!B:B, 0))</f>
        <v>#N/A</v>
      </c>
      <c r="D384" s="178" t="e">
        <f>INDEX('stock fisico '!I:I, MATCH(B384, 'stock fisico '!B:B, 0))</f>
        <v>#N/A</v>
      </c>
      <c r="E384" s="173" t="e">
        <f t="shared" si="249"/>
        <v>#VALUE!</v>
      </c>
      <c r="F384" t="e">
        <f t="shared" si="209"/>
        <v>#VALUE!</v>
      </c>
      <c r="G384" t="e">
        <f t="shared" si="210"/>
        <v>#VALUE!</v>
      </c>
      <c r="H384" t="e">
        <f t="shared" si="211"/>
        <v>#VALUE!</v>
      </c>
      <c r="I384" t="e">
        <f t="shared" si="212"/>
        <v>#VALUE!</v>
      </c>
      <c r="J384" t="e">
        <f t="shared" si="213"/>
        <v>#VALUE!</v>
      </c>
      <c r="K384" t="e">
        <f t="shared" si="214"/>
        <v>#VALUE!</v>
      </c>
      <c r="L384" s="175" t="e">
        <f t="shared" si="244"/>
        <v>#VALUE!</v>
      </c>
      <c r="M384" t="e">
        <f t="shared" si="215"/>
        <v>#VALUE!</v>
      </c>
      <c r="N384" t="e">
        <f t="shared" si="216"/>
        <v>#VALUE!</v>
      </c>
      <c r="O384" t="e">
        <f t="shared" si="217"/>
        <v>#VALUE!</v>
      </c>
      <c r="P384" t="e">
        <f t="shared" si="218"/>
        <v>#VALUE!</v>
      </c>
      <c r="Q384" t="e">
        <f t="shared" si="219"/>
        <v>#VALUE!</v>
      </c>
      <c r="R384" t="e">
        <f t="shared" si="220"/>
        <v>#VALUE!</v>
      </c>
      <c r="S384" t="e">
        <f t="shared" si="221"/>
        <v>#VALUE!</v>
      </c>
      <c r="T384" s="174" t="e">
        <f t="shared" si="245"/>
        <v>#VALUE!</v>
      </c>
      <c r="U384" t="e">
        <f t="shared" si="222"/>
        <v>#VALUE!</v>
      </c>
      <c r="V384" t="e">
        <f t="shared" si="223"/>
        <v>#VALUE!</v>
      </c>
      <c r="W384" t="e">
        <f t="shared" si="224"/>
        <v>#VALUE!</v>
      </c>
      <c r="X384" t="e">
        <f t="shared" si="225"/>
        <v>#VALUE!</v>
      </c>
      <c r="Y384" t="e">
        <f t="shared" si="226"/>
        <v>#VALUE!</v>
      </c>
      <c r="Z384" t="e">
        <f t="shared" si="227"/>
        <v>#VALUE!</v>
      </c>
      <c r="AA384" t="e">
        <f t="shared" si="228"/>
        <v>#VALUE!</v>
      </c>
      <c r="AB384" s="23" t="e">
        <f t="shared" si="246"/>
        <v>#VALUE!</v>
      </c>
      <c r="AC384" t="e">
        <f t="shared" si="229"/>
        <v>#VALUE!</v>
      </c>
      <c r="AD384" t="e">
        <f t="shared" si="230"/>
        <v>#VALUE!</v>
      </c>
      <c r="AE384" t="e">
        <f t="shared" si="231"/>
        <v>#VALUE!</v>
      </c>
      <c r="AF384" t="e">
        <f t="shared" si="232"/>
        <v>#VALUE!</v>
      </c>
      <c r="AG384" t="e">
        <f t="shared" si="233"/>
        <v>#VALUE!</v>
      </c>
      <c r="AH384" t="e">
        <f t="shared" si="234"/>
        <v>#VALUE!</v>
      </c>
      <c r="AI384" t="e">
        <f t="shared" si="235"/>
        <v>#VALUE!</v>
      </c>
      <c r="AJ384" s="19" t="e">
        <f t="shared" si="247"/>
        <v>#VALUE!</v>
      </c>
      <c r="AK384" t="e">
        <f t="shared" si="236"/>
        <v>#VALUE!</v>
      </c>
      <c r="AL384" t="e">
        <f t="shared" si="237"/>
        <v>#VALUE!</v>
      </c>
      <c r="AM384" t="e">
        <f t="shared" si="238"/>
        <v>#VALUE!</v>
      </c>
      <c r="AN384" t="e">
        <f t="shared" si="239"/>
        <v>#VALUE!</v>
      </c>
      <c r="AO384" t="e">
        <f t="shared" si="240"/>
        <v>#VALUE!</v>
      </c>
      <c r="AP384" t="e">
        <f t="shared" si="241"/>
        <v>#VALUE!</v>
      </c>
      <c r="AQ384" t="e">
        <f t="shared" si="242"/>
        <v>#VALUE!</v>
      </c>
      <c r="AR384" s="123" t="e">
        <f t="shared" si="248"/>
        <v>#VALUE!</v>
      </c>
      <c r="AS384" t="e">
        <f t="shared" si="243"/>
        <v>#VALUE!</v>
      </c>
      <c r="AT384" s="181" t="e">
        <f>INDEX('stock fisico '!N:N, MATCH(B384, 'stock fisico '!B:B, 0))</f>
        <v>#N/A</v>
      </c>
      <c r="AU384" s="179" t="e">
        <f>INDEX('stock fisico '!D:D, MATCH(B384, 'stock fisico '!B:B, 0))</f>
        <v>#N/A</v>
      </c>
      <c r="AV384" s="177" t="e">
        <f>INDEX('stock fisico '!L:L, MATCH(B384, 'stock fisico '!B:B, 0))</f>
        <v>#N/A</v>
      </c>
    </row>
    <row r="385" spans="1:48" x14ac:dyDescent="0.25">
      <c r="A385" s="181" t="e">
        <f>INDEX('stock fisico '!M:M, MATCH(B385, 'stock fisico '!B:B, 0))</f>
        <v>#N/A</v>
      </c>
      <c r="C385" s="179" t="e">
        <f>INDEX('stock fisico '!C:C, MATCH(B385, 'stock fisico '!B:B, 0))</f>
        <v>#N/A</v>
      </c>
      <c r="D385" s="178" t="e">
        <f>INDEX('stock fisico '!I:I, MATCH(B385, 'stock fisico '!B:B, 0))</f>
        <v>#N/A</v>
      </c>
      <c r="E385" s="173" t="e">
        <f t="shared" si="249"/>
        <v>#VALUE!</v>
      </c>
      <c r="F385" t="e">
        <f t="shared" si="209"/>
        <v>#VALUE!</v>
      </c>
      <c r="G385" t="e">
        <f t="shared" si="210"/>
        <v>#VALUE!</v>
      </c>
      <c r="H385" t="e">
        <f t="shared" si="211"/>
        <v>#VALUE!</v>
      </c>
      <c r="I385" t="e">
        <f t="shared" si="212"/>
        <v>#VALUE!</v>
      </c>
      <c r="J385" t="e">
        <f t="shared" si="213"/>
        <v>#VALUE!</v>
      </c>
      <c r="K385" t="e">
        <f t="shared" si="214"/>
        <v>#VALUE!</v>
      </c>
      <c r="L385" s="175" t="e">
        <f t="shared" si="244"/>
        <v>#VALUE!</v>
      </c>
      <c r="M385" t="e">
        <f t="shared" si="215"/>
        <v>#VALUE!</v>
      </c>
      <c r="N385" t="e">
        <f t="shared" si="216"/>
        <v>#VALUE!</v>
      </c>
      <c r="O385" t="e">
        <f t="shared" si="217"/>
        <v>#VALUE!</v>
      </c>
      <c r="P385" t="e">
        <f t="shared" si="218"/>
        <v>#VALUE!</v>
      </c>
      <c r="Q385" t="e">
        <f t="shared" si="219"/>
        <v>#VALUE!</v>
      </c>
      <c r="R385" t="e">
        <f t="shared" si="220"/>
        <v>#VALUE!</v>
      </c>
      <c r="S385" t="e">
        <f t="shared" si="221"/>
        <v>#VALUE!</v>
      </c>
      <c r="T385" s="174" t="e">
        <f t="shared" si="245"/>
        <v>#VALUE!</v>
      </c>
      <c r="U385" t="e">
        <f t="shared" si="222"/>
        <v>#VALUE!</v>
      </c>
      <c r="V385" t="e">
        <f t="shared" si="223"/>
        <v>#VALUE!</v>
      </c>
      <c r="W385" t="e">
        <f t="shared" si="224"/>
        <v>#VALUE!</v>
      </c>
      <c r="X385" t="e">
        <f t="shared" si="225"/>
        <v>#VALUE!</v>
      </c>
      <c r="Y385" t="e">
        <f t="shared" si="226"/>
        <v>#VALUE!</v>
      </c>
      <c r="Z385" t="e">
        <f t="shared" si="227"/>
        <v>#VALUE!</v>
      </c>
      <c r="AA385" t="e">
        <f t="shared" si="228"/>
        <v>#VALUE!</v>
      </c>
      <c r="AB385" s="23" t="e">
        <f t="shared" si="246"/>
        <v>#VALUE!</v>
      </c>
      <c r="AC385" t="e">
        <f t="shared" si="229"/>
        <v>#VALUE!</v>
      </c>
      <c r="AD385" t="e">
        <f t="shared" si="230"/>
        <v>#VALUE!</v>
      </c>
      <c r="AE385" t="e">
        <f t="shared" si="231"/>
        <v>#VALUE!</v>
      </c>
      <c r="AF385" t="e">
        <f t="shared" si="232"/>
        <v>#VALUE!</v>
      </c>
      <c r="AG385" t="e">
        <f t="shared" si="233"/>
        <v>#VALUE!</v>
      </c>
      <c r="AH385" t="e">
        <f t="shared" si="234"/>
        <v>#VALUE!</v>
      </c>
      <c r="AI385" t="e">
        <f t="shared" si="235"/>
        <v>#VALUE!</v>
      </c>
      <c r="AJ385" s="19" t="e">
        <f t="shared" si="247"/>
        <v>#VALUE!</v>
      </c>
      <c r="AK385" t="e">
        <f t="shared" si="236"/>
        <v>#VALUE!</v>
      </c>
      <c r="AL385" t="e">
        <f t="shared" si="237"/>
        <v>#VALUE!</v>
      </c>
      <c r="AM385" t="e">
        <f t="shared" si="238"/>
        <v>#VALUE!</v>
      </c>
      <c r="AN385" t="e">
        <f t="shared" si="239"/>
        <v>#VALUE!</v>
      </c>
      <c r="AO385" t="e">
        <f t="shared" si="240"/>
        <v>#VALUE!</v>
      </c>
      <c r="AP385" t="e">
        <f t="shared" si="241"/>
        <v>#VALUE!</v>
      </c>
      <c r="AQ385" t="e">
        <f t="shared" si="242"/>
        <v>#VALUE!</v>
      </c>
      <c r="AR385" s="123" t="e">
        <f t="shared" si="248"/>
        <v>#VALUE!</v>
      </c>
      <c r="AS385" t="e">
        <f t="shared" si="243"/>
        <v>#VALUE!</v>
      </c>
      <c r="AT385" s="181" t="e">
        <f>INDEX('stock fisico '!N:N, MATCH(B385, 'stock fisico '!B:B, 0))</f>
        <v>#N/A</v>
      </c>
      <c r="AU385" s="179" t="e">
        <f>INDEX('stock fisico '!D:D, MATCH(B385, 'stock fisico '!B:B, 0))</f>
        <v>#N/A</v>
      </c>
      <c r="AV385" s="177" t="e">
        <f>INDEX('stock fisico '!L:L, MATCH(B385, 'stock fisico '!B:B, 0))</f>
        <v>#N/A</v>
      </c>
    </row>
    <row r="386" spans="1:48" x14ac:dyDescent="0.25">
      <c r="A386" s="181" t="e">
        <f>INDEX('stock fisico '!M:M, MATCH(B386, 'stock fisico '!B:B, 0))</f>
        <v>#N/A</v>
      </c>
      <c r="C386" s="179" t="e">
        <f>INDEX('stock fisico '!C:C, MATCH(B386, 'stock fisico '!B:B, 0))</f>
        <v>#N/A</v>
      </c>
      <c r="D386" s="178" t="e">
        <f>INDEX('stock fisico '!I:I, MATCH(B386, 'stock fisico '!B:B, 0))</f>
        <v>#N/A</v>
      </c>
      <c r="E386" s="173" t="e">
        <f t="shared" si="249"/>
        <v>#VALUE!</v>
      </c>
      <c r="F386" t="e">
        <f t="shared" si="209"/>
        <v>#VALUE!</v>
      </c>
      <c r="G386" t="e">
        <f t="shared" si="210"/>
        <v>#VALUE!</v>
      </c>
      <c r="H386" t="e">
        <f t="shared" si="211"/>
        <v>#VALUE!</v>
      </c>
      <c r="I386" t="e">
        <f t="shared" si="212"/>
        <v>#VALUE!</v>
      </c>
      <c r="J386" t="e">
        <f t="shared" si="213"/>
        <v>#VALUE!</v>
      </c>
      <c r="K386" t="e">
        <f t="shared" si="214"/>
        <v>#VALUE!</v>
      </c>
      <c r="L386" s="175" t="e">
        <f t="shared" si="244"/>
        <v>#VALUE!</v>
      </c>
      <c r="M386" t="e">
        <f t="shared" si="215"/>
        <v>#VALUE!</v>
      </c>
      <c r="N386" t="e">
        <f t="shared" si="216"/>
        <v>#VALUE!</v>
      </c>
      <c r="O386" t="e">
        <f t="shared" si="217"/>
        <v>#VALUE!</v>
      </c>
      <c r="P386" t="e">
        <f t="shared" si="218"/>
        <v>#VALUE!</v>
      </c>
      <c r="Q386" t="e">
        <f t="shared" si="219"/>
        <v>#VALUE!</v>
      </c>
      <c r="R386" t="e">
        <f t="shared" si="220"/>
        <v>#VALUE!</v>
      </c>
      <c r="S386" t="e">
        <f t="shared" si="221"/>
        <v>#VALUE!</v>
      </c>
      <c r="T386" s="174" t="e">
        <f t="shared" si="245"/>
        <v>#VALUE!</v>
      </c>
      <c r="U386" t="e">
        <f t="shared" si="222"/>
        <v>#VALUE!</v>
      </c>
      <c r="V386" t="e">
        <f t="shared" si="223"/>
        <v>#VALUE!</v>
      </c>
      <c r="W386" t="e">
        <f t="shared" si="224"/>
        <v>#VALUE!</v>
      </c>
      <c r="X386" t="e">
        <f t="shared" si="225"/>
        <v>#VALUE!</v>
      </c>
      <c r="Y386" t="e">
        <f t="shared" si="226"/>
        <v>#VALUE!</v>
      </c>
      <c r="Z386" t="e">
        <f t="shared" si="227"/>
        <v>#VALUE!</v>
      </c>
      <c r="AA386" t="e">
        <f t="shared" si="228"/>
        <v>#VALUE!</v>
      </c>
      <c r="AB386" s="23" t="e">
        <f t="shared" si="246"/>
        <v>#VALUE!</v>
      </c>
      <c r="AC386" t="e">
        <f t="shared" si="229"/>
        <v>#VALUE!</v>
      </c>
      <c r="AD386" t="e">
        <f t="shared" si="230"/>
        <v>#VALUE!</v>
      </c>
      <c r="AE386" t="e">
        <f t="shared" si="231"/>
        <v>#VALUE!</v>
      </c>
      <c r="AF386" t="e">
        <f t="shared" si="232"/>
        <v>#VALUE!</v>
      </c>
      <c r="AG386" t="e">
        <f t="shared" si="233"/>
        <v>#VALUE!</v>
      </c>
      <c r="AH386" t="e">
        <f t="shared" si="234"/>
        <v>#VALUE!</v>
      </c>
      <c r="AI386" t="e">
        <f t="shared" si="235"/>
        <v>#VALUE!</v>
      </c>
      <c r="AJ386" s="19" t="e">
        <f t="shared" si="247"/>
        <v>#VALUE!</v>
      </c>
      <c r="AK386" t="e">
        <f t="shared" si="236"/>
        <v>#VALUE!</v>
      </c>
      <c r="AL386" t="e">
        <f t="shared" si="237"/>
        <v>#VALUE!</v>
      </c>
      <c r="AM386" t="e">
        <f t="shared" si="238"/>
        <v>#VALUE!</v>
      </c>
      <c r="AN386" t="e">
        <f t="shared" si="239"/>
        <v>#VALUE!</v>
      </c>
      <c r="AO386" t="e">
        <f t="shared" si="240"/>
        <v>#VALUE!</v>
      </c>
      <c r="AP386" t="e">
        <f t="shared" si="241"/>
        <v>#VALUE!</v>
      </c>
      <c r="AQ386" t="e">
        <f t="shared" si="242"/>
        <v>#VALUE!</v>
      </c>
      <c r="AR386" s="123" t="e">
        <f t="shared" si="248"/>
        <v>#VALUE!</v>
      </c>
      <c r="AS386" t="e">
        <f t="shared" si="243"/>
        <v>#VALUE!</v>
      </c>
      <c r="AT386" s="181" t="e">
        <f>INDEX('stock fisico '!N:N, MATCH(B386, 'stock fisico '!B:B, 0))</f>
        <v>#N/A</v>
      </c>
      <c r="AU386" s="179" t="e">
        <f>INDEX('stock fisico '!D:D, MATCH(B386, 'stock fisico '!B:B, 0))</f>
        <v>#N/A</v>
      </c>
      <c r="AV386" s="177" t="e">
        <f>INDEX('stock fisico '!L:L, MATCH(B386, 'stock fisico '!B:B, 0))</f>
        <v>#N/A</v>
      </c>
    </row>
    <row r="387" spans="1:48" x14ac:dyDescent="0.25">
      <c r="A387" s="181" t="e">
        <f>INDEX('stock fisico '!M:M, MATCH(B387, 'stock fisico '!B:B, 0))</f>
        <v>#N/A</v>
      </c>
      <c r="C387" s="179" t="e">
        <f>INDEX('stock fisico '!C:C, MATCH(B387, 'stock fisico '!B:B, 0))</f>
        <v>#N/A</v>
      </c>
      <c r="D387" s="178" t="e">
        <f>INDEX('stock fisico '!I:I, MATCH(B387, 'stock fisico '!B:B, 0))</f>
        <v>#N/A</v>
      </c>
      <c r="E387" s="173" t="e">
        <f t="shared" si="249"/>
        <v>#VALUE!</v>
      </c>
      <c r="F387" t="e">
        <f t="shared" si="209"/>
        <v>#VALUE!</v>
      </c>
      <c r="G387" t="e">
        <f t="shared" si="210"/>
        <v>#VALUE!</v>
      </c>
      <c r="H387" t="e">
        <f t="shared" si="211"/>
        <v>#VALUE!</v>
      </c>
      <c r="I387" t="e">
        <f t="shared" si="212"/>
        <v>#VALUE!</v>
      </c>
      <c r="J387" t="e">
        <f t="shared" si="213"/>
        <v>#VALUE!</v>
      </c>
      <c r="K387" t="e">
        <f t="shared" si="214"/>
        <v>#VALUE!</v>
      </c>
      <c r="L387" s="175" t="e">
        <f t="shared" si="244"/>
        <v>#VALUE!</v>
      </c>
      <c r="M387" t="e">
        <f t="shared" si="215"/>
        <v>#VALUE!</v>
      </c>
      <c r="N387" t="e">
        <f t="shared" si="216"/>
        <v>#VALUE!</v>
      </c>
      <c r="O387" t="e">
        <f t="shared" si="217"/>
        <v>#VALUE!</v>
      </c>
      <c r="P387" t="e">
        <f t="shared" si="218"/>
        <v>#VALUE!</v>
      </c>
      <c r="Q387" t="e">
        <f t="shared" si="219"/>
        <v>#VALUE!</v>
      </c>
      <c r="R387" t="e">
        <f t="shared" si="220"/>
        <v>#VALUE!</v>
      </c>
      <c r="S387" t="e">
        <f t="shared" si="221"/>
        <v>#VALUE!</v>
      </c>
      <c r="T387" s="174" t="e">
        <f t="shared" si="245"/>
        <v>#VALUE!</v>
      </c>
      <c r="U387" t="e">
        <f t="shared" si="222"/>
        <v>#VALUE!</v>
      </c>
      <c r="V387" t="e">
        <f t="shared" si="223"/>
        <v>#VALUE!</v>
      </c>
      <c r="W387" t="e">
        <f t="shared" si="224"/>
        <v>#VALUE!</v>
      </c>
      <c r="X387" t="e">
        <f t="shared" si="225"/>
        <v>#VALUE!</v>
      </c>
      <c r="Y387" t="e">
        <f t="shared" si="226"/>
        <v>#VALUE!</v>
      </c>
      <c r="Z387" t="e">
        <f t="shared" si="227"/>
        <v>#VALUE!</v>
      </c>
      <c r="AA387" t="e">
        <f t="shared" si="228"/>
        <v>#VALUE!</v>
      </c>
      <c r="AB387" s="23" t="e">
        <f t="shared" si="246"/>
        <v>#VALUE!</v>
      </c>
      <c r="AC387" t="e">
        <f t="shared" si="229"/>
        <v>#VALUE!</v>
      </c>
      <c r="AD387" t="e">
        <f t="shared" si="230"/>
        <v>#VALUE!</v>
      </c>
      <c r="AE387" t="e">
        <f t="shared" si="231"/>
        <v>#VALUE!</v>
      </c>
      <c r="AF387" t="e">
        <f t="shared" si="232"/>
        <v>#VALUE!</v>
      </c>
      <c r="AG387" t="e">
        <f t="shared" si="233"/>
        <v>#VALUE!</v>
      </c>
      <c r="AH387" t="e">
        <f t="shared" si="234"/>
        <v>#VALUE!</v>
      </c>
      <c r="AI387" t="e">
        <f t="shared" si="235"/>
        <v>#VALUE!</v>
      </c>
      <c r="AJ387" s="19" t="e">
        <f t="shared" si="247"/>
        <v>#VALUE!</v>
      </c>
      <c r="AK387" t="e">
        <f t="shared" si="236"/>
        <v>#VALUE!</v>
      </c>
      <c r="AL387" t="e">
        <f t="shared" si="237"/>
        <v>#VALUE!</v>
      </c>
      <c r="AM387" t="e">
        <f t="shared" si="238"/>
        <v>#VALUE!</v>
      </c>
      <c r="AN387" t="e">
        <f t="shared" si="239"/>
        <v>#VALUE!</v>
      </c>
      <c r="AO387" t="e">
        <f t="shared" si="240"/>
        <v>#VALUE!</v>
      </c>
      <c r="AP387" t="e">
        <f t="shared" si="241"/>
        <v>#VALUE!</v>
      </c>
      <c r="AQ387" t="e">
        <f t="shared" si="242"/>
        <v>#VALUE!</v>
      </c>
      <c r="AR387" s="123" t="e">
        <f t="shared" si="248"/>
        <v>#VALUE!</v>
      </c>
      <c r="AS387" t="e">
        <f t="shared" si="243"/>
        <v>#VALUE!</v>
      </c>
      <c r="AT387" s="181" t="e">
        <f>INDEX('stock fisico '!N:N, MATCH(B387, 'stock fisico '!B:B, 0))</f>
        <v>#N/A</v>
      </c>
      <c r="AU387" s="179" t="e">
        <f>INDEX('stock fisico '!D:D, MATCH(B387, 'stock fisico '!B:B, 0))</f>
        <v>#N/A</v>
      </c>
      <c r="AV387" s="177" t="e">
        <f>INDEX('stock fisico '!L:L, MATCH(B387, 'stock fisico '!B:B, 0))</f>
        <v>#N/A</v>
      </c>
    </row>
    <row r="388" spans="1:48" x14ac:dyDescent="0.25">
      <c r="A388" s="181" t="e">
        <f>INDEX('stock fisico '!M:M, MATCH(B388, 'stock fisico '!B:B, 0))</f>
        <v>#N/A</v>
      </c>
      <c r="C388" s="179" t="e">
        <f>INDEX('stock fisico '!C:C, MATCH(B388, 'stock fisico '!B:B, 0))</f>
        <v>#N/A</v>
      </c>
      <c r="D388" s="178" t="e">
        <f>INDEX('stock fisico '!I:I, MATCH(B388, 'stock fisico '!B:B, 0))</f>
        <v>#N/A</v>
      </c>
      <c r="E388" s="173" t="e">
        <f t="shared" si="249"/>
        <v>#VALUE!</v>
      </c>
      <c r="F388" t="e">
        <f t="shared" si="209"/>
        <v>#VALUE!</v>
      </c>
      <c r="G388" t="e">
        <f t="shared" si="210"/>
        <v>#VALUE!</v>
      </c>
      <c r="H388" t="e">
        <f t="shared" si="211"/>
        <v>#VALUE!</v>
      </c>
      <c r="I388" t="e">
        <f t="shared" si="212"/>
        <v>#VALUE!</v>
      </c>
      <c r="J388" t="e">
        <f t="shared" si="213"/>
        <v>#VALUE!</v>
      </c>
      <c r="K388" t="e">
        <f t="shared" si="214"/>
        <v>#VALUE!</v>
      </c>
      <c r="L388" s="175" t="e">
        <f t="shared" si="244"/>
        <v>#VALUE!</v>
      </c>
      <c r="M388" t="e">
        <f t="shared" si="215"/>
        <v>#VALUE!</v>
      </c>
      <c r="N388" t="e">
        <f t="shared" si="216"/>
        <v>#VALUE!</v>
      </c>
      <c r="O388" t="e">
        <f t="shared" si="217"/>
        <v>#VALUE!</v>
      </c>
      <c r="P388" t="e">
        <f t="shared" si="218"/>
        <v>#VALUE!</v>
      </c>
      <c r="Q388" t="e">
        <f t="shared" si="219"/>
        <v>#VALUE!</v>
      </c>
      <c r="R388" t="e">
        <f t="shared" si="220"/>
        <v>#VALUE!</v>
      </c>
      <c r="S388" t="e">
        <f t="shared" si="221"/>
        <v>#VALUE!</v>
      </c>
      <c r="T388" s="174" t="e">
        <f t="shared" si="245"/>
        <v>#VALUE!</v>
      </c>
      <c r="U388" t="e">
        <f t="shared" si="222"/>
        <v>#VALUE!</v>
      </c>
      <c r="V388" t="e">
        <f t="shared" si="223"/>
        <v>#VALUE!</v>
      </c>
      <c r="W388" t="e">
        <f t="shared" si="224"/>
        <v>#VALUE!</v>
      </c>
      <c r="X388" t="e">
        <f t="shared" si="225"/>
        <v>#VALUE!</v>
      </c>
      <c r="Y388" t="e">
        <f t="shared" si="226"/>
        <v>#VALUE!</v>
      </c>
      <c r="Z388" t="e">
        <f t="shared" si="227"/>
        <v>#VALUE!</v>
      </c>
      <c r="AA388" t="e">
        <f t="shared" si="228"/>
        <v>#VALUE!</v>
      </c>
      <c r="AB388" s="23" t="e">
        <f t="shared" si="246"/>
        <v>#VALUE!</v>
      </c>
      <c r="AC388" t="e">
        <f t="shared" si="229"/>
        <v>#VALUE!</v>
      </c>
      <c r="AD388" t="e">
        <f t="shared" si="230"/>
        <v>#VALUE!</v>
      </c>
      <c r="AE388" t="e">
        <f t="shared" si="231"/>
        <v>#VALUE!</v>
      </c>
      <c r="AF388" t="e">
        <f t="shared" si="232"/>
        <v>#VALUE!</v>
      </c>
      <c r="AG388" t="e">
        <f t="shared" si="233"/>
        <v>#VALUE!</v>
      </c>
      <c r="AH388" t="e">
        <f t="shared" si="234"/>
        <v>#VALUE!</v>
      </c>
      <c r="AI388" t="e">
        <f t="shared" si="235"/>
        <v>#VALUE!</v>
      </c>
      <c r="AJ388" s="19" t="e">
        <f t="shared" si="247"/>
        <v>#VALUE!</v>
      </c>
      <c r="AK388" t="e">
        <f t="shared" si="236"/>
        <v>#VALUE!</v>
      </c>
      <c r="AL388" t="e">
        <f t="shared" si="237"/>
        <v>#VALUE!</v>
      </c>
      <c r="AM388" t="e">
        <f t="shared" si="238"/>
        <v>#VALUE!</v>
      </c>
      <c r="AN388" t="e">
        <f t="shared" si="239"/>
        <v>#VALUE!</v>
      </c>
      <c r="AO388" t="e">
        <f t="shared" si="240"/>
        <v>#VALUE!</v>
      </c>
      <c r="AP388" t="e">
        <f t="shared" si="241"/>
        <v>#VALUE!</v>
      </c>
      <c r="AQ388" t="e">
        <f t="shared" si="242"/>
        <v>#VALUE!</v>
      </c>
      <c r="AR388" s="123" t="e">
        <f t="shared" si="248"/>
        <v>#VALUE!</v>
      </c>
      <c r="AS388" t="e">
        <f t="shared" si="243"/>
        <v>#VALUE!</v>
      </c>
      <c r="AT388" s="181" t="e">
        <f>INDEX('stock fisico '!N:N, MATCH(B388, 'stock fisico '!B:B, 0))</f>
        <v>#N/A</v>
      </c>
      <c r="AU388" s="179" t="e">
        <f>INDEX('stock fisico '!D:D, MATCH(B388, 'stock fisico '!B:B, 0))</f>
        <v>#N/A</v>
      </c>
      <c r="AV388" s="177" t="e">
        <f>INDEX('stock fisico '!L:L, MATCH(B388, 'stock fisico '!B:B, 0))</f>
        <v>#N/A</v>
      </c>
    </row>
    <row r="389" spans="1:48" x14ac:dyDescent="0.25">
      <c r="A389" s="181" t="e">
        <f>INDEX('stock fisico '!M:M, MATCH(B389, 'stock fisico '!B:B, 0))</f>
        <v>#N/A</v>
      </c>
      <c r="C389" s="179" t="e">
        <f>INDEX('stock fisico '!C:C, MATCH(B389, 'stock fisico '!B:B, 0))</f>
        <v>#N/A</v>
      </c>
      <c r="D389" s="178" t="e">
        <f>INDEX('stock fisico '!I:I, MATCH(B389, 'stock fisico '!B:B, 0))</f>
        <v>#N/A</v>
      </c>
      <c r="E389" s="173" t="e">
        <f t="shared" si="249"/>
        <v>#VALUE!</v>
      </c>
      <c r="F389" t="e">
        <f t="shared" ref="F389:F452" si="250">K389*$F$3</f>
        <v>#VALUE!</v>
      </c>
      <c r="G389" t="e">
        <f t="shared" ref="G389:G452" si="251">K389*$G$2</f>
        <v>#VALUE!</v>
      </c>
      <c r="H389" t="e">
        <f t="shared" ref="H389:H452" si="252">K389*$H$2</f>
        <v>#VALUE!</v>
      </c>
      <c r="I389" t="e">
        <f t="shared" ref="I389:I452" si="253">K389*$I$2</f>
        <v>#VALUE!</v>
      </c>
      <c r="J389" t="e">
        <f t="shared" ref="J389:J452" si="254">K389*$J$2</f>
        <v>#VALUE!</v>
      </c>
      <c r="K389" t="e">
        <f t="shared" ref="K389:K452" si="255">E389*$J$1</f>
        <v>#VALUE!</v>
      </c>
      <c r="L389" s="175" t="e">
        <f t="shared" si="244"/>
        <v>#VALUE!</v>
      </c>
      <c r="M389" t="e">
        <f t="shared" ref="M389:M452" si="256">S389*$M$3</f>
        <v>#VALUE!</v>
      </c>
      <c r="N389" t="e">
        <f t="shared" ref="N389:N452" si="257">S389*$N$2</f>
        <v>#VALUE!</v>
      </c>
      <c r="O389" t="e">
        <f t="shared" ref="O389:O452" si="258">S389*$O$2</f>
        <v>#VALUE!</v>
      </c>
      <c r="P389" t="e">
        <f t="shared" ref="P389:P452" si="259">S389*$P$2</f>
        <v>#VALUE!</v>
      </c>
      <c r="Q389" t="e">
        <f t="shared" ref="Q389:Q452" si="260">S389*$Q$2</f>
        <v>#VALUE!</v>
      </c>
      <c r="R389" t="e">
        <f t="shared" ref="R389:R452" si="261">S389*$R$3</f>
        <v>#VALUE!</v>
      </c>
      <c r="S389" t="e">
        <f t="shared" ref="S389:S452" si="262">E389*$S$1</f>
        <v>#VALUE!</v>
      </c>
      <c r="T389" s="174" t="e">
        <f t="shared" si="245"/>
        <v>#VALUE!</v>
      </c>
      <c r="U389" t="e">
        <f t="shared" ref="U389:U452" si="263">AA389*$U$3</f>
        <v>#VALUE!</v>
      </c>
      <c r="V389" t="e">
        <f t="shared" ref="V389:V452" si="264">AA389*$V$3</f>
        <v>#VALUE!</v>
      </c>
      <c r="W389" t="e">
        <f t="shared" ref="W389:W452" si="265">AA389*$W$3</f>
        <v>#VALUE!</v>
      </c>
      <c r="X389" t="e">
        <f t="shared" ref="X389:X452" si="266">AA389*$X$3</f>
        <v>#VALUE!</v>
      </c>
      <c r="Y389" t="e">
        <f t="shared" ref="Y389:Y452" si="267">AA389*$Y$3</f>
        <v>#VALUE!</v>
      </c>
      <c r="Z389" t="e">
        <f t="shared" ref="Z389:Z452" si="268">AA389*$Z$3</f>
        <v>#VALUE!</v>
      </c>
      <c r="AA389" t="e">
        <f t="shared" ref="AA389:AA452" si="269">E389*$AA$1</f>
        <v>#VALUE!</v>
      </c>
      <c r="AB389" s="23" t="e">
        <f t="shared" si="246"/>
        <v>#VALUE!</v>
      </c>
      <c r="AC389" t="e">
        <f t="shared" ref="AC389:AC452" si="270">AI389*$AC$3</f>
        <v>#VALUE!</v>
      </c>
      <c r="AD389" t="e">
        <f t="shared" ref="AD389:AD452" si="271">AI389*$AD$3</f>
        <v>#VALUE!</v>
      </c>
      <c r="AE389" t="e">
        <f t="shared" ref="AE389:AE452" si="272">AI389*$AE$3</f>
        <v>#VALUE!</v>
      </c>
      <c r="AF389" t="e">
        <f t="shared" ref="AF389:AF452" si="273">AI389*$AF$3</f>
        <v>#VALUE!</v>
      </c>
      <c r="AG389" t="e">
        <f t="shared" ref="AG389:AG452" si="274">AI389*$AG$3</f>
        <v>#VALUE!</v>
      </c>
      <c r="AH389" t="e">
        <f t="shared" ref="AH389:AH452" si="275">AI389*$AH$3</f>
        <v>#VALUE!</v>
      </c>
      <c r="AI389" t="e">
        <f t="shared" ref="AI389:AI452" si="276">E389*$AI$1</f>
        <v>#VALUE!</v>
      </c>
      <c r="AJ389" s="19" t="e">
        <f t="shared" si="247"/>
        <v>#VALUE!</v>
      </c>
      <c r="AK389" t="e">
        <f t="shared" ref="AK389:AK452" si="277">AQ389*$AK$3</f>
        <v>#VALUE!</v>
      </c>
      <c r="AL389" t="e">
        <f t="shared" ref="AL389:AL452" si="278">AQ389*$AL$3</f>
        <v>#VALUE!</v>
      </c>
      <c r="AM389" t="e">
        <f t="shared" ref="AM389:AM452" si="279">AQ389*$AM$3</f>
        <v>#VALUE!</v>
      </c>
      <c r="AN389" t="e">
        <f t="shared" ref="AN389:AN452" si="280">AQ389*$AN$3</f>
        <v>#VALUE!</v>
      </c>
      <c r="AO389" t="e">
        <f t="shared" ref="AO389:AO452" si="281">AQ389*$AO$3</f>
        <v>#VALUE!</v>
      </c>
      <c r="AP389" t="e">
        <f t="shared" ref="AP389:AP452" si="282">AQ389*$AP$3</f>
        <v>#VALUE!</v>
      </c>
      <c r="AQ389" t="e">
        <f t="shared" ref="AQ389:AQ452" si="283">E389*$AQ$1</f>
        <v>#VALUE!</v>
      </c>
      <c r="AR389" s="123" t="e">
        <f t="shared" si="248"/>
        <v>#VALUE!</v>
      </c>
      <c r="AS389" t="e">
        <f t="shared" ref="AS389:AS452" si="284">L389/1.21</f>
        <v>#VALUE!</v>
      </c>
      <c r="AT389" s="181" t="e">
        <f>INDEX('stock fisico '!N:N, MATCH(B389, 'stock fisico '!B:B, 0))</f>
        <v>#N/A</v>
      </c>
      <c r="AU389" s="179" t="e">
        <f>INDEX('stock fisico '!D:D, MATCH(B389, 'stock fisico '!B:B, 0))</f>
        <v>#N/A</v>
      </c>
      <c r="AV389" s="177" t="e">
        <f>INDEX('stock fisico '!L:L, MATCH(B389, 'stock fisico '!B:B, 0))</f>
        <v>#N/A</v>
      </c>
    </row>
    <row r="390" spans="1:48" x14ac:dyDescent="0.25">
      <c r="A390" s="181" t="e">
        <f>INDEX('stock fisico '!M:M, MATCH(B390, 'stock fisico '!B:B, 0))</f>
        <v>#N/A</v>
      </c>
      <c r="C390" s="179" t="e">
        <f>INDEX('stock fisico '!C:C, MATCH(B390, 'stock fisico '!B:B, 0))</f>
        <v>#N/A</v>
      </c>
      <c r="D390" s="178" t="e">
        <f>INDEX('stock fisico '!I:I, MATCH(B390, 'stock fisico '!B:B, 0))</f>
        <v>#N/A</v>
      </c>
      <c r="E390" s="173" t="e">
        <f t="shared" si="249"/>
        <v>#VALUE!</v>
      </c>
      <c r="F390" t="e">
        <f t="shared" si="250"/>
        <v>#VALUE!</v>
      </c>
      <c r="G390" t="e">
        <f t="shared" si="251"/>
        <v>#VALUE!</v>
      </c>
      <c r="H390" t="e">
        <f t="shared" si="252"/>
        <v>#VALUE!</v>
      </c>
      <c r="I390" t="e">
        <f t="shared" si="253"/>
        <v>#VALUE!</v>
      </c>
      <c r="J390" t="e">
        <f t="shared" si="254"/>
        <v>#VALUE!</v>
      </c>
      <c r="K390" t="e">
        <f t="shared" si="255"/>
        <v>#VALUE!</v>
      </c>
      <c r="L390" s="175" t="e">
        <f t="shared" ref="L390:L453" si="285">F390+H390+J390+E390</f>
        <v>#VALUE!</v>
      </c>
      <c r="M390" t="e">
        <f t="shared" si="256"/>
        <v>#VALUE!</v>
      </c>
      <c r="N390" t="e">
        <f t="shared" si="257"/>
        <v>#VALUE!</v>
      </c>
      <c r="O390" t="e">
        <f t="shared" si="258"/>
        <v>#VALUE!</v>
      </c>
      <c r="P390" t="e">
        <f t="shared" si="259"/>
        <v>#VALUE!</v>
      </c>
      <c r="Q390" t="e">
        <f t="shared" si="260"/>
        <v>#VALUE!</v>
      </c>
      <c r="R390" t="e">
        <f t="shared" si="261"/>
        <v>#VALUE!</v>
      </c>
      <c r="S390" t="e">
        <f t="shared" si="262"/>
        <v>#VALUE!</v>
      </c>
      <c r="T390" s="174" t="e">
        <f t="shared" ref="T390:T453" si="286">R390+Q390+O390+M390+E390</f>
        <v>#VALUE!</v>
      </c>
      <c r="U390" t="e">
        <f t="shared" si="263"/>
        <v>#VALUE!</v>
      </c>
      <c r="V390" t="e">
        <f t="shared" si="264"/>
        <v>#VALUE!</v>
      </c>
      <c r="W390" t="e">
        <f t="shared" si="265"/>
        <v>#VALUE!</v>
      </c>
      <c r="X390" t="e">
        <f t="shared" si="266"/>
        <v>#VALUE!</v>
      </c>
      <c r="Y390" t="e">
        <f t="shared" si="267"/>
        <v>#VALUE!</v>
      </c>
      <c r="Z390" t="e">
        <f t="shared" si="268"/>
        <v>#VALUE!</v>
      </c>
      <c r="AA390" t="e">
        <f t="shared" si="269"/>
        <v>#VALUE!</v>
      </c>
      <c r="AB390" s="23" t="e">
        <f t="shared" ref="AB390:AB453" si="287">U390+W390+Y390+Z390+E390</f>
        <v>#VALUE!</v>
      </c>
      <c r="AC390" t="e">
        <f t="shared" si="270"/>
        <v>#VALUE!</v>
      </c>
      <c r="AD390" t="e">
        <f t="shared" si="271"/>
        <v>#VALUE!</v>
      </c>
      <c r="AE390" t="e">
        <f t="shared" si="272"/>
        <v>#VALUE!</v>
      </c>
      <c r="AF390" t="e">
        <f t="shared" si="273"/>
        <v>#VALUE!</v>
      </c>
      <c r="AG390" t="e">
        <f t="shared" si="274"/>
        <v>#VALUE!</v>
      </c>
      <c r="AH390" t="e">
        <f t="shared" si="275"/>
        <v>#VALUE!</v>
      </c>
      <c r="AI390" t="e">
        <f t="shared" si="276"/>
        <v>#VALUE!</v>
      </c>
      <c r="AJ390" s="19" t="e">
        <f t="shared" ref="AJ390:AJ453" si="288">AC390+AE390+AG390+AH390+E390</f>
        <v>#VALUE!</v>
      </c>
      <c r="AK390" t="e">
        <f t="shared" si="277"/>
        <v>#VALUE!</v>
      </c>
      <c r="AL390" t="e">
        <f t="shared" si="278"/>
        <v>#VALUE!</v>
      </c>
      <c r="AM390" t="e">
        <f t="shared" si="279"/>
        <v>#VALUE!</v>
      </c>
      <c r="AN390" t="e">
        <f t="shared" si="280"/>
        <v>#VALUE!</v>
      </c>
      <c r="AO390" t="e">
        <f t="shared" si="281"/>
        <v>#VALUE!</v>
      </c>
      <c r="AP390" t="e">
        <f t="shared" si="282"/>
        <v>#VALUE!</v>
      </c>
      <c r="AQ390" t="e">
        <f t="shared" si="283"/>
        <v>#VALUE!</v>
      </c>
      <c r="AR390" s="123" t="e">
        <f t="shared" ref="AR390:AR453" si="289">AK390+AM390+AO390+AP390+E390</f>
        <v>#VALUE!</v>
      </c>
      <c r="AS390" t="e">
        <f t="shared" si="284"/>
        <v>#VALUE!</v>
      </c>
      <c r="AT390" s="181" t="e">
        <f>INDEX('stock fisico '!N:N, MATCH(B390, 'stock fisico '!B:B, 0))</f>
        <v>#N/A</v>
      </c>
      <c r="AU390" s="179" t="e">
        <f>INDEX('stock fisico '!D:D, MATCH(B390, 'stock fisico '!B:B, 0))</f>
        <v>#N/A</v>
      </c>
      <c r="AV390" s="177" t="e">
        <f>INDEX('stock fisico '!L:L, MATCH(B390, 'stock fisico '!B:B, 0))</f>
        <v>#N/A</v>
      </c>
    </row>
    <row r="391" spans="1:48" x14ac:dyDescent="0.25">
      <c r="A391" s="181" t="e">
        <f>INDEX('stock fisico '!M:M, MATCH(B391, 'stock fisico '!B:B, 0))</f>
        <v>#N/A</v>
      </c>
      <c r="C391" s="179" t="e">
        <f>INDEX('stock fisico '!C:C, MATCH(B391, 'stock fisico '!B:B, 0))</f>
        <v>#N/A</v>
      </c>
      <c r="D391" s="178" t="e">
        <f>INDEX('stock fisico '!I:I, MATCH(B391, 'stock fisico '!B:B, 0))</f>
        <v>#N/A</v>
      </c>
      <c r="E391" s="173" t="e">
        <f t="shared" ref="E391:E454" si="290">PrecioConMargen(D391,B391, AV391, AU391, AT391)</f>
        <v>#VALUE!</v>
      </c>
      <c r="F391" t="e">
        <f t="shared" si="250"/>
        <v>#VALUE!</v>
      </c>
      <c r="G391" t="e">
        <f t="shared" si="251"/>
        <v>#VALUE!</v>
      </c>
      <c r="H391" t="e">
        <f t="shared" si="252"/>
        <v>#VALUE!</v>
      </c>
      <c r="I391" t="e">
        <f t="shared" si="253"/>
        <v>#VALUE!</v>
      </c>
      <c r="J391" t="e">
        <f t="shared" si="254"/>
        <v>#VALUE!</v>
      </c>
      <c r="K391" t="e">
        <f t="shared" si="255"/>
        <v>#VALUE!</v>
      </c>
      <c r="L391" s="175" t="e">
        <f t="shared" si="285"/>
        <v>#VALUE!</v>
      </c>
      <c r="M391" t="e">
        <f t="shared" si="256"/>
        <v>#VALUE!</v>
      </c>
      <c r="N391" t="e">
        <f t="shared" si="257"/>
        <v>#VALUE!</v>
      </c>
      <c r="O391" t="e">
        <f t="shared" si="258"/>
        <v>#VALUE!</v>
      </c>
      <c r="P391" t="e">
        <f t="shared" si="259"/>
        <v>#VALUE!</v>
      </c>
      <c r="Q391" t="e">
        <f t="shared" si="260"/>
        <v>#VALUE!</v>
      </c>
      <c r="R391" t="e">
        <f t="shared" si="261"/>
        <v>#VALUE!</v>
      </c>
      <c r="S391" t="e">
        <f t="shared" si="262"/>
        <v>#VALUE!</v>
      </c>
      <c r="T391" s="174" t="e">
        <f t="shared" si="286"/>
        <v>#VALUE!</v>
      </c>
      <c r="U391" t="e">
        <f t="shared" si="263"/>
        <v>#VALUE!</v>
      </c>
      <c r="V391" t="e">
        <f t="shared" si="264"/>
        <v>#VALUE!</v>
      </c>
      <c r="W391" t="e">
        <f t="shared" si="265"/>
        <v>#VALUE!</v>
      </c>
      <c r="X391" t="e">
        <f t="shared" si="266"/>
        <v>#VALUE!</v>
      </c>
      <c r="Y391" t="e">
        <f t="shared" si="267"/>
        <v>#VALUE!</v>
      </c>
      <c r="Z391" t="e">
        <f t="shared" si="268"/>
        <v>#VALUE!</v>
      </c>
      <c r="AA391" t="e">
        <f t="shared" si="269"/>
        <v>#VALUE!</v>
      </c>
      <c r="AB391" s="23" t="e">
        <f t="shared" si="287"/>
        <v>#VALUE!</v>
      </c>
      <c r="AC391" t="e">
        <f t="shared" si="270"/>
        <v>#VALUE!</v>
      </c>
      <c r="AD391" t="e">
        <f t="shared" si="271"/>
        <v>#VALUE!</v>
      </c>
      <c r="AE391" t="e">
        <f t="shared" si="272"/>
        <v>#VALUE!</v>
      </c>
      <c r="AF391" t="e">
        <f t="shared" si="273"/>
        <v>#VALUE!</v>
      </c>
      <c r="AG391" t="e">
        <f t="shared" si="274"/>
        <v>#VALUE!</v>
      </c>
      <c r="AH391" t="e">
        <f t="shared" si="275"/>
        <v>#VALUE!</v>
      </c>
      <c r="AI391" t="e">
        <f t="shared" si="276"/>
        <v>#VALUE!</v>
      </c>
      <c r="AJ391" s="19" t="e">
        <f t="shared" si="288"/>
        <v>#VALUE!</v>
      </c>
      <c r="AK391" t="e">
        <f t="shared" si="277"/>
        <v>#VALUE!</v>
      </c>
      <c r="AL391" t="e">
        <f t="shared" si="278"/>
        <v>#VALUE!</v>
      </c>
      <c r="AM391" t="e">
        <f t="shared" si="279"/>
        <v>#VALUE!</v>
      </c>
      <c r="AN391" t="e">
        <f t="shared" si="280"/>
        <v>#VALUE!</v>
      </c>
      <c r="AO391" t="e">
        <f t="shared" si="281"/>
        <v>#VALUE!</v>
      </c>
      <c r="AP391" t="e">
        <f t="shared" si="282"/>
        <v>#VALUE!</v>
      </c>
      <c r="AQ391" t="e">
        <f t="shared" si="283"/>
        <v>#VALUE!</v>
      </c>
      <c r="AR391" s="123" t="e">
        <f t="shared" si="289"/>
        <v>#VALUE!</v>
      </c>
      <c r="AS391" t="e">
        <f t="shared" si="284"/>
        <v>#VALUE!</v>
      </c>
      <c r="AT391" s="181" t="e">
        <f>INDEX('stock fisico '!N:N, MATCH(B391, 'stock fisico '!B:B, 0))</f>
        <v>#N/A</v>
      </c>
      <c r="AU391" s="179" t="e">
        <f>INDEX('stock fisico '!D:D, MATCH(B391, 'stock fisico '!B:B, 0))</f>
        <v>#N/A</v>
      </c>
      <c r="AV391" s="177" t="e">
        <f>INDEX('stock fisico '!L:L, MATCH(B391, 'stock fisico '!B:B, 0))</f>
        <v>#N/A</v>
      </c>
    </row>
    <row r="392" spans="1:48" x14ac:dyDescent="0.25">
      <c r="A392" s="181" t="e">
        <f>INDEX('stock fisico '!M:M, MATCH(B392, 'stock fisico '!B:B, 0))</f>
        <v>#N/A</v>
      </c>
      <c r="C392" s="179" t="e">
        <f>INDEX('stock fisico '!C:C, MATCH(B392, 'stock fisico '!B:B, 0))</f>
        <v>#N/A</v>
      </c>
      <c r="D392" s="178" t="e">
        <f>INDEX('stock fisico '!I:I, MATCH(B392, 'stock fisico '!B:B, 0))</f>
        <v>#N/A</v>
      </c>
      <c r="E392" s="173" t="e">
        <f t="shared" si="290"/>
        <v>#VALUE!</v>
      </c>
      <c r="F392" t="e">
        <f t="shared" si="250"/>
        <v>#VALUE!</v>
      </c>
      <c r="G392" t="e">
        <f t="shared" si="251"/>
        <v>#VALUE!</v>
      </c>
      <c r="H392" t="e">
        <f t="shared" si="252"/>
        <v>#VALUE!</v>
      </c>
      <c r="I392" t="e">
        <f t="shared" si="253"/>
        <v>#VALUE!</v>
      </c>
      <c r="J392" t="e">
        <f t="shared" si="254"/>
        <v>#VALUE!</v>
      </c>
      <c r="K392" t="e">
        <f t="shared" si="255"/>
        <v>#VALUE!</v>
      </c>
      <c r="L392" s="175" t="e">
        <f t="shared" si="285"/>
        <v>#VALUE!</v>
      </c>
      <c r="M392" t="e">
        <f t="shared" si="256"/>
        <v>#VALUE!</v>
      </c>
      <c r="N392" t="e">
        <f t="shared" si="257"/>
        <v>#VALUE!</v>
      </c>
      <c r="O392" t="e">
        <f t="shared" si="258"/>
        <v>#VALUE!</v>
      </c>
      <c r="P392" t="e">
        <f t="shared" si="259"/>
        <v>#VALUE!</v>
      </c>
      <c r="Q392" t="e">
        <f t="shared" si="260"/>
        <v>#VALUE!</v>
      </c>
      <c r="R392" t="e">
        <f t="shared" si="261"/>
        <v>#VALUE!</v>
      </c>
      <c r="S392" t="e">
        <f t="shared" si="262"/>
        <v>#VALUE!</v>
      </c>
      <c r="T392" s="174" t="e">
        <f t="shared" si="286"/>
        <v>#VALUE!</v>
      </c>
      <c r="U392" t="e">
        <f t="shared" si="263"/>
        <v>#VALUE!</v>
      </c>
      <c r="V392" t="e">
        <f t="shared" si="264"/>
        <v>#VALUE!</v>
      </c>
      <c r="W392" t="e">
        <f t="shared" si="265"/>
        <v>#VALUE!</v>
      </c>
      <c r="X392" t="e">
        <f t="shared" si="266"/>
        <v>#VALUE!</v>
      </c>
      <c r="Y392" t="e">
        <f t="shared" si="267"/>
        <v>#VALUE!</v>
      </c>
      <c r="Z392" t="e">
        <f t="shared" si="268"/>
        <v>#VALUE!</v>
      </c>
      <c r="AA392" t="e">
        <f t="shared" si="269"/>
        <v>#VALUE!</v>
      </c>
      <c r="AB392" s="23" t="e">
        <f t="shared" si="287"/>
        <v>#VALUE!</v>
      </c>
      <c r="AC392" t="e">
        <f t="shared" si="270"/>
        <v>#VALUE!</v>
      </c>
      <c r="AD392" t="e">
        <f t="shared" si="271"/>
        <v>#VALUE!</v>
      </c>
      <c r="AE392" t="e">
        <f t="shared" si="272"/>
        <v>#VALUE!</v>
      </c>
      <c r="AF392" t="e">
        <f t="shared" si="273"/>
        <v>#VALUE!</v>
      </c>
      <c r="AG392" t="e">
        <f t="shared" si="274"/>
        <v>#VALUE!</v>
      </c>
      <c r="AH392" t="e">
        <f t="shared" si="275"/>
        <v>#VALUE!</v>
      </c>
      <c r="AI392" t="e">
        <f t="shared" si="276"/>
        <v>#VALUE!</v>
      </c>
      <c r="AJ392" s="19" t="e">
        <f t="shared" si="288"/>
        <v>#VALUE!</v>
      </c>
      <c r="AK392" t="e">
        <f t="shared" si="277"/>
        <v>#VALUE!</v>
      </c>
      <c r="AL392" t="e">
        <f t="shared" si="278"/>
        <v>#VALUE!</v>
      </c>
      <c r="AM392" t="e">
        <f t="shared" si="279"/>
        <v>#VALUE!</v>
      </c>
      <c r="AN392" t="e">
        <f t="shared" si="280"/>
        <v>#VALUE!</v>
      </c>
      <c r="AO392" t="e">
        <f t="shared" si="281"/>
        <v>#VALUE!</v>
      </c>
      <c r="AP392" t="e">
        <f t="shared" si="282"/>
        <v>#VALUE!</v>
      </c>
      <c r="AQ392" t="e">
        <f t="shared" si="283"/>
        <v>#VALUE!</v>
      </c>
      <c r="AR392" s="123" t="e">
        <f t="shared" si="289"/>
        <v>#VALUE!</v>
      </c>
      <c r="AS392" t="e">
        <f t="shared" si="284"/>
        <v>#VALUE!</v>
      </c>
      <c r="AT392" s="181" t="e">
        <f>INDEX('stock fisico '!N:N, MATCH(B392, 'stock fisico '!B:B, 0))</f>
        <v>#N/A</v>
      </c>
      <c r="AU392" s="179" t="e">
        <f>INDEX('stock fisico '!D:D, MATCH(B392, 'stock fisico '!B:B, 0))</f>
        <v>#N/A</v>
      </c>
      <c r="AV392" s="177" t="e">
        <f>INDEX('stock fisico '!L:L, MATCH(B392, 'stock fisico '!B:B, 0))</f>
        <v>#N/A</v>
      </c>
    </row>
    <row r="393" spans="1:48" x14ac:dyDescent="0.25">
      <c r="A393" s="181" t="e">
        <f>INDEX('stock fisico '!M:M, MATCH(B393, 'stock fisico '!B:B, 0))</f>
        <v>#N/A</v>
      </c>
      <c r="C393" s="179" t="e">
        <f>INDEX('stock fisico '!C:C, MATCH(B393, 'stock fisico '!B:B, 0))</f>
        <v>#N/A</v>
      </c>
      <c r="D393" s="178" t="e">
        <f>INDEX('stock fisico '!I:I, MATCH(B393, 'stock fisico '!B:B, 0))</f>
        <v>#N/A</v>
      </c>
      <c r="E393" s="173" t="e">
        <f t="shared" si="290"/>
        <v>#VALUE!</v>
      </c>
      <c r="F393" t="e">
        <f t="shared" si="250"/>
        <v>#VALUE!</v>
      </c>
      <c r="G393" t="e">
        <f t="shared" si="251"/>
        <v>#VALUE!</v>
      </c>
      <c r="H393" t="e">
        <f t="shared" si="252"/>
        <v>#VALUE!</v>
      </c>
      <c r="I393" t="e">
        <f t="shared" si="253"/>
        <v>#VALUE!</v>
      </c>
      <c r="J393" t="e">
        <f t="shared" si="254"/>
        <v>#VALUE!</v>
      </c>
      <c r="K393" t="e">
        <f t="shared" si="255"/>
        <v>#VALUE!</v>
      </c>
      <c r="L393" s="175" t="e">
        <f t="shared" si="285"/>
        <v>#VALUE!</v>
      </c>
      <c r="M393" t="e">
        <f t="shared" si="256"/>
        <v>#VALUE!</v>
      </c>
      <c r="N393" t="e">
        <f t="shared" si="257"/>
        <v>#VALUE!</v>
      </c>
      <c r="O393" t="e">
        <f t="shared" si="258"/>
        <v>#VALUE!</v>
      </c>
      <c r="P393" t="e">
        <f t="shared" si="259"/>
        <v>#VALUE!</v>
      </c>
      <c r="Q393" t="e">
        <f t="shared" si="260"/>
        <v>#VALUE!</v>
      </c>
      <c r="R393" t="e">
        <f t="shared" si="261"/>
        <v>#VALUE!</v>
      </c>
      <c r="S393" t="e">
        <f t="shared" si="262"/>
        <v>#VALUE!</v>
      </c>
      <c r="T393" s="174" t="e">
        <f t="shared" si="286"/>
        <v>#VALUE!</v>
      </c>
      <c r="U393" t="e">
        <f t="shared" si="263"/>
        <v>#VALUE!</v>
      </c>
      <c r="V393" t="e">
        <f t="shared" si="264"/>
        <v>#VALUE!</v>
      </c>
      <c r="W393" t="e">
        <f t="shared" si="265"/>
        <v>#VALUE!</v>
      </c>
      <c r="X393" t="e">
        <f t="shared" si="266"/>
        <v>#VALUE!</v>
      </c>
      <c r="Y393" t="e">
        <f t="shared" si="267"/>
        <v>#VALUE!</v>
      </c>
      <c r="Z393" t="e">
        <f t="shared" si="268"/>
        <v>#VALUE!</v>
      </c>
      <c r="AA393" t="e">
        <f t="shared" si="269"/>
        <v>#VALUE!</v>
      </c>
      <c r="AB393" s="23" t="e">
        <f t="shared" si="287"/>
        <v>#VALUE!</v>
      </c>
      <c r="AC393" t="e">
        <f t="shared" si="270"/>
        <v>#VALUE!</v>
      </c>
      <c r="AD393" t="e">
        <f t="shared" si="271"/>
        <v>#VALUE!</v>
      </c>
      <c r="AE393" t="e">
        <f t="shared" si="272"/>
        <v>#VALUE!</v>
      </c>
      <c r="AF393" t="e">
        <f t="shared" si="273"/>
        <v>#VALUE!</v>
      </c>
      <c r="AG393" t="e">
        <f t="shared" si="274"/>
        <v>#VALUE!</v>
      </c>
      <c r="AH393" t="e">
        <f t="shared" si="275"/>
        <v>#VALUE!</v>
      </c>
      <c r="AI393" t="e">
        <f t="shared" si="276"/>
        <v>#VALUE!</v>
      </c>
      <c r="AJ393" s="19" t="e">
        <f t="shared" si="288"/>
        <v>#VALUE!</v>
      </c>
      <c r="AK393" t="e">
        <f t="shared" si="277"/>
        <v>#VALUE!</v>
      </c>
      <c r="AL393" t="e">
        <f t="shared" si="278"/>
        <v>#VALUE!</v>
      </c>
      <c r="AM393" t="e">
        <f t="shared" si="279"/>
        <v>#VALUE!</v>
      </c>
      <c r="AN393" t="e">
        <f t="shared" si="280"/>
        <v>#VALUE!</v>
      </c>
      <c r="AO393" t="e">
        <f t="shared" si="281"/>
        <v>#VALUE!</v>
      </c>
      <c r="AP393" t="e">
        <f t="shared" si="282"/>
        <v>#VALUE!</v>
      </c>
      <c r="AQ393" t="e">
        <f t="shared" si="283"/>
        <v>#VALUE!</v>
      </c>
      <c r="AR393" s="123" t="e">
        <f t="shared" si="289"/>
        <v>#VALUE!</v>
      </c>
      <c r="AS393" t="e">
        <f t="shared" si="284"/>
        <v>#VALUE!</v>
      </c>
      <c r="AT393" s="181" t="e">
        <f>INDEX('stock fisico '!N:N, MATCH(B393, 'stock fisico '!B:B, 0))</f>
        <v>#N/A</v>
      </c>
      <c r="AU393" s="179" t="e">
        <f>INDEX('stock fisico '!D:D, MATCH(B393, 'stock fisico '!B:B, 0))</f>
        <v>#N/A</v>
      </c>
      <c r="AV393" s="177" t="e">
        <f>INDEX('stock fisico '!L:L, MATCH(B393, 'stock fisico '!B:B, 0))</f>
        <v>#N/A</v>
      </c>
    </row>
    <row r="394" spans="1:48" x14ac:dyDescent="0.25">
      <c r="A394" s="181" t="e">
        <f>INDEX('stock fisico '!M:M, MATCH(B394, 'stock fisico '!B:B, 0))</f>
        <v>#N/A</v>
      </c>
      <c r="C394" s="179" t="e">
        <f>INDEX('stock fisico '!C:C, MATCH(B394, 'stock fisico '!B:B, 0))</f>
        <v>#N/A</v>
      </c>
      <c r="D394" s="178" t="e">
        <f>INDEX('stock fisico '!I:I, MATCH(B394, 'stock fisico '!B:B, 0))</f>
        <v>#N/A</v>
      </c>
      <c r="E394" s="173" t="e">
        <f t="shared" si="290"/>
        <v>#VALUE!</v>
      </c>
      <c r="F394" t="e">
        <f t="shared" si="250"/>
        <v>#VALUE!</v>
      </c>
      <c r="G394" t="e">
        <f t="shared" si="251"/>
        <v>#VALUE!</v>
      </c>
      <c r="H394" t="e">
        <f t="shared" si="252"/>
        <v>#VALUE!</v>
      </c>
      <c r="I394" t="e">
        <f t="shared" si="253"/>
        <v>#VALUE!</v>
      </c>
      <c r="J394" t="e">
        <f t="shared" si="254"/>
        <v>#VALUE!</v>
      </c>
      <c r="K394" t="e">
        <f t="shared" si="255"/>
        <v>#VALUE!</v>
      </c>
      <c r="L394" s="175" t="e">
        <f t="shared" si="285"/>
        <v>#VALUE!</v>
      </c>
      <c r="M394" t="e">
        <f t="shared" si="256"/>
        <v>#VALUE!</v>
      </c>
      <c r="N394" t="e">
        <f t="shared" si="257"/>
        <v>#VALUE!</v>
      </c>
      <c r="O394" t="e">
        <f t="shared" si="258"/>
        <v>#VALUE!</v>
      </c>
      <c r="P394" t="e">
        <f t="shared" si="259"/>
        <v>#VALUE!</v>
      </c>
      <c r="Q394" t="e">
        <f t="shared" si="260"/>
        <v>#VALUE!</v>
      </c>
      <c r="R394" t="e">
        <f t="shared" si="261"/>
        <v>#VALUE!</v>
      </c>
      <c r="S394" t="e">
        <f t="shared" si="262"/>
        <v>#VALUE!</v>
      </c>
      <c r="T394" s="174" t="e">
        <f t="shared" si="286"/>
        <v>#VALUE!</v>
      </c>
      <c r="U394" t="e">
        <f t="shared" si="263"/>
        <v>#VALUE!</v>
      </c>
      <c r="V394" t="e">
        <f t="shared" si="264"/>
        <v>#VALUE!</v>
      </c>
      <c r="W394" t="e">
        <f t="shared" si="265"/>
        <v>#VALUE!</v>
      </c>
      <c r="X394" t="e">
        <f t="shared" si="266"/>
        <v>#VALUE!</v>
      </c>
      <c r="Y394" t="e">
        <f t="shared" si="267"/>
        <v>#VALUE!</v>
      </c>
      <c r="Z394" t="e">
        <f t="shared" si="268"/>
        <v>#VALUE!</v>
      </c>
      <c r="AA394" t="e">
        <f t="shared" si="269"/>
        <v>#VALUE!</v>
      </c>
      <c r="AB394" s="23" t="e">
        <f t="shared" si="287"/>
        <v>#VALUE!</v>
      </c>
      <c r="AC394" t="e">
        <f t="shared" si="270"/>
        <v>#VALUE!</v>
      </c>
      <c r="AD394" t="e">
        <f t="shared" si="271"/>
        <v>#VALUE!</v>
      </c>
      <c r="AE394" t="e">
        <f t="shared" si="272"/>
        <v>#VALUE!</v>
      </c>
      <c r="AF394" t="e">
        <f t="shared" si="273"/>
        <v>#VALUE!</v>
      </c>
      <c r="AG394" t="e">
        <f t="shared" si="274"/>
        <v>#VALUE!</v>
      </c>
      <c r="AH394" t="e">
        <f t="shared" si="275"/>
        <v>#VALUE!</v>
      </c>
      <c r="AI394" t="e">
        <f t="shared" si="276"/>
        <v>#VALUE!</v>
      </c>
      <c r="AJ394" s="19" t="e">
        <f t="shared" si="288"/>
        <v>#VALUE!</v>
      </c>
      <c r="AK394" t="e">
        <f t="shared" si="277"/>
        <v>#VALUE!</v>
      </c>
      <c r="AL394" t="e">
        <f t="shared" si="278"/>
        <v>#VALUE!</v>
      </c>
      <c r="AM394" t="e">
        <f t="shared" si="279"/>
        <v>#VALUE!</v>
      </c>
      <c r="AN394" t="e">
        <f t="shared" si="280"/>
        <v>#VALUE!</v>
      </c>
      <c r="AO394" t="e">
        <f t="shared" si="281"/>
        <v>#VALUE!</v>
      </c>
      <c r="AP394" t="e">
        <f t="shared" si="282"/>
        <v>#VALUE!</v>
      </c>
      <c r="AQ394" t="e">
        <f t="shared" si="283"/>
        <v>#VALUE!</v>
      </c>
      <c r="AR394" s="123" t="e">
        <f t="shared" si="289"/>
        <v>#VALUE!</v>
      </c>
      <c r="AS394" t="e">
        <f t="shared" si="284"/>
        <v>#VALUE!</v>
      </c>
      <c r="AT394" s="181" t="e">
        <f>INDEX('stock fisico '!N:N, MATCH(B394, 'stock fisico '!B:B, 0))</f>
        <v>#N/A</v>
      </c>
      <c r="AU394" s="179" t="e">
        <f>INDEX('stock fisico '!D:D, MATCH(B394, 'stock fisico '!B:B, 0))</f>
        <v>#N/A</v>
      </c>
      <c r="AV394" s="177" t="e">
        <f>INDEX('stock fisico '!L:L, MATCH(B394, 'stock fisico '!B:B, 0))</f>
        <v>#N/A</v>
      </c>
    </row>
    <row r="395" spans="1:48" x14ac:dyDescent="0.25">
      <c r="A395" s="181" t="e">
        <f>INDEX('stock fisico '!M:M, MATCH(B395, 'stock fisico '!B:B, 0))</f>
        <v>#N/A</v>
      </c>
      <c r="C395" s="179" t="e">
        <f>INDEX('stock fisico '!C:C, MATCH(B395, 'stock fisico '!B:B, 0))</f>
        <v>#N/A</v>
      </c>
      <c r="D395" s="178" t="e">
        <f>INDEX('stock fisico '!I:I, MATCH(B395, 'stock fisico '!B:B, 0))</f>
        <v>#N/A</v>
      </c>
      <c r="E395" s="173" t="e">
        <f t="shared" si="290"/>
        <v>#VALUE!</v>
      </c>
      <c r="F395" t="e">
        <f t="shared" si="250"/>
        <v>#VALUE!</v>
      </c>
      <c r="G395" t="e">
        <f t="shared" si="251"/>
        <v>#VALUE!</v>
      </c>
      <c r="H395" t="e">
        <f t="shared" si="252"/>
        <v>#VALUE!</v>
      </c>
      <c r="I395" t="e">
        <f t="shared" si="253"/>
        <v>#VALUE!</v>
      </c>
      <c r="J395" t="e">
        <f t="shared" si="254"/>
        <v>#VALUE!</v>
      </c>
      <c r="K395" t="e">
        <f t="shared" si="255"/>
        <v>#VALUE!</v>
      </c>
      <c r="L395" s="175" t="e">
        <f t="shared" si="285"/>
        <v>#VALUE!</v>
      </c>
      <c r="M395" t="e">
        <f t="shared" si="256"/>
        <v>#VALUE!</v>
      </c>
      <c r="N395" t="e">
        <f t="shared" si="257"/>
        <v>#VALUE!</v>
      </c>
      <c r="O395" t="e">
        <f t="shared" si="258"/>
        <v>#VALUE!</v>
      </c>
      <c r="P395" t="e">
        <f t="shared" si="259"/>
        <v>#VALUE!</v>
      </c>
      <c r="Q395" t="e">
        <f t="shared" si="260"/>
        <v>#VALUE!</v>
      </c>
      <c r="R395" t="e">
        <f t="shared" si="261"/>
        <v>#VALUE!</v>
      </c>
      <c r="S395" t="e">
        <f t="shared" si="262"/>
        <v>#VALUE!</v>
      </c>
      <c r="T395" s="174" t="e">
        <f t="shared" si="286"/>
        <v>#VALUE!</v>
      </c>
      <c r="U395" t="e">
        <f t="shared" si="263"/>
        <v>#VALUE!</v>
      </c>
      <c r="V395" t="e">
        <f t="shared" si="264"/>
        <v>#VALUE!</v>
      </c>
      <c r="W395" t="e">
        <f t="shared" si="265"/>
        <v>#VALUE!</v>
      </c>
      <c r="X395" t="e">
        <f t="shared" si="266"/>
        <v>#VALUE!</v>
      </c>
      <c r="Y395" t="e">
        <f t="shared" si="267"/>
        <v>#VALUE!</v>
      </c>
      <c r="Z395" t="e">
        <f t="shared" si="268"/>
        <v>#VALUE!</v>
      </c>
      <c r="AA395" t="e">
        <f t="shared" si="269"/>
        <v>#VALUE!</v>
      </c>
      <c r="AB395" s="23" t="e">
        <f t="shared" si="287"/>
        <v>#VALUE!</v>
      </c>
      <c r="AC395" t="e">
        <f t="shared" si="270"/>
        <v>#VALUE!</v>
      </c>
      <c r="AD395" t="e">
        <f t="shared" si="271"/>
        <v>#VALUE!</v>
      </c>
      <c r="AE395" t="e">
        <f t="shared" si="272"/>
        <v>#VALUE!</v>
      </c>
      <c r="AF395" t="e">
        <f t="shared" si="273"/>
        <v>#VALUE!</v>
      </c>
      <c r="AG395" t="e">
        <f t="shared" si="274"/>
        <v>#VALUE!</v>
      </c>
      <c r="AH395" t="e">
        <f t="shared" si="275"/>
        <v>#VALUE!</v>
      </c>
      <c r="AI395" t="e">
        <f t="shared" si="276"/>
        <v>#VALUE!</v>
      </c>
      <c r="AJ395" s="19" t="e">
        <f t="shared" si="288"/>
        <v>#VALUE!</v>
      </c>
      <c r="AK395" t="e">
        <f t="shared" si="277"/>
        <v>#VALUE!</v>
      </c>
      <c r="AL395" t="e">
        <f t="shared" si="278"/>
        <v>#VALUE!</v>
      </c>
      <c r="AM395" t="e">
        <f t="shared" si="279"/>
        <v>#VALUE!</v>
      </c>
      <c r="AN395" t="e">
        <f t="shared" si="280"/>
        <v>#VALUE!</v>
      </c>
      <c r="AO395" t="e">
        <f t="shared" si="281"/>
        <v>#VALUE!</v>
      </c>
      <c r="AP395" t="e">
        <f t="shared" si="282"/>
        <v>#VALUE!</v>
      </c>
      <c r="AQ395" t="e">
        <f t="shared" si="283"/>
        <v>#VALUE!</v>
      </c>
      <c r="AR395" s="123" t="e">
        <f t="shared" si="289"/>
        <v>#VALUE!</v>
      </c>
      <c r="AS395" t="e">
        <f t="shared" si="284"/>
        <v>#VALUE!</v>
      </c>
      <c r="AT395" s="181" t="e">
        <f>INDEX('stock fisico '!N:N, MATCH(B395, 'stock fisico '!B:B, 0))</f>
        <v>#N/A</v>
      </c>
      <c r="AU395" s="179" t="e">
        <f>INDEX('stock fisico '!D:D, MATCH(B395, 'stock fisico '!B:B, 0))</f>
        <v>#N/A</v>
      </c>
      <c r="AV395" s="177" t="e">
        <f>INDEX('stock fisico '!L:L, MATCH(B395, 'stock fisico '!B:B, 0))</f>
        <v>#N/A</v>
      </c>
    </row>
    <row r="396" spans="1:48" x14ac:dyDescent="0.25">
      <c r="A396" s="181" t="e">
        <f>INDEX('stock fisico '!M:M, MATCH(B396, 'stock fisico '!B:B, 0))</f>
        <v>#N/A</v>
      </c>
      <c r="C396" s="179" t="e">
        <f>INDEX('stock fisico '!C:C, MATCH(B396, 'stock fisico '!B:B, 0))</f>
        <v>#N/A</v>
      </c>
      <c r="D396" s="178" t="e">
        <f>INDEX('stock fisico '!I:I, MATCH(B396, 'stock fisico '!B:B, 0))</f>
        <v>#N/A</v>
      </c>
      <c r="E396" s="173" t="e">
        <f t="shared" si="290"/>
        <v>#VALUE!</v>
      </c>
      <c r="F396" t="e">
        <f t="shared" si="250"/>
        <v>#VALUE!</v>
      </c>
      <c r="G396" t="e">
        <f t="shared" si="251"/>
        <v>#VALUE!</v>
      </c>
      <c r="H396" t="e">
        <f t="shared" si="252"/>
        <v>#VALUE!</v>
      </c>
      <c r="I396" t="e">
        <f t="shared" si="253"/>
        <v>#VALUE!</v>
      </c>
      <c r="J396" t="e">
        <f t="shared" si="254"/>
        <v>#VALUE!</v>
      </c>
      <c r="K396" t="e">
        <f t="shared" si="255"/>
        <v>#VALUE!</v>
      </c>
      <c r="L396" s="175" t="e">
        <f t="shared" si="285"/>
        <v>#VALUE!</v>
      </c>
      <c r="M396" t="e">
        <f t="shared" si="256"/>
        <v>#VALUE!</v>
      </c>
      <c r="N396" t="e">
        <f t="shared" si="257"/>
        <v>#VALUE!</v>
      </c>
      <c r="O396" t="e">
        <f t="shared" si="258"/>
        <v>#VALUE!</v>
      </c>
      <c r="P396" t="e">
        <f t="shared" si="259"/>
        <v>#VALUE!</v>
      </c>
      <c r="Q396" t="e">
        <f t="shared" si="260"/>
        <v>#VALUE!</v>
      </c>
      <c r="R396" t="e">
        <f t="shared" si="261"/>
        <v>#VALUE!</v>
      </c>
      <c r="S396" t="e">
        <f t="shared" si="262"/>
        <v>#VALUE!</v>
      </c>
      <c r="T396" s="174" t="e">
        <f t="shared" si="286"/>
        <v>#VALUE!</v>
      </c>
      <c r="U396" t="e">
        <f t="shared" si="263"/>
        <v>#VALUE!</v>
      </c>
      <c r="V396" t="e">
        <f t="shared" si="264"/>
        <v>#VALUE!</v>
      </c>
      <c r="W396" t="e">
        <f t="shared" si="265"/>
        <v>#VALUE!</v>
      </c>
      <c r="X396" t="e">
        <f t="shared" si="266"/>
        <v>#VALUE!</v>
      </c>
      <c r="Y396" t="e">
        <f t="shared" si="267"/>
        <v>#VALUE!</v>
      </c>
      <c r="Z396" t="e">
        <f t="shared" si="268"/>
        <v>#VALUE!</v>
      </c>
      <c r="AA396" t="e">
        <f t="shared" si="269"/>
        <v>#VALUE!</v>
      </c>
      <c r="AB396" s="23" t="e">
        <f t="shared" si="287"/>
        <v>#VALUE!</v>
      </c>
      <c r="AC396" t="e">
        <f t="shared" si="270"/>
        <v>#VALUE!</v>
      </c>
      <c r="AD396" t="e">
        <f t="shared" si="271"/>
        <v>#VALUE!</v>
      </c>
      <c r="AE396" t="e">
        <f t="shared" si="272"/>
        <v>#VALUE!</v>
      </c>
      <c r="AF396" t="e">
        <f t="shared" si="273"/>
        <v>#VALUE!</v>
      </c>
      <c r="AG396" t="e">
        <f t="shared" si="274"/>
        <v>#VALUE!</v>
      </c>
      <c r="AH396" t="e">
        <f t="shared" si="275"/>
        <v>#VALUE!</v>
      </c>
      <c r="AI396" t="e">
        <f t="shared" si="276"/>
        <v>#VALUE!</v>
      </c>
      <c r="AJ396" s="19" t="e">
        <f t="shared" si="288"/>
        <v>#VALUE!</v>
      </c>
      <c r="AK396" t="e">
        <f t="shared" si="277"/>
        <v>#VALUE!</v>
      </c>
      <c r="AL396" t="e">
        <f t="shared" si="278"/>
        <v>#VALUE!</v>
      </c>
      <c r="AM396" t="e">
        <f t="shared" si="279"/>
        <v>#VALUE!</v>
      </c>
      <c r="AN396" t="e">
        <f t="shared" si="280"/>
        <v>#VALUE!</v>
      </c>
      <c r="AO396" t="e">
        <f t="shared" si="281"/>
        <v>#VALUE!</v>
      </c>
      <c r="AP396" t="e">
        <f t="shared" si="282"/>
        <v>#VALUE!</v>
      </c>
      <c r="AQ396" t="e">
        <f t="shared" si="283"/>
        <v>#VALUE!</v>
      </c>
      <c r="AR396" s="123" t="e">
        <f t="shared" si="289"/>
        <v>#VALUE!</v>
      </c>
      <c r="AS396" t="e">
        <f t="shared" si="284"/>
        <v>#VALUE!</v>
      </c>
      <c r="AT396" s="181" t="e">
        <f>INDEX('stock fisico '!N:N, MATCH(B396, 'stock fisico '!B:B, 0))</f>
        <v>#N/A</v>
      </c>
      <c r="AU396" s="179" t="e">
        <f>INDEX('stock fisico '!D:D, MATCH(B396, 'stock fisico '!B:B, 0))</f>
        <v>#N/A</v>
      </c>
      <c r="AV396" s="177" t="e">
        <f>INDEX('stock fisico '!L:L, MATCH(B396, 'stock fisico '!B:B, 0))</f>
        <v>#N/A</v>
      </c>
    </row>
    <row r="397" spans="1:48" x14ac:dyDescent="0.25">
      <c r="A397" s="181" t="e">
        <f>INDEX('stock fisico '!M:M, MATCH(B397, 'stock fisico '!B:B, 0))</f>
        <v>#N/A</v>
      </c>
      <c r="C397" s="179" t="e">
        <f>INDEX('stock fisico '!C:C, MATCH(B397, 'stock fisico '!B:B, 0))</f>
        <v>#N/A</v>
      </c>
      <c r="D397" s="178" t="e">
        <f>INDEX('stock fisico '!I:I, MATCH(B397, 'stock fisico '!B:B, 0))</f>
        <v>#N/A</v>
      </c>
      <c r="E397" s="173" t="e">
        <f t="shared" si="290"/>
        <v>#VALUE!</v>
      </c>
      <c r="F397" t="e">
        <f t="shared" si="250"/>
        <v>#VALUE!</v>
      </c>
      <c r="G397" t="e">
        <f t="shared" si="251"/>
        <v>#VALUE!</v>
      </c>
      <c r="H397" t="e">
        <f t="shared" si="252"/>
        <v>#VALUE!</v>
      </c>
      <c r="I397" t="e">
        <f t="shared" si="253"/>
        <v>#VALUE!</v>
      </c>
      <c r="J397" t="e">
        <f t="shared" si="254"/>
        <v>#VALUE!</v>
      </c>
      <c r="K397" t="e">
        <f t="shared" si="255"/>
        <v>#VALUE!</v>
      </c>
      <c r="L397" s="175" t="e">
        <f t="shared" si="285"/>
        <v>#VALUE!</v>
      </c>
      <c r="M397" t="e">
        <f t="shared" si="256"/>
        <v>#VALUE!</v>
      </c>
      <c r="N397" t="e">
        <f t="shared" si="257"/>
        <v>#VALUE!</v>
      </c>
      <c r="O397" t="e">
        <f t="shared" si="258"/>
        <v>#VALUE!</v>
      </c>
      <c r="P397" t="e">
        <f t="shared" si="259"/>
        <v>#VALUE!</v>
      </c>
      <c r="Q397" t="e">
        <f t="shared" si="260"/>
        <v>#VALUE!</v>
      </c>
      <c r="R397" t="e">
        <f t="shared" si="261"/>
        <v>#VALUE!</v>
      </c>
      <c r="S397" t="e">
        <f t="shared" si="262"/>
        <v>#VALUE!</v>
      </c>
      <c r="T397" s="174" t="e">
        <f t="shared" si="286"/>
        <v>#VALUE!</v>
      </c>
      <c r="U397" t="e">
        <f t="shared" si="263"/>
        <v>#VALUE!</v>
      </c>
      <c r="V397" t="e">
        <f t="shared" si="264"/>
        <v>#VALUE!</v>
      </c>
      <c r="W397" t="e">
        <f t="shared" si="265"/>
        <v>#VALUE!</v>
      </c>
      <c r="X397" t="e">
        <f t="shared" si="266"/>
        <v>#VALUE!</v>
      </c>
      <c r="Y397" t="e">
        <f t="shared" si="267"/>
        <v>#VALUE!</v>
      </c>
      <c r="Z397" t="e">
        <f t="shared" si="268"/>
        <v>#VALUE!</v>
      </c>
      <c r="AA397" t="e">
        <f t="shared" si="269"/>
        <v>#VALUE!</v>
      </c>
      <c r="AB397" s="23" t="e">
        <f t="shared" si="287"/>
        <v>#VALUE!</v>
      </c>
      <c r="AC397" t="e">
        <f t="shared" si="270"/>
        <v>#VALUE!</v>
      </c>
      <c r="AD397" t="e">
        <f t="shared" si="271"/>
        <v>#VALUE!</v>
      </c>
      <c r="AE397" t="e">
        <f t="shared" si="272"/>
        <v>#VALUE!</v>
      </c>
      <c r="AF397" t="e">
        <f t="shared" si="273"/>
        <v>#VALUE!</v>
      </c>
      <c r="AG397" t="e">
        <f t="shared" si="274"/>
        <v>#VALUE!</v>
      </c>
      <c r="AH397" t="e">
        <f t="shared" si="275"/>
        <v>#VALUE!</v>
      </c>
      <c r="AI397" t="e">
        <f t="shared" si="276"/>
        <v>#VALUE!</v>
      </c>
      <c r="AJ397" s="19" t="e">
        <f t="shared" si="288"/>
        <v>#VALUE!</v>
      </c>
      <c r="AK397" t="e">
        <f t="shared" si="277"/>
        <v>#VALUE!</v>
      </c>
      <c r="AL397" t="e">
        <f t="shared" si="278"/>
        <v>#VALUE!</v>
      </c>
      <c r="AM397" t="e">
        <f t="shared" si="279"/>
        <v>#VALUE!</v>
      </c>
      <c r="AN397" t="e">
        <f t="shared" si="280"/>
        <v>#VALUE!</v>
      </c>
      <c r="AO397" t="e">
        <f t="shared" si="281"/>
        <v>#VALUE!</v>
      </c>
      <c r="AP397" t="e">
        <f t="shared" si="282"/>
        <v>#VALUE!</v>
      </c>
      <c r="AQ397" t="e">
        <f t="shared" si="283"/>
        <v>#VALUE!</v>
      </c>
      <c r="AR397" s="123" t="e">
        <f t="shared" si="289"/>
        <v>#VALUE!</v>
      </c>
      <c r="AS397" t="e">
        <f t="shared" si="284"/>
        <v>#VALUE!</v>
      </c>
      <c r="AT397" s="181" t="e">
        <f>INDEX('stock fisico '!N:N, MATCH(B397, 'stock fisico '!B:B, 0))</f>
        <v>#N/A</v>
      </c>
      <c r="AU397" s="179" t="e">
        <f>INDEX('stock fisico '!D:D, MATCH(B397, 'stock fisico '!B:B, 0))</f>
        <v>#N/A</v>
      </c>
      <c r="AV397" s="177" t="e">
        <f>INDEX('stock fisico '!L:L, MATCH(B397, 'stock fisico '!B:B, 0))</f>
        <v>#N/A</v>
      </c>
    </row>
    <row r="398" spans="1:48" x14ac:dyDescent="0.25">
      <c r="A398" s="181" t="e">
        <f>INDEX('stock fisico '!M:M, MATCH(B398, 'stock fisico '!B:B, 0))</f>
        <v>#N/A</v>
      </c>
      <c r="C398" s="179" t="e">
        <f>INDEX('stock fisico '!C:C, MATCH(B398, 'stock fisico '!B:B, 0))</f>
        <v>#N/A</v>
      </c>
      <c r="D398" s="178" t="e">
        <f>INDEX('stock fisico '!I:I, MATCH(B398, 'stock fisico '!B:B, 0))</f>
        <v>#N/A</v>
      </c>
      <c r="E398" s="173" t="e">
        <f t="shared" si="290"/>
        <v>#VALUE!</v>
      </c>
      <c r="F398" t="e">
        <f t="shared" si="250"/>
        <v>#VALUE!</v>
      </c>
      <c r="G398" t="e">
        <f t="shared" si="251"/>
        <v>#VALUE!</v>
      </c>
      <c r="H398" t="e">
        <f t="shared" si="252"/>
        <v>#VALUE!</v>
      </c>
      <c r="I398" t="e">
        <f t="shared" si="253"/>
        <v>#VALUE!</v>
      </c>
      <c r="J398" t="e">
        <f t="shared" si="254"/>
        <v>#VALUE!</v>
      </c>
      <c r="K398" t="e">
        <f t="shared" si="255"/>
        <v>#VALUE!</v>
      </c>
      <c r="L398" s="175" t="e">
        <f t="shared" si="285"/>
        <v>#VALUE!</v>
      </c>
      <c r="M398" t="e">
        <f t="shared" si="256"/>
        <v>#VALUE!</v>
      </c>
      <c r="N398" t="e">
        <f t="shared" si="257"/>
        <v>#VALUE!</v>
      </c>
      <c r="O398" t="e">
        <f t="shared" si="258"/>
        <v>#VALUE!</v>
      </c>
      <c r="P398" t="e">
        <f t="shared" si="259"/>
        <v>#VALUE!</v>
      </c>
      <c r="Q398" t="e">
        <f t="shared" si="260"/>
        <v>#VALUE!</v>
      </c>
      <c r="R398" t="e">
        <f t="shared" si="261"/>
        <v>#VALUE!</v>
      </c>
      <c r="S398" t="e">
        <f t="shared" si="262"/>
        <v>#VALUE!</v>
      </c>
      <c r="T398" s="174" t="e">
        <f t="shared" si="286"/>
        <v>#VALUE!</v>
      </c>
      <c r="U398" t="e">
        <f t="shared" si="263"/>
        <v>#VALUE!</v>
      </c>
      <c r="V398" t="e">
        <f t="shared" si="264"/>
        <v>#VALUE!</v>
      </c>
      <c r="W398" t="e">
        <f t="shared" si="265"/>
        <v>#VALUE!</v>
      </c>
      <c r="X398" t="e">
        <f t="shared" si="266"/>
        <v>#VALUE!</v>
      </c>
      <c r="Y398" t="e">
        <f t="shared" si="267"/>
        <v>#VALUE!</v>
      </c>
      <c r="Z398" t="e">
        <f t="shared" si="268"/>
        <v>#VALUE!</v>
      </c>
      <c r="AA398" t="e">
        <f t="shared" si="269"/>
        <v>#VALUE!</v>
      </c>
      <c r="AB398" s="23" t="e">
        <f t="shared" si="287"/>
        <v>#VALUE!</v>
      </c>
      <c r="AC398" t="e">
        <f t="shared" si="270"/>
        <v>#VALUE!</v>
      </c>
      <c r="AD398" t="e">
        <f t="shared" si="271"/>
        <v>#VALUE!</v>
      </c>
      <c r="AE398" t="e">
        <f t="shared" si="272"/>
        <v>#VALUE!</v>
      </c>
      <c r="AF398" t="e">
        <f t="shared" si="273"/>
        <v>#VALUE!</v>
      </c>
      <c r="AG398" t="e">
        <f t="shared" si="274"/>
        <v>#VALUE!</v>
      </c>
      <c r="AH398" t="e">
        <f t="shared" si="275"/>
        <v>#VALUE!</v>
      </c>
      <c r="AI398" t="e">
        <f t="shared" si="276"/>
        <v>#VALUE!</v>
      </c>
      <c r="AJ398" s="19" t="e">
        <f t="shared" si="288"/>
        <v>#VALUE!</v>
      </c>
      <c r="AK398" t="e">
        <f t="shared" si="277"/>
        <v>#VALUE!</v>
      </c>
      <c r="AL398" t="e">
        <f t="shared" si="278"/>
        <v>#VALUE!</v>
      </c>
      <c r="AM398" t="e">
        <f t="shared" si="279"/>
        <v>#VALUE!</v>
      </c>
      <c r="AN398" t="e">
        <f t="shared" si="280"/>
        <v>#VALUE!</v>
      </c>
      <c r="AO398" t="e">
        <f t="shared" si="281"/>
        <v>#VALUE!</v>
      </c>
      <c r="AP398" t="e">
        <f t="shared" si="282"/>
        <v>#VALUE!</v>
      </c>
      <c r="AQ398" t="e">
        <f t="shared" si="283"/>
        <v>#VALUE!</v>
      </c>
      <c r="AR398" s="123" t="e">
        <f t="shared" si="289"/>
        <v>#VALUE!</v>
      </c>
      <c r="AS398" t="e">
        <f t="shared" si="284"/>
        <v>#VALUE!</v>
      </c>
      <c r="AT398" s="181" t="e">
        <f>INDEX('stock fisico '!N:N, MATCH(B398, 'stock fisico '!B:B, 0))</f>
        <v>#N/A</v>
      </c>
      <c r="AU398" s="179" t="e">
        <f>INDEX('stock fisico '!D:D, MATCH(B398, 'stock fisico '!B:B, 0))</f>
        <v>#N/A</v>
      </c>
      <c r="AV398" s="177" t="e">
        <f>INDEX('stock fisico '!L:L, MATCH(B398, 'stock fisico '!B:B, 0))</f>
        <v>#N/A</v>
      </c>
    </row>
    <row r="399" spans="1:48" x14ac:dyDescent="0.25">
      <c r="A399" s="181" t="e">
        <f>INDEX('stock fisico '!M:M, MATCH(B399, 'stock fisico '!B:B, 0))</f>
        <v>#N/A</v>
      </c>
      <c r="C399" s="179" t="e">
        <f>INDEX('stock fisico '!C:C, MATCH(B399, 'stock fisico '!B:B, 0))</f>
        <v>#N/A</v>
      </c>
      <c r="D399" s="178" t="e">
        <f>INDEX('stock fisico '!I:I, MATCH(B399, 'stock fisico '!B:B, 0))</f>
        <v>#N/A</v>
      </c>
      <c r="E399" s="173" t="e">
        <f t="shared" si="290"/>
        <v>#VALUE!</v>
      </c>
      <c r="F399" t="e">
        <f t="shared" si="250"/>
        <v>#VALUE!</v>
      </c>
      <c r="G399" t="e">
        <f t="shared" si="251"/>
        <v>#VALUE!</v>
      </c>
      <c r="H399" t="e">
        <f t="shared" si="252"/>
        <v>#VALUE!</v>
      </c>
      <c r="I399" t="e">
        <f t="shared" si="253"/>
        <v>#VALUE!</v>
      </c>
      <c r="J399" t="e">
        <f t="shared" si="254"/>
        <v>#VALUE!</v>
      </c>
      <c r="K399" t="e">
        <f t="shared" si="255"/>
        <v>#VALUE!</v>
      </c>
      <c r="L399" s="175" t="e">
        <f t="shared" si="285"/>
        <v>#VALUE!</v>
      </c>
      <c r="M399" t="e">
        <f t="shared" si="256"/>
        <v>#VALUE!</v>
      </c>
      <c r="N399" t="e">
        <f t="shared" si="257"/>
        <v>#VALUE!</v>
      </c>
      <c r="O399" t="e">
        <f t="shared" si="258"/>
        <v>#VALUE!</v>
      </c>
      <c r="P399" t="e">
        <f t="shared" si="259"/>
        <v>#VALUE!</v>
      </c>
      <c r="Q399" t="e">
        <f t="shared" si="260"/>
        <v>#VALUE!</v>
      </c>
      <c r="R399" t="e">
        <f t="shared" si="261"/>
        <v>#VALUE!</v>
      </c>
      <c r="S399" t="e">
        <f t="shared" si="262"/>
        <v>#VALUE!</v>
      </c>
      <c r="T399" s="174" t="e">
        <f t="shared" si="286"/>
        <v>#VALUE!</v>
      </c>
      <c r="U399" t="e">
        <f t="shared" si="263"/>
        <v>#VALUE!</v>
      </c>
      <c r="V399" t="e">
        <f t="shared" si="264"/>
        <v>#VALUE!</v>
      </c>
      <c r="W399" t="e">
        <f t="shared" si="265"/>
        <v>#VALUE!</v>
      </c>
      <c r="X399" t="e">
        <f t="shared" si="266"/>
        <v>#VALUE!</v>
      </c>
      <c r="Y399" t="e">
        <f t="shared" si="267"/>
        <v>#VALUE!</v>
      </c>
      <c r="Z399" t="e">
        <f t="shared" si="268"/>
        <v>#VALUE!</v>
      </c>
      <c r="AA399" t="e">
        <f t="shared" si="269"/>
        <v>#VALUE!</v>
      </c>
      <c r="AB399" s="23" t="e">
        <f t="shared" si="287"/>
        <v>#VALUE!</v>
      </c>
      <c r="AC399" t="e">
        <f t="shared" si="270"/>
        <v>#VALUE!</v>
      </c>
      <c r="AD399" t="e">
        <f t="shared" si="271"/>
        <v>#VALUE!</v>
      </c>
      <c r="AE399" t="e">
        <f t="shared" si="272"/>
        <v>#VALUE!</v>
      </c>
      <c r="AF399" t="e">
        <f t="shared" si="273"/>
        <v>#VALUE!</v>
      </c>
      <c r="AG399" t="e">
        <f t="shared" si="274"/>
        <v>#VALUE!</v>
      </c>
      <c r="AH399" t="e">
        <f t="shared" si="275"/>
        <v>#VALUE!</v>
      </c>
      <c r="AI399" t="e">
        <f t="shared" si="276"/>
        <v>#VALUE!</v>
      </c>
      <c r="AJ399" s="19" t="e">
        <f t="shared" si="288"/>
        <v>#VALUE!</v>
      </c>
      <c r="AK399" t="e">
        <f t="shared" si="277"/>
        <v>#VALUE!</v>
      </c>
      <c r="AL399" t="e">
        <f t="shared" si="278"/>
        <v>#VALUE!</v>
      </c>
      <c r="AM399" t="e">
        <f t="shared" si="279"/>
        <v>#VALUE!</v>
      </c>
      <c r="AN399" t="e">
        <f t="shared" si="280"/>
        <v>#VALUE!</v>
      </c>
      <c r="AO399" t="e">
        <f t="shared" si="281"/>
        <v>#VALUE!</v>
      </c>
      <c r="AP399" t="e">
        <f t="shared" si="282"/>
        <v>#VALUE!</v>
      </c>
      <c r="AQ399" t="e">
        <f t="shared" si="283"/>
        <v>#VALUE!</v>
      </c>
      <c r="AR399" s="123" t="e">
        <f t="shared" si="289"/>
        <v>#VALUE!</v>
      </c>
      <c r="AS399" t="e">
        <f t="shared" si="284"/>
        <v>#VALUE!</v>
      </c>
      <c r="AT399" s="181" t="e">
        <f>INDEX('stock fisico '!N:N, MATCH(B399, 'stock fisico '!B:B, 0))</f>
        <v>#N/A</v>
      </c>
      <c r="AU399" s="179" t="e">
        <f>INDEX('stock fisico '!D:D, MATCH(B399, 'stock fisico '!B:B, 0))</f>
        <v>#N/A</v>
      </c>
      <c r="AV399" s="177" t="e">
        <f>INDEX('stock fisico '!L:L, MATCH(B399, 'stock fisico '!B:B, 0))</f>
        <v>#N/A</v>
      </c>
    </row>
    <row r="400" spans="1:48" x14ac:dyDescent="0.25">
      <c r="A400" s="181" t="e">
        <f>INDEX('stock fisico '!M:M, MATCH(B400, 'stock fisico '!B:B, 0))</f>
        <v>#N/A</v>
      </c>
      <c r="C400" s="179" t="e">
        <f>INDEX('stock fisico '!C:C, MATCH(B400, 'stock fisico '!B:B, 0))</f>
        <v>#N/A</v>
      </c>
      <c r="D400" s="178" t="e">
        <f>INDEX('stock fisico '!I:I, MATCH(B400, 'stock fisico '!B:B, 0))</f>
        <v>#N/A</v>
      </c>
      <c r="E400" s="173" t="e">
        <f t="shared" si="290"/>
        <v>#VALUE!</v>
      </c>
      <c r="F400" t="e">
        <f t="shared" si="250"/>
        <v>#VALUE!</v>
      </c>
      <c r="G400" t="e">
        <f t="shared" si="251"/>
        <v>#VALUE!</v>
      </c>
      <c r="H400" t="e">
        <f t="shared" si="252"/>
        <v>#VALUE!</v>
      </c>
      <c r="I400" t="e">
        <f t="shared" si="253"/>
        <v>#VALUE!</v>
      </c>
      <c r="J400" t="e">
        <f t="shared" si="254"/>
        <v>#VALUE!</v>
      </c>
      <c r="K400" t="e">
        <f t="shared" si="255"/>
        <v>#VALUE!</v>
      </c>
      <c r="L400" s="175" t="e">
        <f t="shared" si="285"/>
        <v>#VALUE!</v>
      </c>
      <c r="M400" t="e">
        <f t="shared" si="256"/>
        <v>#VALUE!</v>
      </c>
      <c r="N400" t="e">
        <f t="shared" si="257"/>
        <v>#VALUE!</v>
      </c>
      <c r="O400" t="e">
        <f t="shared" si="258"/>
        <v>#VALUE!</v>
      </c>
      <c r="P400" t="e">
        <f t="shared" si="259"/>
        <v>#VALUE!</v>
      </c>
      <c r="Q400" t="e">
        <f t="shared" si="260"/>
        <v>#VALUE!</v>
      </c>
      <c r="R400" t="e">
        <f t="shared" si="261"/>
        <v>#VALUE!</v>
      </c>
      <c r="S400" t="e">
        <f t="shared" si="262"/>
        <v>#VALUE!</v>
      </c>
      <c r="T400" s="174" t="e">
        <f t="shared" si="286"/>
        <v>#VALUE!</v>
      </c>
      <c r="U400" t="e">
        <f t="shared" si="263"/>
        <v>#VALUE!</v>
      </c>
      <c r="V400" t="e">
        <f t="shared" si="264"/>
        <v>#VALUE!</v>
      </c>
      <c r="W400" t="e">
        <f t="shared" si="265"/>
        <v>#VALUE!</v>
      </c>
      <c r="X400" t="e">
        <f t="shared" si="266"/>
        <v>#VALUE!</v>
      </c>
      <c r="Y400" t="e">
        <f t="shared" si="267"/>
        <v>#VALUE!</v>
      </c>
      <c r="Z400" t="e">
        <f t="shared" si="268"/>
        <v>#VALUE!</v>
      </c>
      <c r="AA400" t="e">
        <f t="shared" si="269"/>
        <v>#VALUE!</v>
      </c>
      <c r="AB400" s="23" t="e">
        <f t="shared" si="287"/>
        <v>#VALUE!</v>
      </c>
      <c r="AC400" t="e">
        <f t="shared" si="270"/>
        <v>#VALUE!</v>
      </c>
      <c r="AD400" t="e">
        <f t="shared" si="271"/>
        <v>#VALUE!</v>
      </c>
      <c r="AE400" t="e">
        <f t="shared" si="272"/>
        <v>#VALUE!</v>
      </c>
      <c r="AF400" t="e">
        <f t="shared" si="273"/>
        <v>#VALUE!</v>
      </c>
      <c r="AG400" t="e">
        <f t="shared" si="274"/>
        <v>#VALUE!</v>
      </c>
      <c r="AH400" t="e">
        <f t="shared" si="275"/>
        <v>#VALUE!</v>
      </c>
      <c r="AI400" t="e">
        <f t="shared" si="276"/>
        <v>#VALUE!</v>
      </c>
      <c r="AJ400" s="19" t="e">
        <f t="shared" si="288"/>
        <v>#VALUE!</v>
      </c>
      <c r="AK400" t="e">
        <f t="shared" si="277"/>
        <v>#VALUE!</v>
      </c>
      <c r="AL400" t="e">
        <f t="shared" si="278"/>
        <v>#VALUE!</v>
      </c>
      <c r="AM400" t="e">
        <f t="shared" si="279"/>
        <v>#VALUE!</v>
      </c>
      <c r="AN400" t="e">
        <f t="shared" si="280"/>
        <v>#VALUE!</v>
      </c>
      <c r="AO400" t="e">
        <f t="shared" si="281"/>
        <v>#VALUE!</v>
      </c>
      <c r="AP400" t="e">
        <f t="shared" si="282"/>
        <v>#VALUE!</v>
      </c>
      <c r="AQ400" t="e">
        <f t="shared" si="283"/>
        <v>#VALUE!</v>
      </c>
      <c r="AR400" s="123" t="e">
        <f t="shared" si="289"/>
        <v>#VALUE!</v>
      </c>
      <c r="AS400" t="e">
        <f t="shared" si="284"/>
        <v>#VALUE!</v>
      </c>
      <c r="AT400" s="181" t="e">
        <f>INDEX('stock fisico '!N:N, MATCH(B400, 'stock fisico '!B:B, 0))</f>
        <v>#N/A</v>
      </c>
      <c r="AU400" s="179" t="e">
        <f>INDEX('stock fisico '!D:D, MATCH(B400, 'stock fisico '!B:B, 0))</f>
        <v>#N/A</v>
      </c>
      <c r="AV400" s="177" t="e">
        <f>INDEX('stock fisico '!L:L, MATCH(B400, 'stock fisico '!B:B, 0))</f>
        <v>#N/A</v>
      </c>
    </row>
    <row r="401" spans="1:48" x14ac:dyDescent="0.25">
      <c r="A401" s="181" t="e">
        <f>INDEX('stock fisico '!M:M, MATCH(B401, 'stock fisico '!B:B, 0))</f>
        <v>#N/A</v>
      </c>
      <c r="C401" s="179" t="e">
        <f>INDEX('stock fisico '!C:C, MATCH(B401, 'stock fisico '!B:B, 0))</f>
        <v>#N/A</v>
      </c>
      <c r="D401" s="178" t="e">
        <f>INDEX('stock fisico '!I:I, MATCH(B401, 'stock fisico '!B:B, 0))</f>
        <v>#N/A</v>
      </c>
      <c r="E401" s="173" t="e">
        <f t="shared" si="290"/>
        <v>#VALUE!</v>
      </c>
      <c r="F401" t="e">
        <f t="shared" si="250"/>
        <v>#VALUE!</v>
      </c>
      <c r="G401" t="e">
        <f t="shared" si="251"/>
        <v>#VALUE!</v>
      </c>
      <c r="H401" t="e">
        <f t="shared" si="252"/>
        <v>#VALUE!</v>
      </c>
      <c r="I401" t="e">
        <f t="shared" si="253"/>
        <v>#VALUE!</v>
      </c>
      <c r="J401" t="e">
        <f t="shared" si="254"/>
        <v>#VALUE!</v>
      </c>
      <c r="K401" t="e">
        <f t="shared" si="255"/>
        <v>#VALUE!</v>
      </c>
      <c r="L401" s="175" t="e">
        <f t="shared" si="285"/>
        <v>#VALUE!</v>
      </c>
      <c r="M401" t="e">
        <f t="shared" si="256"/>
        <v>#VALUE!</v>
      </c>
      <c r="N401" t="e">
        <f t="shared" si="257"/>
        <v>#VALUE!</v>
      </c>
      <c r="O401" t="e">
        <f t="shared" si="258"/>
        <v>#VALUE!</v>
      </c>
      <c r="P401" t="e">
        <f t="shared" si="259"/>
        <v>#VALUE!</v>
      </c>
      <c r="Q401" t="e">
        <f t="shared" si="260"/>
        <v>#VALUE!</v>
      </c>
      <c r="R401" t="e">
        <f t="shared" si="261"/>
        <v>#VALUE!</v>
      </c>
      <c r="S401" t="e">
        <f t="shared" si="262"/>
        <v>#VALUE!</v>
      </c>
      <c r="T401" s="174" t="e">
        <f t="shared" si="286"/>
        <v>#VALUE!</v>
      </c>
      <c r="U401" t="e">
        <f t="shared" si="263"/>
        <v>#VALUE!</v>
      </c>
      <c r="V401" t="e">
        <f t="shared" si="264"/>
        <v>#VALUE!</v>
      </c>
      <c r="W401" t="e">
        <f t="shared" si="265"/>
        <v>#VALUE!</v>
      </c>
      <c r="X401" t="e">
        <f t="shared" si="266"/>
        <v>#VALUE!</v>
      </c>
      <c r="Y401" t="e">
        <f t="shared" si="267"/>
        <v>#VALUE!</v>
      </c>
      <c r="Z401" t="e">
        <f t="shared" si="268"/>
        <v>#VALUE!</v>
      </c>
      <c r="AA401" t="e">
        <f t="shared" si="269"/>
        <v>#VALUE!</v>
      </c>
      <c r="AB401" s="23" t="e">
        <f t="shared" si="287"/>
        <v>#VALUE!</v>
      </c>
      <c r="AC401" t="e">
        <f t="shared" si="270"/>
        <v>#VALUE!</v>
      </c>
      <c r="AD401" t="e">
        <f t="shared" si="271"/>
        <v>#VALUE!</v>
      </c>
      <c r="AE401" t="e">
        <f t="shared" si="272"/>
        <v>#VALUE!</v>
      </c>
      <c r="AF401" t="e">
        <f t="shared" si="273"/>
        <v>#VALUE!</v>
      </c>
      <c r="AG401" t="e">
        <f t="shared" si="274"/>
        <v>#VALUE!</v>
      </c>
      <c r="AH401" t="e">
        <f t="shared" si="275"/>
        <v>#VALUE!</v>
      </c>
      <c r="AI401" t="e">
        <f t="shared" si="276"/>
        <v>#VALUE!</v>
      </c>
      <c r="AJ401" s="19" t="e">
        <f t="shared" si="288"/>
        <v>#VALUE!</v>
      </c>
      <c r="AK401" t="e">
        <f t="shared" si="277"/>
        <v>#VALUE!</v>
      </c>
      <c r="AL401" t="e">
        <f t="shared" si="278"/>
        <v>#VALUE!</v>
      </c>
      <c r="AM401" t="e">
        <f t="shared" si="279"/>
        <v>#VALUE!</v>
      </c>
      <c r="AN401" t="e">
        <f t="shared" si="280"/>
        <v>#VALUE!</v>
      </c>
      <c r="AO401" t="e">
        <f t="shared" si="281"/>
        <v>#VALUE!</v>
      </c>
      <c r="AP401" t="e">
        <f t="shared" si="282"/>
        <v>#VALUE!</v>
      </c>
      <c r="AQ401" t="e">
        <f t="shared" si="283"/>
        <v>#VALUE!</v>
      </c>
      <c r="AR401" s="123" t="e">
        <f t="shared" si="289"/>
        <v>#VALUE!</v>
      </c>
      <c r="AS401" t="e">
        <f t="shared" si="284"/>
        <v>#VALUE!</v>
      </c>
      <c r="AT401" s="181" t="e">
        <f>INDEX('stock fisico '!N:N, MATCH(B401, 'stock fisico '!B:B, 0))</f>
        <v>#N/A</v>
      </c>
      <c r="AU401" s="179" t="e">
        <f>INDEX('stock fisico '!D:D, MATCH(B401, 'stock fisico '!B:B, 0))</f>
        <v>#N/A</v>
      </c>
      <c r="AV401" s="177" t="e">
        <f>INDEX('stock fisico '!L:L, MATCH(B401, 'stock fisico '!B:B, 0))</f>
        <v>#N/A</v>
      </c>
    </row>
    <row r="402" spans="1:48" x14ac:dyDescent="0.25">
      <c r="A402" s="181" t="e">
        <f>INDEX('stock fisico '!M:M, MATCH(B402, 'stock fisico '!B:B, 0))</f>
        <v>#N/A</v>
      </c>
      <c r="C402" s="179" t="e">
        <f>INDEX('stock fisico '!C:C, MATCH(B402, 'stock fisico '!B:B, 0))</f>
        <v>#N/A</v>
      </c>
      <c r="D402" s="178" t="e">
        <f>INDEX('stock fisico '!I:I, MATCH(B402, 'stock fisico '!B:B, 0))</f>
        <v>#N/A</v>
      </c>
      <c r="E402" s="173" t="e">
        <f t="shared" si="290"/>
        <v>#VALUE!</v>
      </c>
      <c r="F402" t="e">
        <f t="shared" si="250"/>
        <v>#VALUE!</v>
      </c>
      <c r="G402" t="e">
        <f t="shared" si="251"/>
        <v>#VALUE!</v>
      </c>
      <c r="H402" t="e">
        <f t="shared" si="252"/>
        <v>#VALUE!</v>
      </c>
      <c r="I402" t="e">
        <f t="shared" si="253"/>
        <v>#VALUE!</v>
      </c>
      <c r="J402" t="e">
        <f t="shared" si="254"/>
        <v>#VALUE!</v>
      </c>
      <c r="K402" t="e">
        <f t="shared" si="255"/>
        <v>#VALUE!</v>
      </c>
      <c r="L402" s="175" t="e">
        <f t="shared" si="285"/>
        <v>#VALUE!</v>
      </c>
      <c r="M402" t="e">
        <f t="shared" si="256"/>
        <v>#VALUE!</v>
      </c>
      <c r="N402" t="e">
        <f t="shared" si="257"/>
        <v>#VALUE!</v>
      </c>
      <c r="O402" t="e">
        <f t="shared" si="258"/>
        <v>#VALUE!</v>
      </c>
      <c r="P402" t="e">
        <f t="shared" si="259"/>
        <v>#VALUE!</v>
      </c>
      <c r="Q402" t="e">
        <f t="shared" si="260"/>
        <v>#VALUE!</v>
      </c>
      <c r="R402" t="e">
        <f t="shared" si="261"/>
        <v>#VALUE!</v>
      </c>
      <c r="S402" t="e">
        <f t="shared" si="262"/>
        <v>#VALUE!</v>
      </c>
      <c r="T402" s="174" t="e">
        <f t="shared" si="286"/>
        <v>#VALUE!</v>
      </c>
      <c r="U402" t="e">
        <f t="shared" si="263"/>
        <v>#VALUE!</v>
      </c>
      <c r="V402" t="e">
        <f t="shared" si="264"/>
        <v>#VALUE!</v>
      </c>
      <c r="W402" t="e">
        <f t="shared" si="265"/>
        <v>#VALUE!</v>
      </c>
      <c r="X402" t="e">
        <f t="shared" si="266"/>
        <v>#VALUE!</v>
      </c>
      <c r="Y402" t="e">
        <f t="shared" si="267"/>
        <v>#VALUE!</v>
      </c>
      <c r="Z402" t="e">
        <f t="shared" si="268"/>
        <v>#VALUE!</v>
      </c>
      <c r="AA402" t="e">
        <f t="shared" si="269"/>
        <v>#VALUE!</v>
      </c>
      <c r="AB402" s="23" t="e">
        <f t="shared" si="287"/>
        <v>#VALUE!</v>
      </c>
      <c r="AC402" t="e">
        <f t="shared" si="270"/>
        <v>#VALUE!</v>
      </c>
      <c r="AD402" t="e">
        <f t="shared" si="271"/>
        <v>#VALUE!</v>
      </c>
      <c r="AE402" t="e">
        <f t="shared" si="272"/>
        <v>#VALUE!</v>
      </c>
      <c r="AF402" t="e">
        <f t="shared" si="273"/>
        <v>#VALUE!</v>
      </c>
      <c r="AG402" t="e">
        <f t="shared" si="274"/>
        <v>#VALUE!</v>
      </c>
      <c r="AH402" t="e">
        <f t="shared" si="275"/>
        <v>#VALUE!</v>
      </c>
      <c r="AI402" t="e">
        <f t="shared" si="276"/>
        <v>#VALUE!</v>
      </c>
      <c r="AJ402" s="19" t="e">
        <f t="shared" si="288"/>
        <v>#VALUE!</v>
      </c>
      <c r="AK402" t="e">
        <f t="shared" si="277"/>
        <v>#VALUE!</v>
      </c>
      <c r="AL402" t="e">
        <f t="shared" si="278"/>
        <v>#VALUE!</v>
      </c>
      <c r="AM402" t="e">
        <f t="shared" si="279"/>
        <v>#VALUE!</v>
      </c>
      <c r="AN402" t="e">
        <f t="shared" si="280"/>
        <v>#VALUE!</v>
      </c>
      <c r="AO402" t="e">
        <f t="shared" si="281"/>
        <v>#VALUE!</v>
      </c>
      <c r="AP402" t="e">
        <f t="shared" si="282"/>
        <v>#VALUE!</v>
      </c>
      <c r="AQ402" t="e">
        <f t="shared" si="283"/>
        <v>#VALUE!</v>
      </c>
      <c r="AR402" s="123" t="e">
        <f t="shared" si="289"/>
        <v>#VALUE!</v>
      </c>
      <c r="AS402" t="e">
        <f t="shared" si="284"/>
        <v>#VALUE!</v>
      </c>
      <c r="AT402" s="181" t="e">
        <f>INDEX('stock fisico '!N:N, MATCH(B402, 'stock fisico '!B:B, 0))</f>
        <v>#N/A</v>
      </c>
      <c r="AU402" s="179" t="e">
        <f>INDEX('stock fisico '!D:D, MATCH(B402, 'stock fisico '!B:B, 0))</f>
        <v>#N/A</v>
      </c>
      <c r="AV402" s="177" t="e">
        <f>INDEX('stock fisico '!L:L, MATCH(B402, 'stock fisico '!B:B, 0))</f>
        <v>#N/A</v>
      </c>
    </row>
    <row r="403" spans="1:48" x14ac:dyDescent="0.25">
      <c r="A403" s="181" t="e">
        <f>INDEX('stock fisico '!M:M, MATCH(B403, 'stock fisico '!B:B, 0))</f>
        <v>#N/A</v>
      </c>
      <c r="C403" s="179" t="e">
        <f>INDEX('stock fisico '!C:C, MATCH(B403, 'stock fisico '!B:B, 0))</f>
        <v>#N/A</v>
      </c>
      <c r="D403" s="178" t="e">
        <f>INDEX('stock fisico '!I:I, MATCH(B403, 'stock fisico '!B:B, 0))</f>
        <v>#N/A</v>
      </c>
      <c r="E403" s="173" t="e">
        <f t="shared" si="290"/>
        <v>#VALUE!</v>
      </c>
      <c r="F403" t="e">
        <f t="shared" si="250"/>
        <v>#VALUE!</v>
      </c>
      <c r="G403" t="e">
        <f t="shared" si="251"/>
        <v>#VALUE!</v>
      </c>
      <c r="H403" t="e">
        <f t="shared" si="252"/>
        <v>#VALUE!</v>
      </c>
      <c r="I403" t="e">
        <f t="shared" si="253"/>
        <v>#VALUE!</v>
      </c>
      <c r="J403" t="e">
        <f t="shared" si="254"/>
        <v>#VALUE!</v>
      </c>
      <c r="K403" t="e">
        <f t="shared" si="255"/>
        <v>#VALUE!</v>
      </c>
      <c r="L403" s="175" t="e">
        <f t="shared" si="285"/>
        <v>#VALUE!</v>
      </c>
      <c r="M403" t="e">
        <f t="shared" si="256"/>
        <v>#VALUE!</v>
      </c>
      <c r="N403" t="e">
        <f t="shared" si="257"/>
        <v>#VALUE!</v>
      </c>
      <c r="O403" t="e">
        <f t="shared" si="258"/>
        <v>#VALUE!</v>
      </c>
      <c r="P403" t="e">
        <f t="shared" si="259"/>
        <v>#VALUE!</v>
      </c>
      <c r="Q403" t="e">
        <f t="shared" si="260"/>
        <v>#VALUE!</v>
      </c>
      <c r="R403" t="e">
        <f t="shared" si="261"/>
        <v>#VALUE!</v>
      </c>
      <c r="S403" t="e">
        <f t="shared" si="262"/>
        <v>#VALUE!</v>
      </c>
      <c r="T403" s="174" t="e">
        <f t="shared" si="286"/>
        <v>#VALUE!</v>
      </c>
      <c r="U403" t="e">
        <f t="shared" si="263"/>
        <v>#VALUE!</v>
      </c>
      <c r="V403" t="e">
        <f t="shared" si="264"/>
        <v>#VALUE!</v>
      </c>
      <c r="W403" t="e">
        <f t="shared" si="265"/>
        <v>#VALUE!</v>
      </c>
      <c r="X403" t="e">
        <f t="shared" si="266"/>
        <v>#VALUE!</v>
      </c>
      <c r="Y403" t="e">
        <f t="shared" si="267"/>
        <v>#VALUE!</v>
      </c>
      <c r="Z403" t="e">
        <f t="shared" si="268"/>
        <v>#VALUE!</v>
      </c>
      <c r="AA403" t="e">
        <f t="shared" si="269"/>
        <v>#VALUE!</v>
      </c>
      <c r="AB403" s="23" t="e">
        <f t="shared" si="287"/>
        <v>#VALUE!</v>
      </c>
      <c r="AC403" t="e">
        <f t="shared" si="270"/>
        <v>#VALUE!</v>
      </c>
      <c r="AD403" t="e">
        <f t="shared" si="271"/>
        <v>#VALUE!</v>
      </c>
      <c r="AE403" t="e">
        <f t="shared" si="272"/>
        <v>#VALUE!</v>
      </c>
      <c r="AF403" t="e">
        <f t="shared" si="273"/>
        <v>#VALUE!</v>
      </c>
      <c r="AG403" t="e">
        <f t="shared" si="274"/>
        <v>#VALUE!</v>
      </c>
      <c r="AH403" t="e">
        <f t="shared" si="275"/>
        <v>#VALUE!</v>
      </c>
      <c r="AI403" t="e">
        <f t="shared" si="276"/>
        <v>#VALUE!</v>
      </c>
      <c r="AJ403" s="19" t="e">
        <f t="shared" si="288"/>
        <v>#VALUE!</v>
      </c>
      <c r="AK403" t="e">
        <f t="shared" si="277"/>
        <v>#VALUE!</v>
      </c>
      <c r="AL403" t="e">
        <f t="shared" si="278"/>
        <v>#VALUE!</v>
      </c>
      <c r="AM403" t="e">
        <f t="shared" si="279"/>
        <v>#VALUE!</v>
      </c>
      <c r="AN403" t="e">
        <f t="shared" si="280"/>
        <v>#VALUE!</v>
      </c>
      <c r="AO403" t="e">
        <f t="shared" si="281"/>
        <v>#VALUE!</v>
      </c>
      <c r="AP403" t="e">
        <f t="shared" si="282"/>
        <v>#VALUE!</v>
      </c>
      <c r="AQ403" t="e">
        <f t="shared" si="283"/>
        <v>#VALUE!</v>
      </c>
      <c r="AR403" s="123" t="e">
        <f t="shared" si="289"/>
        <v>#VALUE!</v>
      </c>
      <c r="AS403" t="e">
        <f t="shared" si="284"/>
        <v>#VALUE!</v>
      </c>
      <c r="AT403" s="181" t="e">
        <f>INDEX('stock fisico '!N:N, MATCH(B403, 'stock fisico '!B:B, 0))</f>
        <v>#N/A</v>
      </c>
      <c r="AU403" s="179" t="e">
        <f>INDEX('stock fisico '!D:D, MATCH(B403, 'stock fisico '!B:B, 0))</f>
        <v>#N/A</v>
      </c>
      <c r="AV403" s="177" t="e">
        <f>INDEX('stock fisico '!L:L, MATCH(B403, 'stock fisico '!B:B, 0))</f>
        <v>#N/A</v>
      </c>
    </row>
    <row r="404" spans="1:48" x14ac:dyDescent="0.25">
      <c r="A404" s="181" t="e">
        <f>INDEX('stock fisico '!M:M, MATCH(B404, 'stock fisico '!B:B, 0))</f>
        <v>#N/A</v>
      </c>
      <c r="C404" s="179" t="e">
        <f>INDEX('stock fisico '!C:C, MATCH(B404, 'stock fisico '!B:B, 0))</f>
        <v>#N/A</v>
      </c>
      <c r="D404" s="178" t="e">
        <f>INDEX('stock fisico '!I:I, MATCH(B404, 'stock fisico '!B:B, 0))</f>
        <v>#N/A</v>
      </c>
      <c r="E404" s="173" t="e">
        <f t="shared" si="290"/>
        <v>#VALUE!</v>
      </c>
      <c r="F404" t="e">
        <f t="shared" si="250"/>
        <v>#VALUE!</v>
      </c>
      <c r="G404" t="e">
        <f t="shared" si="251"/>
        <v>#VALUE!</v>
      </c>
      <c r="H404" t="e">
        <f t="shared" si="252"/>
        <v>#VALUE!</v>
      </c>
      <c r="I404" t="e">
        <f t="shared" si="253"/>
        <v>#VALUE!</v>
      </c>
      <c r="J404" t="e">
        <f t="shared" si="254"/>
        <v>#VALUE!</v>
      </c>
      <c r="K404" t="e">
        <f t="shared" si="255"/>
        <v>#VALUE!</v>
      </c>
      <c r="L404" s="175" t="e">
        <f t="shared" si="285"/>
        <v>#VALUE!</v>
      </c>
      <c r="M404" t="e">
        <f t="shared" si="256"/>
        <v>#VALUE!</v>
      </c>
      <c r="N404" t="e">
        <f t="shared" si="257"/>
        <v>#VALUE!</v>
      </c>
      <c r="O404" t="e">
        <f t="shared" si="258"/>
        <v>#VALUE!</v>
      </c>
      <c r="P404" t="e">
        <f t="shared" si="259"/>
        <v>#VALUE!</v>
      </c>
      <c r="Q404" t="e">
        <f t="shared" si="260"/>
        <v>#VALUE!</v>
      </c>
      <c r="R404" t="e">
        <f t="shared" si="261"/>
        <v>#VALUE!</v>
      </c>
      <c r="S404" t="e">
        <f t="shared" si="262"/>
        <v>#VALUE!</v>
      </c>
      <c r="T404" s="174" t="e">
        <f t="shared" si="286"/>
        <v>#VALUE!</v>
      </c>
      <c r="U404" t="e">
        <f t="shared" si="263"/>
        <v>#VALUE!</v>
      </c>
      <c r="V404" t="e">
        <f t="shared" si="264"/>
        <v>#VALUE!</v>
      </c>
      <c r="W404" t="e">
        <f t="shared" si="265"/>
        <v>#VALUE!</v>
      </c>
      <c r="X404" t="e">
        <f t="shared" si="266"/>
        <v>#VALUE!</v>
      </c>
      <c r="Y404" t="e">
        <f t="shared" si="267"/>
        <v>#VALUE!</v>
      </c>
      <c r="Z404" t="e">
        <f t="shared" si="268"/>
        <v>#VALUE!</v>
      </c>
      <c r="AA404" t="e">
        <f t="shared" si="269"/>
        <v>#VALUE!</v>
      </c>
      <c r="AB404" s="23" t="e">
        <f t="shared" si="287"/>
        <v>#VALUE!</v>
      </c>
      <c r="AC404" t="e">
        <f t="shared" si="270"/>
        <v>#VALUE!</v>
      </c>
      <c r="AD404" t="e">
        <f t="shared" si="271"/>
        <v>#VALUE!</v>
      </c>
      <c r="AE404" t="e">
        <f t="shared" si="272"/>
        <v>#VALUE!</v>
      </c>
      <c r="AF404" t="e">
        <f t="shared" si="273"/>
        <v>#VALUE!</v>
      </c>
      <c r="AG404" t="e">
        <f t="shared" si="274"/>
        <v>#VALUE!</v>
      </c>
      <c r="AH404" t="e">
        <f t="shared" si="275"/>
        <v>#VALUE!</v>
      </c>
      <c r="AI404" t="e">
        <f t="shared" si="276"/>
        <v>#VALUE!</v>
      </c>
      <c r="AJ404" s="19" t="e">
        <f t="shared" si="288"/>
        <v>#VALUE!</v>
      </c>
      <c r="AK404" t="e">
        <f t="shared" si="277"/>
        <v>#VALUE!</v>
      </c>
      <c r="AL404" t="e">
        <f t="shared" si="278"/>
        <v>#VALUE!</v>
      </c>
      <c r="AM404" t="e">
        <f t="shared" si="279"/>
        <v>#VALUE!</v>
      </c>
      <c r="AN404" t="e">
        <f t="shared" si="280"/>
        <v>#VALUE!</v>
      </c>
      <c r="AO404" t="e">
        <f t="shared" si="281"/>
        <v>#VALUE!</v>
      </c>
      <c r="AP404" t="e">
        <f t="shared" si="282"/>
        <v>#VALUE!</v>
      </c>
      <c r="AQ404" t="e">
        <f t="shared" si="283"/>
        <v>#VALUE!</v>
      </c>
      <c r="AR404" s="123" t="e">
        <f t="shared" si="289"/>
        <v>#VALUE!</v>
      </c>
      <c r="AS404" t="e">
        <f t="shared" si="284"/>
        <v>#VALUE!</v>
      </c>
      <c r="AT404" s="181" t="e">
        <f>INDEX('stock fisico '!N:N, MATCH(B404, 'stock fisico '!B:B, 0))</f>
        <v>#N/A</v>
      </c>
      <c r="AU404" s="179" t="e">
        <f>INDEX('stock fisico '!D:D, MATCH(B404, 'stock fisico '!B:B, 0))</f>
        <v>#N/A</v>
      </c>
      <c r="AV404" s="177" t="e">
        <f>INDEX('stock fisico '!L:L, MATCH(B404, 'stock fisico '!B:B, 0))</f>
        <v>#N/A</v>
      </c>
    </row>
    <row r="405" spans="1:48" x14ac:dyDescent="0.25">
      <c r="A405" s="181" t="e">
        <f>INDEX('stock fisico '!M:M, MATCH(B405, 'stock fisico '!B:B, 0))</f>
        <v>#N/A</v>
      </c>
      <c r="C405" s="179" t="e">
        <f>INDEX('stock fisico '!C:C, MATCH(B405, 'stock fisico '!B:B, 0))</f>
        <v>#N/A</v>
      </c>
      <c r="D405" s="178" t="e">
        <f>INDEX('stock fisico '!I:I, MATCH(B405, 'stock fisico '!B:B, 0))</f>
        <v>#N/A</v>
      </c>
      <c r="E405" s="173" t="e">
        <f t="shared" si="290"/>
        <v>#VALUE!</v>
      </c>
      <c r="F405" t="e">
        <f t="shared" si="250"/>
        <v>#VALUE!</v>
      </c>
      <c r="G405" t="e">
        <f t="shared" si="251"/>
        <v>#VALUE!</v>
      </c>
      <c r="H405" t="e">
        <f t="shared" si="252"/>
        <v>#VALUE!</v>
      </c>
      <c r="I405" t="e">
        <f t="shared" si="253"/>
        <v>#VALUE!</v>
      </c>
      <c r="J405" t="e">
        <f t="shared" si="254"/>
        <v>#VALUE!</v>
      </c>
      <c r="K405" t="e">
        <f t="shared" si="255"/>
        <v>#VALUE!</v>
      </c>
      <c r="L405" s="175" t="e">
        <f t="shared" si="285"/>
        <v>#VALUE!</v>
      </c>
      <c r="M405" t="e">
        <f t="shared" si="256"/>
        <v>#VALUE!</v>
      </c>
      <c r="N405" t="e">
        <f t="shared" si="257"/>
        <v>#VALUE!</v>
      </c>
      <c r="O405" t="e">
        <f t="shared" si="258"/>
        <v>#VALUE!</v>
      </c>
      <c r="P405" t="e">
        <f t="shared" si="259"/>
        <v>#VALUE!</v>
      </c>
      <c r="Q405" t="e">
        <f t="shared" si="260"/>
        <v>#VALUE!</v>
      </c>
      <c r="R405" t="e">
        <f t="shared" si="261"/>
        <v>#VALUE!</v>
      </c>
      <c r="S405" t="e">
        <f t="shared" si="262"/>
        <v>#VALUE!</v>
      </c>
      <c r="T405" s="174" t="e">
        <f t="shared" si="286"/>
        <v>#VALUE!</v>
      </c>
      <c r="U405" t="e">
        <f t="shared" si="263"/>
        <v>#VALUE!</v>
      </c>
      <c r="V405" t="e">
        <f t="shared" si="264"/>
        <v>#VALUE!</v>
      </c>
      <c r="W405" t="e">
        <f t="shared" si="265"/>
        <v>#VALUE!</v>
      </c>
      <c r="X405" t="e">
        <f t="shared" si="266"/>
        <v>#VALUE!</v>
      </c>
      <c r="Y405" t="e">
        <f t="shared" si="267"/>
        <v>#VALUE!</v>
      </c>
      <c r="Z405" t="e">
        <f t="shared" si="268"/>
        <v>#VALUE!</v>
      </c>
      <c r="AA405" t="e">
        <f t="shared" si="269"/>
        <v>#VALUE!</v>
      </c>
      <c r="AB405" s="23" t="e">
        <f t="shared" si="287"/>
        <v>#VALUE!</v>
      </c>
      <c r="AC405" t="e">
        <f t="shared" si="270"/>
        <v>#VALUE!</v>
      </c>
      <c r="AD405" t="e">
        <f t="shared" si="271"/>
        <v>#VALUE!</v>
      </c>
      <c r="AE405" t="e">
        <f t="shared" si="272"/>
        <v>#VALUE!</v>
      </c>
      <c r="AF405" t="e">
        <f t="shared" si="273"/>
        <v>#VALUE!</v>
      </c>
      <c r="AG405" t="e">
        <f t="shared" si="274"/>
        <v>#VALUE!</v>
      </c>
      <c r="AH405" t="e">
        <f t="shared" si="275"/>
        <v>#VALUE!</v>
      </c>
      <c r="AI405" t="e">
        <f t="shared" si="276"/>
        <v>#VALUE!</v>
      </c>
      <c r="AJ405" s="19" t="e">
        <f t="shared" si="288"/>
        <v>#VALUE!</v>
      </c>
      <c r="AK405" t="e">
        <f t="shared" si="277"/>
        <v>#VALUE!</v>
      </c>
      <c r="AL405" t="e">
        <f t="shared" si="278"/>
        <v>#VALUE!</v>
      </c>
      <c r="AM405" t="e">
        <f t="shared" si="279"/>
        <v>#VALUE!</v>
      </c>
      <c r="AN405" t="e">
        <f t="shared" si="280"/>
        <v>#VALUE!</v>
      </c>
      <c r="AO405" t="e">
        <f t="shared" si="281"/>
        <v>#VALUE!</v>
      </c>
      <c r="AP405" t="e">
        <f t="shared" si="282"/>
        <v>#VALUE!</v>
      </c>
      <c r="AQ405" t="e">
        <f t="shared" si="283"/>
        <v>#VALUE!</v>
      </c>
      <c r="AR405" s="123" t="e">
        <f t="shared" si="289"/>
        <v>#VALUE!</v>
      </c>
      <c r="AS405" t="e">
        <f t="shared" si="284"/>
        <v>#VALUE!</v>
      </c>
      <c r="AT405" s="181" t="e">
        <f>INDEX('stock fisico '!N:N, MATCH(B405, 'stock fisico '!B:B, 0))</f>
        <v>#N/A</v>
      </c>
      <c r="AU405" s="179" t="e">
        <f>INDEX('stock fisico '!D:D, MATCH(B405, 'stock fisico '!B:B, 0))</f>
        <v>#N/A</v>
      </c>
      <c r="AV405" s="177" t="e">
        <f>INDEX('stock fisico '!L:L, MATCH(B405, 'stock fisico '!B:B, 0))</f>
        <v>#N/A</v>
      </c>
    </row>
    <row r="406" spans="1:48" x14ac:dyDescent="0.25">
      <c r="A406" s="181" t="e">
        <f>INDEX('stock fisico '!M:M, MATCH(B406, 'stock fisico '!B:B, 0))</f>
        <v>#N/A</v>
      </c>
      <c r="C406" s="179" t="e">
        <f>INDEX('stock fisico '!C:C, MATCH(B406, 'stock fisico '!B:B, 0))</f>
        <v>#N/A</v>
      </c>
      <c r="D406" s="178" t="e">
        <f>INDEX('stock fisico '!I:I, MATCH(B406, 'stock fisico '!B:B, 0))</f>
        <v>#N/A</v>
      </c>
      <c r="E406" s="173" t="e">
        <f t="shared" si="290"/>
        <v>#VALUE!</v>
      </c>
      <c r="F406" t="e">
        <f t="shared" si="250"/>
        <v>#VALUE!</v>
      </c>
      <c r="G406" t="e">
        <f t="shared" si="251"/>
        <v>#VALUE!</v>
      </c>
      <c r="H406" t="e">
        <f t="shared" si="252"/>
        <v>#VALUE!</v>
      </c>
      <c r="I406" t="e">
        <f t="shared" si="253"/>
        <v>#VALUE!</v>
      </c>
      <c r="J406" t="e">
        <f t="shared" si="254"/>
        <v>#VALUE!</v>
      </c>
      <c r="K406" t="e">
        <f t="shared" si="255"/>
        <v>#VALUE!</v>
      </c>
      <c r="L406" s="175" t="e">
        <f t="shared" si="285"/>
        <v>#VALUE!</v>
      </c>
      <c r="M406" t="e">
        <f t="shared" si="256"/>
        <v>#VALUE!</v>
      </c>
      <c r="N406" t="e">
        <f t="shared" si="257"/>
        <v>#VALUE!</v>
      </c>
      <c r="O406" t="e">
        <f t="shared" si="258"/>
        <v>#VALUE!</v>
      </c>
      <c r="P406" t="e">
        <f t="shared" si="259"/>
        <v>#VALUE!</v>
      </c>
      <c r="Q406" t="e">
        <f t="shared" si="260"/>
        <v>#VALUE!</v>
      </c>
      <c r="R406" t="e">
        <f t="shared" si="261"/>
        <v>#VALUE!</v>
      </c>
      <c r="S406" t="e">
        <f t="shared" si="262"/>
        <v>#VALUE!</v>
      </c>
      <c r="T406" s="174" t="e">
        <f t="shared" si="286"/>
        <v>#VALUE!</v>
      </c>
      <c r="U406" t="e">
        <f t="shared" si="263"/>
        <v>#VALUE!</v>
      </c>
      <c r="V406" t="e">
        <f t="shared" si="264"/>
        <v>#VALUE!</v>
      </c>
      <c r="W406" t="e">
        <f t="shared" si="265"/>
        <v>#VALUE!</v>
      </c>
      <c r="X406" t="e">
        <f t="shared" si="266"/>
        <v>#VALUE!</v>
      </c>
      <c r="Y406" t="e">
        <f t="shared" si="267"/>
        <v>#VALUE!</v>
      </c>
      <c r="Z406" t="e">
        <f t="shared" si="268"/>
        <v>#VALUE!</v>
      </c>
      <c r="AA406" t="e">
        <f t="shared" si="269"/>
        <v>#VALUE!</v>
      </c>
      <c r="AB406" s="23" t="e">
        <f t="shared" si="287"/>
        <v>#VALUE!</v>
      </c>
      <c r="AC406" t="e">
        <f t="shared" si="270"/>
        <v>#VALUE!</v>
      </c>
      <c r="AD406" t="e">
        <f t="shared" si="271"/>
        <v>#VALUE!</v>
      </c>
      <c r="AE406" t="e">
        <f t="shared" si="272"/>
        <v>#VALUE!</v>
      </c>
      <c r="AF406" t="e">
        <f t="shared" si="273"/>
        <v>#VALUE!</v>
      </c>
      <c r="AG406" t="e">
        <f t="shared" si="274"/>
        <v>#VALUE!</v>
      </c>
      <c r="AH406" t="e">
        <f t="shared" si="275"/>
        <v>#VALUE!</v>
      </c>
      <c r="AI406" t="e">
        <f t="shared" si="276"/>
        <v>#VALUE!</v>
      </c>
      <c r="AJ406" s="19" t="e">
        <f t="shared" si="288"/>
        <v>#VALUE!</v>
      </c>
      <c r="AK406" t="e">
        <f t="shared" si="277"/>
        <v>#VALUE!</v>
      </c>
      <c r="AL406" t="e">
        <f t="shared" si="278"/>
        <v>#VALUE!</v>
      </c>
      <c r="AM406" t="e">
        <f t="shared" si="279"/>
        <v>#VALUE!</v>
      </c>
      <c r="AN406" t="e">
        <f t="shared" si="280"/>
        <v>#VALUE!</v>
      </c>
      <c r="AO406" t="e">
        <f t="shared" si="281"/>
        <v>#VALUE!</v>
      </c>
      <c r="AP406" t="e">
        <f t="shared" si="282"/>
        <v>#VALUE!</v>
      </c>
      <c r="AQ406" t="e">
        <f t="shared" si="283"/>
        <v>#VALUE!</v>
      </c>
      <c r="AR406" s="123" t="e">
        <f t="shared" si="289"/>
        <v>#VALUE!</v>
      </c>
      <c r="AS406" t="e">
        <f t="shared" si="284"/>
        <v>#VALUE!</v>
      </c>
      <c r="AT406" s="181" t="e">
        <f>INDEX('stock fisico '!N:N, MATCH(B406, 'stock fisico '!B:B, 0))</f>
        <v>#N/A</v>
      </c>
      <c r="AU406" s="179" t="e">
        <f>INDEX('stock fisico '!D:D, MATCH(B406, 'stock fisico '!B:B, 0))</f>
        <v>#N/A</v>
      </c>
      <c r="AV406" s="177" t="e">
        <f>INDEX('stock fisico '!L:L, MATCH(B406, 'stock fisico '!B:B, 0))</f>
        <v>#N/A</v>
      </c>
    </row>
    <row r="407" spans="1:48" x14ac:dyDescent="0.25">
      <c r="A407" s="181" t="e">
        <f>INDEX('stock fisico '!M:M, MATCH(B407, 'stock fisico '!B:B, 0))</f>
        <v>#N/A</v>
      </c>
      <c r="C407" s="179" t="e">
        <f>INDEX('stock fisico '!C:C, MATCH(B407, 'stock fisico '!B:B, 0))</f>
        <v>#N/A</v>
      </c>
      <c r="D407" s="178" t="e">
        <f>INDEX('stock fisico '!I:I, MATCH(B407, 'stock fisico '!B:B, 0))</f>
        <v>#N/A</v>
      </c>
      <c r="E407" s="173" t="e">
        <f t="shared" si="290"/>
        <v>#VALUE!</v>
      </c>
      <c r="F407" t="e">
        <f t="shared" si="250"/>
        <v>#VALUE!</v>
      </c>
      <c r="G407" t="e">
        <f t="shared" si="251"/>
        <v>#VALUE!</v>
      </c>
      <c r="H407" t="e">
        <f t="shared" si="252"/>
        <v>#VALUE!</v>
      </c>
      <c r="I407" t="e">
        <f t="shared" si="253"/>
        <v>#VALUE!</v>
      </c>
      <c r="J407" t="e">
        <f t="shared" si="254"/>
        <v>#VALUE!</v>
      </c>
      <c r="K407" t="e">
        <f t="shared" si="255"/>
        <v>#VALUE!</v>
      </c>
      <c r="L407" s="175" t="e">
        <f t="shared" si="285"/>
        <v>#VALUE!</v>
      </c>
      <c r="M407" t="e">
        <f t="shared" si="256"/>
        <v>#VALUE!</v>
      </c>
      <c r="N407" t="e">
        <f t="shared" si="257"/>
        <v>#VALUE!</v>
      </c>
      <c r="O407" t="e">
        <f t="shared" si="258"/>
        <v>#VALUE!</v>
      </c>
      <c r="P407" t="e">
        <f t="shared" si="259"/>
        <v>#VALUE!</v>
      </c>
      <c r="Q407" t="e">
        <f t="shared" si="260"/>
        <v>#VALUE!</v>
      </c>
      <c r="R407" t="e">
        <f t="shared" si="261"/>
        <v>#VALUE!</v>
      </c>
      <c r="S407" t="e">
        <f t="shared" si="262"/>
        <v>#VALUE!</v>
      </c>
      <c r="T407" s="174" t="e">
        <f t="shared" si="286"/>
        <v>#VALUE!</v>
      </c>
      <c r="U407" t="e">
        <f t="shared" si="263"/>
        <v>#VALUE!</v>
      </c>
      <c r="V407" t="e">
        <f t="shared" si="264"/>
        <v>#VALUE!</v>
      </c>
      <c r="W407" t="e">
        <f t="shared" si="265"/>
        <v>#VALUE!</v>
      </c>
      <c r="X407" t="e">
        <f t="shared" si="266"/>
        <v>#VALUE!</v>
      </c>
      <c r="Y407" t="e">
        <f t="shared" si="267"/>
        <v>#VALUE!</v>
      </c>
      <c r="Z407" t="e">
        <f t="shared" si="268"/>
        <v>#VALUE!</v>
      </c>
      <c r="AA407" t="e">
        <f t="shared" si="269"/>
        <v>#VALUE!</v>
      </c>
      <c r="AB407" s="23" t="e">
        <f t="shared" si="287"/>
        <v>#VALUE!</v>
      </c>
      <c r="AC407" t="e">
        <f t="shared" si="270"/>
        <v>#VALUE!</v>
      </c>
      <c r="AD407" t="e">
        <f t="shared" si="271"/>
        <v>#VALUE!</v>
      </c>
      <c r="AE407" t="e">
        <f t="shared" si="272"/>
        <v>#VALUE!</v>
      </c>
      <c r="AF407" t="e">
        <f t="shared" si="273"/>
        <v>#VALUE!</v>
      </c>
      <c r="AG407" t="e">
        <f t="shared" si="274"/>
        <v>#VALUE!</v>
      </c>
      <c r="AH407" t="e">
        <f t="shared" si="275"/>
        <v>#VALUE!</v>
      </c>
      <c r="AI407" t="e">
        <f t="shared" si="276"/>
        <v>#VALUE!</v>
      </c>
      <c r="AJ407" s="19" t="e">
        <f t="shared" si="288"/>
        <v>#VALUE!</v>
      </c>
      <c r="AK407" t="e">
        <f t="shared" si="277"/>
        <v>#VALUE!</v>
      </c>
      <c r="AL407" t="e">
        <f t="shared" si="278"/>
        <v>#VALUE!</v>
      </c>
      <c r="AM407" t="e">
        <f t="shared" si="279"/>
        <v>#VALUE!</v>
      </c>
      <c r="AN407" t="e">
        <f t="shared" si="280"/>
        <v>#VALUE!</v>
      </c>
      <c r="AO407" t="e">
        <f t="shared" si="281"/>
        <v>#VALUE!</v>
      </c>
      <c r="AP407" t="e">
        <f t="shared" si="282"/>
        <v>#VALUE!</v>
      </c>
      <c r="AQ407" t="e">
        <f t="shared" si="283"/>
        <v>#VALUE!</v>
      </c>
      <c r="AR407" s="123" t="e">
        <f t="shared" si="289"/>
        <v>#VALUE!</v>
      </c>
      <c r="AS407" t="e">
        <f t="shared" si="284"/>
        <v>#VALUE!</v>
      </c>
      <c r="AT407" s="181" t="e">
        <f>INDEX('stock fisico '!N:N, MATCH(B407, 'stock fisico '!B:B, 0))</f>
        <v>#N/A</v>
      </c>
      <c r="AU407" s="179" t="e">
        <f>INDEX('stock fisico '!D:D, MATCH(B407, 'stock fisico '!B:B, 0))</f>
        <v>#N/A</v>
      </c>
      <c r="AV407" s="177" t="e">
        <f>INDEX('stock fisico '!L:L, MATCH(B407, 'stock fisico '!B:B, 0))</f>
        <v>#N/A</v>
      </c>
    </row>
    <row r="408" spans="1:48" x14ac:dyDescent="0.25">
      <c r="A408" s="181" t="e">
        <f>INDEX('stock fisico '!M:M, MATCH(B408, 'stock fisico '!B:B, 0))</f>
        <v>#N/A</v>
      </c>
      <c r="C408" s="179" t="e">
        <f>INDEX('stock fisico '!C:C, MATCH(B408, 'stock fisico '!B:B, 0))</f>
        <v>#N/A</v>
      </c>
      <c r="D408" s="178" t="e">
        <f>INDEX('stock fisico '!I:I, MATCH(B408, 'stock fisico '!B:B, 0))</f>
        <v>#N/A</v>
      </c>
      <c r="E408" s="173" t="e">
        <f t="shared" si="290"/>
        <v>#VALUE!</v>
      </c>
      <c r="F408" t="e">
        <f t="shared" si="250"/>
        <v>#VALUE!</v>
      </c>
      <c r="G408" t="e">
        <f t="shared" si="251"/>
        <v>#VALUE!</v>
      </c>
      <c r="H408" t="e">
        <f t="shared" si="252"/>
        <v>#VALUE!</v>
      </c>
      <c r="I408" t="e">
        <f t="shared" si="253"/>
        <v>#VALUE!</v>
      </c>
      <c r="J408" t="e">
        <f t="shared" si="254"/>
        <v>#VALUE!</v>
      </c>
      <c r="K408" t="e">
        <f t="shared" si="255"/>
        <v>#VALUE!</v>
      </c>
      <c r="L408" s="175" t="e">
        <f t="shared" si="285"/>
        <v>#VALUE!</v>
      </c>
      <c r="M408" t="e">
        <f t="shared" si="256"/>
        <v>#VALUE!</v>
      </c>
      <c r="N408" t="e">
        <f t="shared" si="257"/>
        <v>#VALUE!</v>
      </c>
      <c r="O408" t="e">
        <f t="shared" si="258"/>
        <v>#VALUE!</v>
      </c>
      <c r="P408" t="e">
        <f t="shared" si="259"/>
        <v>#VALUE!</v>
      </c>
      <c r="Q408" t="e">
        <f t="shared" si="260"/>
        <v>#VALUE!</v>
      </c>
      <c r="R408" t="e">
        <f t="shared" si="261"/>
        <v>#VALUE!</v>
      </c>
      <c r="S408" t="e">
        <f t="shared" si="262"/>
        <v>#VALUE!</v>
      </c>
      <c r="T408" s="174" t="e">
        <f t="shared" si="286"/>
        <v>#VALUE!</v>
      </c>
      <c r="U408" t="e">
        <f t="shared" si="263"/>
        <v>#VALUE!</v>
      </c>
      <c r="V408" t="e">
        <f t="shared" si="264"/>
        <v>#VALUE!</v>
      </c>
      <c r="W408" t="e">
        <f t="shared" si="265"/>
        <v>#VALUE!</v>
      </c>
      <c r="X408" t="e">
        <f t="shared" si="266"/>
        <v>#VALUE!</v>
      </c>
      <c r="Y408" t="e">
        <f t="shared" si="267"/>
        <v>#VALUE!</v>
      </c>
      <c r="Z408" t="e">
        <f t="shared" si="268"/>
        <v>#VALUE!</v>
      </c>
      <c r="AA408" t="e">
        <f t="shared" si="269"/>
        <v>#VALUE!</v>
      </c>
      <c r="AB408" s="23" t="e">
        <f t="shared" si="287"/>
        <v>#VALUE!</v>
      </c>
      <c r="AC408" t="e">
        <f t="shared" si="270"/>
        <v>#VALUE!</v>
      </c>
      <c r="AD408" t="e">
        <f t="shared" si="271"/>
        <v>#VALUE!</v>
      </c>
      <c r="AE408" t="e">
        <f t="shared" si="272"/>
        <v>#VALUE!</v>
      </c>
      <c r="AF408" t="e">
        <f t="shared" si="273"/>
        <v>#VALUE!</v>
      </c>
      <c r="AG408" t="e">
        <f t="shared" si="274"/>
        <v>#VALUE!</v>
      </c>
      <c r="AH408" t="e">
        <f t="shared" si="275"/>
        <v>#VALUE!</v>
      </c>
      <c r="AI408" t="e">
        <f t="shared" si="276"/>
        <v>#VALUE!</v>
      </c>
      <c r="AJ408" s="19" t="e">
        <f t="shared" si="288"/>
        <v>#VALUE!</v>
      </c>
      <c r="AK408" t="e">
        <f t="shared" si="277"/>
        <v>#VALUE!</v>
      </c>
      <c r="AL408" t="e">
        <f t="shared" si="278"/>
        <v>#VALUE!</v>
      </c>
      <c r="AM408" t="e">
        <f t="shared" si="279"/>
        <v>#VALUE!</v>
      </c>
      <c r="AN408" t="e">
        <f t="shared" si="280"/>
        <v>#VALUE!</v>
      </c>
      <c r="AO408" t="e">
        <f t="shared" si="281"/>
        <v>#VALUE!</v>
      </c>
      <c r="AP408" t="e">
        <f t="shared" si="282"/>
        <v>#VALUE!</v>
      </c>
      <c r="AQ408" t="e">
        <f t="shared" si="283"/>
        <v>#VALUE!</v>
      </c>
      <c r="AR408" s="123" t="e">
        <f t="shared" si="289"/>
        <v>#VALUE!</v>
      </c>
      <c r="AS408" t="e">
        <f t="shared" si="284"/>
        <v>#VALUE!</v>
      </c>
      <c r="AT408" s="181" t="e">
        <f>INDEX('stock fisico '!N:N, MATCH(B408, 'stock fisico '!B:B, 0))</f>
        <v>#N/A</v>
      </c>
      <c r="AU408" s="179" t="e">
        <f>INDEX('stock fisico '!D:D, MATCH(B408, 'stock fisico '!B:B, 0))</f>
        <v>#N/A</v>
      </c>
      <c r="AV408" s="177" t="e">
        <f>INDEX('stock fisico '!L:L, MATCH(B408, 'stock fisico '!B:B, 0))</f>
        <v>#N/A</v>
      </c>
    </row>
    <row r="409" spans="1:48" x14ac:dyDescent="0.25">
      <c r="A409" s="181" t="e">
        <f>INDEX('stock fisico '!M:M, MATCH(B409, 'stock fisico '!B:B, 0))</f>
        <v>#N/A</v>
      </c>
      <c r="C409" s="179" t="e">
        <f>INDEX('stock fisico '!C:C, MATCH(B409, 'stock fisico '!B:B, 0))</f>
        <v>#N/A</v>
      </c>
      <c r="D409" s="178" t="e">
        <f>INDEX('stock fisico '!I:I, MATCH(B409, 'stock fisico '!B:B, 0))</f>
        <v>#N/A</v>
      </c>
      <c r="E409" s="173" t="e">
        <f t="shared" si="290"/>
        <v>#VALUE!</v>
      </c>
      <c r="F409" t="e">
        <f t="shared" si="250"/>
        <v>#VALUE!</v>
      </c>
      <c r="G409" t="e">
        <f t="shared" si="251"/>
        <v>#VALUE!</v>
      </c>
      <c r="H409" t="e">
        <f t="shared" si="252"/>
        <v>#VALUE!</v>
      </c>
      <c r="I409" t="e">
        <f t="shared" si="253"/>
        <v>#VALUE!</v>
      </c>
      <c r="J409" t="e">
        <f t="shared" si="254"/>
        <v>#VALUE!</v>
      </c>
      <c r="K409" t="e">
        <f t="shared" si="255"/>
        <v>#VALUE!</v>
      </c>
      <c r="L409" s="175" t="e">
        <f t="shared" si="285"/>
        <v>#VALUE!</v>
      </c>
      <c r="M409" t="e">
        <f t="shared" si="256"/>
        <v>#VALUE!</v>
      </c>
      <c r="N409" t="e">
        <f t="shared" si="257"/>
        <v>#VALUE!</v>
      </c>
      <c r="O409" t="e">
        <f t="shared" si="258"/>
        <v>#VALUE!</v>
      </c>
      <c r="P409" t="e">
        <f t="shared" si="259"/>
        <v>#VALUE!</v>
      </c>
      <c r="Q409" t="e">
        <f t="shared" si="260"/>
        <v>#VALUE!</v>
      </c>
      <c r="R409" t="e">
        <f t="shared" si="261"/>
        <v>#VALUE!</v>
      </c>
      <c r="S409" t="e">
        <f t="shared" si="262"/>
        <v>#VALUE!</v>
      </c>
      <c r="T409" s="174" t="e">
        <f t="shared" si="286"/>
        <v>#VALUE!</v>
      </c>
      <c r="U409" t="e">
        <f t="shared" si="263"/>
        <v>#VALUE!</v>
      </c>
      <c r="V409" t="e">
        <f t="shared" si="264"/>
        <v>#VALUE!</v>
      </c>
      <c r="W409" t="e">
        <f t="shared" si="265"/>
        <v>#VALUE!</v>
      </c>
      <c r="X409" t="e">
        <f t="shared" si="266"/>
        <v>#VALUE!</v>
      </c>
      <c r="Y409" t="e">
        <f t="shared" si="267"/>
        <v>#VALUE!</v>
      </c>
      <c r="Z409" t="e">
        <f t="shared" si="268"/>
        <v>#VALUE!</v>
      </c>
      <c r="AA409" t="e">
        <f t="shared" si="269"/>
        <v>#VALUE!</v>
      </c>
      <c r="AB409" s="23" t="e">
        <f t="shared" si="287"/>
        <v>#VALUE!</v>
      </c>
      <c r="AC409" t="e">
        <f t="shared" si="270"/>
        <v>#VALUE!</v>
      </c>
      <c r="AD409" t="e">
        <f t="shared" si="271"/>
        <v>#VALUE!</v>
      </c>
      <c r="AE409" t="e">
        <f t="shared" si="272"/>
        <v>#VALUE!</v>
      </c>
      <c r="AF409" t="e">
        <f t="shared" si="273"/>
        <v>#VALUE!</v>
      </c>
      <c r="AG409" t="e">
        <f t="shared" si="274"/>
        <v>#VALUE!</v>
      </c>
      <c r="AH409" t="e">
        <f t="shared" si="275"/>
        <v>#VALUE!</v>
      </c>
      <c r="AI409" t="e">
        <f t="shared" si="276"/>
        <v>#VALUE!</v>
      </c>
      <c r="AJ409" s="19" t="e">
        <f t="shared" si="288"/>
        <v>#VALUE!</v>
      </c>
      <c r="AK409" t="e">
        <f t="shared" si="277"/>
        <v>#VALUE!</v>
      </c>
      <c r="AL409" t="e">
        <f t="shared" si="278"/>
        <v>#VALUE!</v>
      </c>
      <c r="AM409" t="e">
        <f t="shared" si="279"/>
        <v>#VALUE!</v>
      </c>
      <c r="AN409" t="e">
        <f t="shared" si="280"/>
        <v>#VALUE!</v>
      </c>
      <c r="AO409" t="e">
        <f t="shared" si="281"/>
        <v>#VALUE!</v>
      </c>
      <c r="AP409" t="e">
        <f t="shared" si="282"/>
        <v>#VALUE!</v>
      </c>
      <c r="AQ409" t="e">
        <f t="shared" si="283"/>
        <v>#VALUE!</v>
      </c>
      <c r="AR409" s="123" t="e">
        <f t="shared" si="289"/>
        <v>#VALUE!</v>
      </c>
      <c r="AS409" t="e">
        <f t="shared" si="284"/>
        <v>#VALUE!</v>
      </c>
      <c r="AT409" s="181" t="e">
        <f>INDEX('stock fisico '!N:N, MATCH(B409, 'stock fisico '!B:B, 0))</f>
        <v>#N/A</v>
      </c>
      <c r="AU409" s="179" t="e">
        <f>INDEX('stock fisico '!D:D, MATCH(B409, 'stock fisico '!B:B, 0))</f>
        <v>#N/A</v>
      </c>
      <c r="AV409" s="177" t="e">
        <f>INDEX('stock fisico '!L:L, MATCH(B409, 'stock fisico '!B:B, 0))</f>
        <v>#N/A</v>
      </c>
    </row>
    <row r="410" spans="1:48" x14ac:dyDescent="0.25">
      <c r="A410" s="181" t="e">
        <f>INDEX('stock fisico '!M:M, MATCH(B410, 'stock fisico '!B:B, 0))</f>
        <v>#N/A</v>
      </c>
      <c r="C410" s="179" t="e">
        <f>INDEX('stock fisico '!C:C, MATCH(B410, 'stock fisico '!B:B, 0))</f>
        <v>#N/A</v>
      </c>
      <c r="D410" s="178" t="e">
        <f>INDEX('stock fisico '!I:I, MATCH(B410, 'stock fisico '!B:B, 0))</f>
        <v>#N/A</v>
      </c>
      <c r="E410" s="173" t="e">
        <f t="shared" si="290"/>
        <v>#VALUE!</v>
      </c>
      <c r="F410" t="e">
        <f t="shared" si="250"/>
        <v>#VALUE!</v>
      </c>
      <c r="G410" t="e">
        <f t="shared" si="251"/>
        <v>#VALUE!</v>
      </c>
      <c r="H410" t="e">
        <f t="shared" si="252"/>
        <v>#VALUE!</v>
      </c>
      <c r="I410" t="e">
        <f t="shared" si="253"/>
        <v>#VALUE!</v>
      </c>
      <c r="J410" t="e">
        <f t="shared" si="254"/>
        <v>#VALUE!</v>
      </c>
      <c r="K410" t="e">
        <f t="shared" si="255"/>
        <v>#VALUE!</v>
      </c>
      <c r="L410" s="175" t="e">
        <f t="shared" si="285"/>
        <v>#VALUE!</v>
      </c>
      <c r="M410" t="e">
        <f t="shared" si="256"/>
        <v>#VALUE!</v>
      </c>
      <c r="N410" t="e">
        <f t="shared" si="257"/>
        <v>#VALUE!</v>
      </c>
      <c r="O410" t="e">
        <f t="shared" si="258"/>
        <v>#VALUE!</v>
      </c>
      <c r="P410" t="e">
        <f t="shared" si="259"/>
        <v>#VALUE!</v>
      </c>
      <c r="Q410" t="e">
        <f t="shared" si="260"/>
        <v>#VALUE!</v>
      </c>
      <c r="R410" t="e">
        <f t="shared" si="261"/>
        <v>#VALUE!</v>
      </c>
      <c r="S410" t="e">
        <f t="shared" si="262"/>
        <v>#VALUE!</v>
      </c>
      <c r="T410" s="174" t="e">
        <f t="shared" si="286"/>
        <v>#VALUE!</v>
      </c>
      <c r="U410" t="e">
        <f t="shared" si="263"/>
        <v>#VALUE!</v>
      </c>
      <c r="V410" t="e">
        <f t="shared" si="264"/>
        <v>#VALUE!</v>
      </c>
      <c r="W410" t="e">
        <f t="shared" si="265"/>
        <v>#VALUE!</v>
      </c>
      <c r="X410" t="e">
        <f t="shared" si="266"/>
        <v>#VALUE!</v>
      </c>
      <c r="Y410" t="e">
        <f t="shared" si="267"/>
        <v>#VALUE!</v>
      </c>
      <c r="Z410" t="e">
        <f t="shared" si="268"/>
        <v>#VALUE!</v>
      </c>
      <c r="AA410" t="e">
        <f t="shared" si="269"/>
        <v>#VALUE!</v>
      </c>
      <c r="AB410" s="23" t="e">
        <f t="shared" si="287"/>
        <v>#VALUE!</v>
      </c>
      <c r="AC410" t="e">
        <f t="shared" si="270"/>
        <v>#VALUE!</v>
      </c>
      <c r="AD410" t="e">
        <f t="shared" si="271"/>
        <v>#VALUE!</v>
      </c>
      <c r="AE410" t="e">
        <f t="shared" si="272"/>
        <v>#VALUE!</v>
      </c>
      <c r="AF410" t="e">
        <f t="shared" si="273"/>
        <v>#VALUE!</v>
      </c>
      <c r="AG410" t="e">
        <f t="shared" si="274"/>
        <v>#VALUE!</v>
      </c>
      <c r="AH410" t="e">
        <f t="shared" si="275"/>
        <v>#VALUE!</v>
      </c>
      <c r="AI410" t="e">
        <f t="shared" si="276"/>
        <v>#VALUE!</v>
      </c>
      <c r="AJ410" s="19" t="e">
        <f t="shared" si="288"/>
        <v>#VALUE!</v>
      </c>
      <c r="AK410" t="e">
        <f t="shared" si="277"/>
        <v>#VALUE!</v>
      </c>
      <c r="AL410" t="e">
        <f t="shared" si="278"/>
        <v>#VALUE!</v>
      </c>
      <c r="AM410" t="e">
        <f t="shared" si="279"/>
        <v>#VALUE!</v>
      </c>
      <c r="AN410" t="e">
        <f t="shared" si="280"/>
        <v>#VALUE!</v>
      </c>
      <c r="AO410" t="e">
        <f t="shared" si="281"/>
        <v>#VALUE!</v>
      </c>
      <c r="AP410" t="e">
        <f t="shared" si="282"/>
        <v>#VALUE!</v>
      </c>
      <c r="AQ410" t="e">
        <f t="shared" si="283"/>
        <v>#VALUE!</v>
      </c>
      <c r="AR410" s="123" t="e">
        <f t="shared" si="289"/>
        <v>#VALUE!</v>
      </c>
      <c r="AS410" t="e">
        <f t="shared" si="284"/>
        <v>#VALUE!</v>
      </c>
      <c r="AT410" s="181" t="e">
        <f>INDEX('stock fisico '!N:N, MATCH(B410, 'stock fisico '!B:B, 0))</f>
        <v>#N/A</v>
      </c>
      <c r="AU410" s="179" t="e">
        <f>INDEX('stock fisico '!D:D, MATCH(B410, 'stock fisico '!B:B, 0))</f>
        <v>#N/A</v>
      </c>
      <c r="AV410" s="177" t="e">
        <f>INDEX('stock fisico '!L:L, MATCH(B410, 'stock fisico '!B:B, 0))</f>
        <v>#N/A</v>
      </c>
    </row>
    <row r="411" spans="1:48" x14ac:dyDescent="0.25">
      <c r="A411" s="181" t="e">
        <f>INDEX('stock fisico '!M:M, MATCH(B411, 'stock fisico '!B:B, 0))</f>
        <v>#N/A</v>
      </c>
      <c r="C411" s="179" t="e">
        <f>INDEX('stock fisico '!C:C, MATCH(B411, 'stock fisico '!B:B, 0))</f>
        <v>#N/A</v>
      </c>
      <c r="D411" s="178" t="e">
        <f>INDEX('stock fisico '!I:I, MATCH(B411, 'stock fisico '!B:B, 0))</f>
        <v>#N/A</v>
      </c>
      <c r="E411" s="173" t="e">
        <f t="shared" si="290"/>
        <v>#VALUE!</v>
      </c>
      <c r="F411" t="e">
        <f t="shared" si="250"/>
        <v>#VALUE!</v>
      </c>
      <c r="G411" t="e">
        <f t="shared" si="251"/>
        <v>#VALUE!</v>
      </c>
      <c r="H411" t="e">
        <f t="shared" si="252"/>
        <v>#VALUE!</v>
      </c>
      <c r="I411" t="e">
        <f t="shared" si="253"/>
        <v>#VALUE!</v>
      </c>
      <c r="J411" t="e">
        <f t="shared" si="254"/>
        <v>#VALUE!</v>
      </c>
      <c r="K411" t="e">
        <f t="shared" si="255"/>
        <v>#VALUE!</v>
      </c>
      <c r="L411" s="175" t="e">
        <f t="shared" si="285"/>
        <v>#VALUE!</v>
      </c>
      <c r="M411" t="e">
        <f t="shared" si="256"/>
        <v>#VALUE!</v>
      </c>
      <c r="N411" t="e">
        <f t="shared" si="257"/>
        <v>#VALUE!</v>
      </c>
      <c r="O411" t="e">
        <f t="shared" si="258"/>
        <v>#VALUE!</v>
      </c>
      <c r="P411" t="e">
        <f t="shared" si="259"/>
        <v>#VALUE!</v>
      </c>
      <c r="Q411" t="e">
        <f t="shared" si="260"/>
        <v>#VALUE!</v>
      </c>
      <c r="R411" t="e">
        <f t="shared" si="261"/>
        <v>#VALUE!</v>
      </c>
      <c r="S411" t="e">
        <f t="shared" si="262"/>
        <v>#VALUE!</v>
      </c>
      <c r="T411" s="174" t="e">
        <f t="shared" si="286"/>
        <v>#VALUE!</v>
      </c>
      <c r="U411" t="e">
        <f t="shared" si="263"/>
        <v>#VALUE!</v>
      </c>
      <c r="V411" t="e">
        <f t="shared" si="264"/>
        <v>#VALUE!</v>
      </c>
      <c r="W411" t="e">
        <f t="shared" si="265"/>
        <v>#VALUE!</v>
      </c>
      <c r="X411" t="e">
        <f t="shared" si="266"/>
        <v>#VALUE!</v>
      </c>
      <c r="Y411" t="e">
        <f t="shared" si="267"/>
        <v>#VALUE!</v>
      </c>
      <c r="Z411" t="e">
        <f t="shared" si="268"/>
        <v>#VALUE!</v>
      </c>
      <c r="AA411" t="e">
        <f t="shared" si="269"/>
        <v>#VALUE!</v>
      </c>
      <c r="AB411" s="23" t="e">
        <f t="shared" si="287"/>
        <v>#VALUE!</v>
      </c>
      <c r="AC411" t="e">
        <f t="shared" si="270"/>
        <v>#VALUE!</v>
      </c>
      <c r="AD411" t="e">
        <f t="shared" si="271"/>
        <v>#VALUE!</v>
      </c>
      <c r="AE411" t="e">
        <f t="shared" si="272"/>
        <v>#VALUE!</v>
      </c>
      <c r="AF411" t="e">
        <f t="shared" si="273"/>
        <v>#VALUE!</v>
      </c>
      <c r="AG411" t="e">
        <f t="shared" si="274"/>
        <v>#VALUE!</v>
      </c>
      <c r="AH411" t="e">
        <f t="shared" si="275"/>
        <v>#VALUE!</v>
      </c>
      <c r="AI411" t="e">
        <f t="shared" si="276"/>
        <v>#VALUE!</v>
      </c>
      <c r="AJ411" s="19" t="e">
        <f t="shared" si="288"/>
        <v>#VALUE!</v>
      </c>
      <c r="AK411" t="e">
        <f t="shared" si="277"/>
        <v>#VALUE!</v>
      </c>
      <c r="AL411" t="e">
        <f t="shared" si="278"/>
        <v>#VALUE!</v>
      </c>
      <c r="AM411" t="e">
        <f t="shared" si="279"/>
        <v>#VALUE!</v>
      </c>
      <c r="AN411" t="e">
        <f t="shared" si="280"/>
        <v>#VALUE!</v>
      </c>
      <c r="AO411" t="e">
        <f t="shared" si="281"/>
        <v>#VALUE!</v>
      </c>
      <c r="AP411" t="e">
        <f t="shared" si="282"/>
        <v>#VALUE!</v>
      </c>
      <c r="AQ411" t="e">
        <f t="shared" si="283"/>
        <v>#VALUE!</v>
      </c>
      <c r="AR411" s="123" t="e">
        <f t="shared" si="289"/>
        <v>#VALUE!</v>
      </c>
      <c r="AS411" t="e">
        <f t="shared" si="284"/>
        <v>#VALUE!</v>
      </c>
      <c r="AT411" s="181" t="e">
        <f>INDEX('stock fisico '!N:N, MATCH(B411, 'stock fisico '!B:B, 0))</f>
        <v>#N/A</v>
      </c>
      <c r="AU411" s="179" t="e">
        <f>INDEX('stock fisico '!D:D, MATCH(B411, 'stock fisico '!B:B, 0))</f>
        <v>#N/A</v>
      </c>
      <c r="AV411" s="177" t="e">
        <f>INDEX('stock fisico '!L:L, MATCH(B411, 'stock fisico '!B:B, 0))</f>
        <v>#N/A</v>
      </c>
    </row>
    <row r="412" spans="1:48" x14ac:dyDescent="0.25">
      <c r="A412" s="181" t="e">
        <f>INDEX('stock fisico '!M:M, MATCH(B412, 'stock fisico '!B:B, 0))</f>
        <v>#N/A</v>
      </c>
      <c r="C412" s="179" t="e">
        <f>INDEX('stock fisico '!C:C, MATCH(B412, 'stock fisico '!B:B, 0))</f>
        <v>#N/A</v>
      </c>
      <c r="D412" s="178" t="e">
        <f>INDEX('stock fisico '!I:I, MATCH(B412, 'stock fisico '!B:B, 0))</f>
        <v>#N/A</v>
      </c>
      <c r="E412" s="173" t="e">
        <f t="shared" si="290"/>
        <v>#VALUE!</v>
      </c>
      <c r="F412" t="e">
        <f t="shared" si="250"/>
        <v>#VALUE!</v>
      </c>
      <c r="G412" t="e">
        <f t="shared" si="251"/>
        <v>#VALUE!</v>
      </c>
      <c r="H412" t="e">
        <f t="shared" si="252"/>
        <v>#VALUE!</v>
      </c>
      <c r="I412" t="e">
        <f t="shared" si="253"/>
        <v>#VALUE!</v>
      </c>
      <c r="J412" t="e">
        <f t="shared" si="254"/>
        <v>#VALUE!</v>
      </c>
      <c r="K412" t="e">
        <f t="shared" si="255"/>
        <v>#VALUE!</v>
      </c>
      <c r="L412" s="175" t="e">
        <f t="shared" si="285"/>
        <v>#VALUE!</v>
      </c>
      <c r="M412" t="e">
        <f t="shared" si="256"/>
        <v>#VALUE!</v>
      </c>
      <c r="N412" t="e">
        <f t="shared" si="257"/>
        <v>#VALUE!</v>
      </c>
      <c r="O412" t="e">
        <f t="shared" si="258"/>
        <v>#VALUE!</v>
      </c>
      <c r="P412" t="e">
        <f t="shared" si="259"/>
        <v>#VALUE!</v>
      </c>
      <c r="Q412" t="e">
        <f t="shared" si="260"/>
        <v>#VALUE!</v>
      </c>
      <c r="R412" t="e">
        <f t="shared" si="261"/>
        <v>#VALUE!</v>
      </c>
      <c r="S412" t="e">
        <f t="shared" si="262"/>
        <v>#VALUE!</v>
      </c>
      <c r="T412" s="174" t="e">
        <f t="shared" si="286"/>
        <v>#VALUE!</v>
      </c>
      <c r="U412" t="e">
        <f t="shared" si="263"/>
        <v>#VALUE!</v>
      </c>
      <c r="V412" t="e">
        <f t="shared" si="264"/>
        <v>#VALUE!</v>
      </c>
      <c r="W412" t="e">
        <f t="shared" si="265"/>
        <v>#VALUE!</v>
      </c>
      <c r="X412" t="e">
        <f t="shared" si="266"/>
        <v>#VALUE!</v>
      </c>
      <c r="Y412" t="e">
        <f t="shared" si="267"/>
        <v>#VALUE!</v>
      </c>
      <c r="Z412" t="e">
        <f t="shared" si="268"/>
        <v>#VALUE!</v>
      </c>
      <c r="AA412" t="e">
        <f t="shared" si="269"/>
        <v>#VALUE!</v>
      </c>
      <c r="AB412" s="23" t="e">
        <f t="shared" si="287"/>
        <v>#VALUE!</v>
      </c>
      <c r="AC412" t="e">
        <f t="shared" si="270"/>
        <v>#VALUE!</v>
      </c>
      <c r="AD412" t="e">
        <f t="shared" si="271"/>
        <v>#VALUE!</v>
      </c>
      <c r="AE412" t="e">
        <f t="shared" si="272"/>
        <v>#VALUE!</v>
      </c>
      <c r="AF412" t="e">
        <f t="shared" si="273"/>
        <v>#VALUE!</v>
      </c>
      <c r="AG412" t="e">
        <f t="shared" si="274"/>
        <v>#VALUE!</v>
      </c>
      <c r="AH412" t="e">
        <f t="shared" si="275"/>
        <v>#VALUE!</v>
      </c>
      <c r="AI412" t="e">
        <f t="shared" si="276"/>
        <v>#VALUE!</v>
      </c>
      <c r="AJ412" s="19" t="e">
        <f t="shared" si="288"/>
        <v>#VALUE!</v>
      </c>
      <c r="AK412" t="e">
        <f t="shared" si="277"/>
        <v>#VALUE!</v>
      </c>
      <c r="AL412" t="e">
        <f t="shared" si="278"/>
        <v>#VALUE!</v>
      </c>
      <c r="AM412" t="e">
        <f t="shared" si="279"/>
        <v>#VALUE!</v>
      </c>
      <c r="AN412" t="e">
        <f t="shared" si="280"/>
        <v>#VALUE!</v>
      </c>
      <c r="AO412" t="e">
        <f t="shared" si="281"/>
        <v>#VALUE!</v>
      </c>
      <c r="AP412" t="e">
        <f t="shared" si="282"/>
        <v>#VALUE!</v>
      </c>
      <c r="AQ412" t="e">
        <f t="shared" si="283"/>
        <v>#VALUE!</v>
      </c>
      <c r="AR412" s="123" t="e">
        <f t="shared" si="289"/>
        <v>#VALUE!</v>
      </c>
      <c r="AS412" t="e">
        <f t="shared" si="284"/>
        <v>#VALUE!</v>
      </c>
      <c r="AT412" s="181" t="e">
        <f>INDEX('stock fisico '!N:N, MATCH(B412, 'stock fisico '!B:B, 0))</f>
        <v>#N/A</v>
      </c>
      <c r="AU412" s="179" t="e">
        <f>INDEX('stock fisico '!D:D, MATCH(B412, 'stock fisico '!B:B, 0))</f>
        <v>#N/A</v>
      </c>
      <c r="AV412" s="177" t="e">
        <f>INDEX('stock fisico '!L:L, MATCH(B412, 'stock fisico '!B:B, 0))</f>
        <v>#N/A</v>
      </c>
    </row>
    <row r="413" spans="1:48" x14ac:dyDescent="0.25">
      <c r="A413" s="181" t="e">
        <f>INDEX('stock fisico '!M:M, MATCH(B413, 'stock fisico '!B:B, 0))</f>
        <v>#N/A</v>
      </c>
      <c r="C413" s="179" t="e">
        <f>INDEX('stock fisico '!C:C, MATCH(B413, 'stock fisico '!B:B, 0))</f>
        <v>#N/A</v>
      </c>
      <c r="D413" s="178" t="e">
        <f>INDEX('stock fisico '!I:I, MATCH(B413, 'stock fisico '!B:B, 0))</f>
        <v>#N/A</v>
      </c>
      <c r="E413" s="173" t="e">
        <f t="shared" si="290"/>
        <v>#VALUE!</v>
      </c>
      <c r="F413" t="e">
        <f t="shared" si="250"/>
        <v>#VALUE!</v>
      </c>
      <c r="G413" t="e">
        <f t="shared" si="251"/>
        <v>#VALUE!</v>
      </c>
      <c r="H413" t="e">
        <f t="shared" si="252"/>
        <v>#VALUE!</v>
      </c>
      <c r="I413" t="e">
        <f t="shared" si="253"/>
        <v>#VALUE!</v>
      </c>
      <c r="J413" t="e">
        <f t="shared" si="254"/>
        <v>#VALUE!</v>
      </c>
      <c r="K413" t="e">
        <f t="shared" si="255"/>
        <v>#VALUE!</v>
      </c>
      <c r="L413" s="175" t="e">
        <f t="shared" si="285"/>
        <v>#VALUE!</v>
      </c>
      <c r="M413" t="e">
        <f t="shared" si="256"/>
        <v>#VALUE!</v>
      </c>
      <c r="N413" t="e">
        <f t="shared" si="257"/>
        <v>#VALUE!</v>
      </c>
      <c r="O413" t="e">
        <f t="shared" si="258"/>
        <v>#VALUE!</v>
      </c>
      <c r="P413" t="e">
        <f t="shared" si="259"/>
        <v>#VALUE!</v>
      </c>
      <c r="Q413" t="e">
        <f t="shared" si="260"/>
        <v>#VALUE!</v>
      </c>
      <c r="R413" t="e">
        <f t="shared" si="261"/>
        <v>#VALUE!</v>
      </c>
      <c r="S413" t="e">
        <f t="shared" si="262"/>
        <v>#VALUE!</v>
      </c>
      <c r="T413" s="174" t="e">
        <f t="shared" si="286"/>
        <v>#VALUE!</v>
      </c>
      <c r="U413" t="e">
        <f t="shared" si="263"/>
        <v>#VALUE!</v>
      </c>
      <c r="V413" t="e">
        <f t="shared" si="264"/>
        <v>#VALUE!</v>
      </c>
      <c r="W413" t="e">
        <f t="shared" si="265"/>
        <v>#VALUE!</v>
      </c>
      <c r="X413" t="e">
        <f t="shared" si="266"/>
        <v>#VALUE!</v>
      </c>
      <c r="Y413" t="e">
        <f t="shared" si="267"/>
        <v>#VALUE!</v>
      </c>
      <c r="Z413" t="e">
        <f t="shared" si="268"/>
        <v>#VALUE!</v>
      </c>
      <c r="AA413" t="e">
        <f t="shared" si="269"/>
        <v>#VALUE!</v>
      </c>
      <c r="AB413" s="23" t="e">
        <f t="shared" si="287"/>
        <v>#VALUE!</v>
      </c>
      <c r="AC413" t="e">
        <f t="shared" si="270"/>
        <v>#VALUE!</v>
      </c>
      <c r="AD413" t="e">
        <f t="shared" si="271"/>
        <v>#VALUE!</v>
      </c>
      <c r="AE413" t="e">
        <f t="shared" si="272"/>
        <v>#VALUE!</v>
      </c>
      <c r="AF413" t="e">
        <f t="shared" si="273"/>
        <v>#VALUE!</v>
      </c>
      <c r="AG413" t="e">
        <f t="shared" si="274"/>
        <v>#VALUE!</v>
      </c>
      <c r="AH413" t="e">
        <f t="shared" si="275"/>
        <v>#VALUE!</v>
      </c>
      <c r="AI413" t="e">
        <f t="shared" si="276"/>
        <v>#VALUE!</v>
      </c>
      <c r="AJ413" s="19" t="e">
        <f t="shared" si="288"/>
        <v>#VALUE!</v>
      </c>
      <c r="AK413" t="e">
        <f t="shared" si="277"/>
        <v>#VALUE!</v>
      </c>
      <c r="AL413" t="e">
        <f t="shared" si="278"/>
        <v>#VALUE!</v>
      </c>
      <c r="AM413" t="e">
        <f t="shared" si="279"/>
        <v>#VALUE!</v>
      </c>
      <c r="AN413" t="e">
        <f t="shared" si="280"/>
        <v>#VALUE!</v>
      </c>
      <c r="AO413" t="e">
        <f t="shared" si="281"/>
        <v>#VALUE!</v>
      </c>
      <c r="AP413" t="e">
        <f t="shared" si="282"/>
        <v>#VALUE!</v>
      </c>
      <c r="AQ413" t="e">
        <f t="shared" si="283"/>
        <v>#VALUE!</v>
      </c>
      <c r="AR413" s="123" t="e">
        <f t="shared" si="289"/>
        <v>#VALUE!</v>
      </c>
      <c r="AS413" t="e">
        <f t="shared" si="284"/>
        <v>#VALUE!</v>
      </c>
      <c r="AT413" s="181" t="e">
        <f>INDEX('stock fisico '!N:N, MATCH(B413, 'stock fisico '!B:B, 0))</f>
        <v>#N/A</v>
      </c>
      <c r="AU413" s="179" t="e">
        <f>INDEX('stock fisico '!D:D, MATCH(B413, 'stock fisico '!B:B, 0))</f>
        <v>#N/A</v>
      </c>
      <c r="AV413" s="177" t="e">
        <f>INDEX('stock fisico '!L:L, MATCH(B413, 'stock fisico '!B:B, 0))</f>
        <v>#N/A</v>
      </c>
    </row>
    <row r="414" spans="1:48" x14ac:dyDescent="0.25">
      <c r="A414" s="181" t="e">
        <f>INDEX('stock fisico '!M:M, MATCH(B414, 'stock fisico '!B:B, 0))</f>
        <v>#N/A</v>
      </c>
      <c r="C414" s="179" t="e">
        <f>INDEX('stock fisico '!C:C, MATCH(B414, 'stock fisico '!B:B, 0))</f>
        <v>#N/A</v>
      </c>
      <c r="D414" s="178" t="e">
        <f>INDEX('stock fisico '!I:I, MATCH(B414, 'stock fisico '!B:B, 0))</f>
        <v>#N/A</v>
      </c>
      <c r="E414" s="173" t="e">
        <f t="shared" si="290"/>
        <v>#VALUE!</v>
      </c>
      <c r="F414" t="e">
        <f t="shared" si="250"/>
        <v>#VALUE!</v>
      </c>
      <c r="G414" t="e">
        <f t="shared" si="251"/>
        <v>#VALUE!</v>
      </c>
      <c r="H414" t="e">
        <f t="shared" si="252"/>
        <v>#VALUE!</v>
      </c>
      <c r="I414" t="e">
        <f t="shared" si="253"/>
        <v>#VALUE!</v>
      </c>
      <c r="J414" t="e">
        <f t="shared" si="254"/>
        <v>#VALUE!</v>
      </c>
      <c r="K414" t="e">
        <f t="shared" si="255"/>
        <v>#VALUE!</v>
      </c>
      <c r="L414" s="175" t="e">
        <f t="shared" si="285"/>
        <v>#VALUE!</v>
      </c>
      <c r="M414" t="e">
        <f t="shared" si="256"/>
        <v>#VALUE!</v>
      </c>
      <c r="N414" t="e">
        <f t="shared" si="257"/>
        <v>#VALUE!</v>
      </c>
      <c r="O414" t="e">
        <f t="shared" si="258"/>
        <v>#VALUE!</v>
      </c>
      <c r="P414" t="e">
        <f t="shared" si="259"/>
        <v>#VALUE!</v>
      </c>
      <c r="Q414" t="e">
        <f t="shared" si="260"/>
        <v>#VALUE!</v>
      </c>
      <c r="R414" t="e">
        <f t="shared" si="261"/>
        <v>#VALUE!</v>
      </c>
      <c r="S414" t="e">
        <f t="shared" si="262"/>
        <v>#VALUE!</v>
      </c>
      <c r="T414" s="174" t="e">
        <f t="shared" si="286"/>
        <v>#VALUE!</v>
      </c>
      <c r="U414" t="e">
        <f t="shared" si="263"/>
        <v>#VALUE!</v>
      </c>
      <c r="V414" t="e">
        <f t="shared" si="264"/>
        <v>#VALUE!</v>
      </c>
      <c r="W414" t="e">
        <f t="shared" si="265"/>
        <v>#VALUE!</v>
      </c>
      <c r="X414" t="e">
        <f t="shared" si="266"/>
        <v>#VALUE!</v>
      </c>
      <c r="Y414" t="e">
        <f t="shared" si="267"/>
        <v>#VALUE!</v>
      </c>
      <c r="Z414" t="e">
        <f t="shared" si="268"/>
        <v>#VALUE!</v>
      </c>
      <c r="AA414" t="e">
        <f t="shared" si="269"/>
        <v>#VALUE!</v>
      </c>
      <c r="AB414" s="23" t="e">
        <f t="shared" si="287"/>
        <v>#VALUE!</v>
      </c>
      <c r="AC414" t="e">
        <f t="shared" si="270"/>
        <v>#VALUE!</v>
      </c>
      <c r="AD414" t="e">
        <f t="shared" si="271"/>
        <v>#VALUE!</v>
      </c>
      <c r="AE414" t="e">
        <f t="shared" si="272"/>
        <v>#VALUE!</v>
      </c>
      <c r="AF414" t="e">
        <f t="shared" si="273"/>
        <v>#VALUE!</v>
      </c>
      <c r="AG414" t="e">
        <f t="shared" si="274"/>
        <v>#VALUE!</v>
      </c>
      <c r="AH414" t="e">
        <f t="shared" si="275"/>
        <v>#VALUE!</v>
      </c>
      <c r="AI414" t="e">
        <f t="shared" si="276"/>
        <v>#VALUE!</v>
      </c>
      <c r="AJ414" s="19" t="e">
        <f t="shared" si="288"/>
        <v>#VALUE!</v>
      </c>
      <c r="AK414" t="e">
        <f t="shared" si="277"/>
        <v>#VALUE!</v>
      </c>
      <c r="AL414" t="e">
        <f t="shared" si="278"/>
        <v>#VALUE!</v>
      </c>
      <c r="AM414" t="e">
        <f t="shared" si="279"/>
        <v>#VALUE!</v>
      </c>
      <c r="AN414" t="e">
        <f t="shared" si="280"/>
        <v>#VALUE!</v>
      </c>
      <c r="AO414" t="e">
        <f t="shared" si="281"/>
        <v>#VALUE!</v>
      </c>
      <c r="AP414" t="e">
        <f t="shared" si="282"/>
        <v>#VALUE!</v>
      </c>
      <c r="AQ414" t="e">
        <f t="shared" si="283"/>
        <v>#VALUE!</v>
      </c>
      <c r="AR414" s="123" t="e">
        <f t="shared" si="289"/>
        <v>#VALUE!</v>
      </c>
      <c r="AS414" t="e">
        <f t="shared" si="284"/>
        <v>#VALUE!</v>
      </c>
      <c r="AT414" s="181" t="e">
        <f>INDEX('stock fisico '!N:N, MATCH(B414, 'stock fisico '!B:B, 0))</f>
        <v>#N/A</v>
      </c>
      <c r="AU414" s="179" t="e">
        <f>INDEX('stock fisico '!D:D, MATCH(B414, 'stock fisico '!B:B, 0))</f>
        <v>#N/A</v>
      </c>
      <c r="AV414" s="177" t="e">
        <f>INDEX('stock fisico '!L:L, MATCH(B414, 'stock fisico '!B:B, 0))</f>
        <v>#N/A</v>
      </c>
    </row>
    <row r="415" spans="1:48" x14ac:dyDescent="0.25">
      <c r="A415" s="181" t="e">
        <f>INDEX('stock fisico '!M:M, MATCH(B415, 'stock fisico '!B:B, 0))</f>
        <v>#N/A</v>
      </c>
      <c r="C415" s="179" t="e">
        <f>INDEX('stock fisico '!C:C, MATCH(B415, 'stock fisico '!B:B, 0))</f>
        <v>#N/A</v>
      </c>
      <c r="D415" s="178" t="e">
        <f>INDEX('stock fisico '!I:I, MATCH(B415, 'stock fisico '!B:B, 0))</f>
        <v>#N/A</v>
      </c>
      <c r="E415" s="173" t="e">
        <f t="shared" si="290"/>
        <v>#VALUE!</v>
      </c>
      <c r="F415" t="e">
        <f t="shared" si="250"/>
        <v>#VALUE!</v>
      </c>
      <c r="G415" t="e">
        <f t="shared" si="251"/>
        <v>#VALUE!</v>
      </c>
      <c r="H415" t="e">
        <f t="shared" si="252"/>
        <v>#VALUE!</v>
      </c>
      <c r="I415" t="e">
        <f t="shared" si="253"/>
        <v>#VALUE!</v>
      </c>
      <c r="J415" t="e">
        <f t="shared" si="254"/>
        <v>#VALUE!</v>
      </c>
      <c r="K415" t="e">
        <f t="shared" si="255"/>
        <v>#VALUE!</v>
      </c>
      <c r="L415" s="175" t="e">
        <f t="shared" si="285"/>
        <v>#VALUE!</v>
      </c>
      <c r="M415" t="e">
        <f t="shared" si="256"/>
        <v>#VALUE!</v>
      </c>
      <c r="N415" t="e">
        <f t="shared" si="257"/>
        <v>#VALUE!</v>
      </c>
      <c r="O415" t="e">
        <f t="shared" si="258"/>
        <v>#VALUE!</v>
      </c>
      <c r="P415" t="e">
        <f t="shared" si="259"/>
        <v>#VALUE!</v>
      </c>
      <c r="Q415" t="e">
        <f t="shared" si="260"/>
        <v>#VALUE!</v>
      </c>
      <c r="R415" t="e">
        <f t="shared" si="261"/>
        <v>#VALUE!</v>
      </c>
      <c r="S415" t="e">
        <f t="shared" si="262"/>
        <v>#VALUE!</v>
      </c>
      <c r="T415" s="174" t="e">
        <f t="shared" si="286"/>
        <v>#VALUE!</v>
      </c>
      <c r="U415" t="e">
        <f t="shared" si="263"/>
        <v>#VALUE!</v>
      </c>
      <c r="V415" t="e">
        <f t="shared" si="264"/>
        <v>#VALUE!</v>
      </c>
      <c r="W415" t="e">
        <f t="shared" si="265"/>
        <v>#VALUE!</v>
      </c>
      <c r="X415" t="e">
        <f t="shared" si="266"/>
        <v>#VALUE!</v>
      </c>
      <c r="Y415" t="e">
        <f t="shared" si="267"/>
        <v>#VALUE!</v>
      </c>
      <c r="Z415" t="e">
        <f t="shared" si="268"/>
        <v>#VALUE!</v>
      </c>
      <c r="AA415" t="e">
        <f t="shared" si="269"/>
        <v>#VALUE!</v>
      </c>
      <c r="AB415" s="23" t="e">
        <f t="shared" si="287"/>
        <v>#VALUE!</v>
      </c>
      <c r="AC415" t="e">
        <f t="shared" si="270"/>
        <v>#VALUE!</v>
      </c>
      <c r="AD415" t="e">
        <f t="shared" si="271"/>
        <v>#VALUE!</v>
      </c>
      <c r="AE415" t="e">
        <f t="shared" si="272"/>
        <v>#VALUE!</v>
      </c>
      <c r="AF415" t="e">
        <f t="shared" si="273"/>
        <v>#VALUE!</v>
      </c>
      <c r="AG415" t="e">
        <f t="shared" si="274"/>
        <v>#VALUE!</v>
      </c>
      <c r="AH415" t="e">
        <f t="shared" si="275"/>
        <v>#VALUE!</v>
      </c>
      <c r="AI415" t="e">
        <f t="shared" si="276"/>
        <v>#VALUE!</v>
      </c>
      <c r="AJ415" s="19" t="e">
        <f t="shared" si="288"/>
        <v>#VALUE!</v>
      </c>
      <c r="AK415" t="e">
        <f t="shared" si="277"/>
        <v>#VALUE!</v>
      </c>
      <c r="AL415" t="e">
        <f t="shared" si="278"/>
        <v>#VALUE!</v>
      </c>
      <c r="AM415" t="e">
        <f t="shared" si="279"/>
        <v>#VALUE!</v>
      </c>
      <c r="AN415" t="e">
        <f t="shared" si="280"/>
        <v>#VALUE!</v>
      </c>
      <c r="AO415" t="e">
        <f t="shared" si="281"/>
        <v>#VALUE!</v>
      </c>
      <c r="AP415" t="e">
        <f t="shared" si="282"/>
        <v>#VALUE!</v>
      </c>
      <c r="AQ415" t="e">
        <f t="shared" si="283"/>
        <v>#VALUE!</v>
      </c>
      <c r="AR415" s="123" t="e">
        <f t="shared" si="289"/>
        <v>#VALUE!</v>
      </c>
      <c r="AS415" t="e">
        <f t="shared" si="284"/>
        <v>#VALUE!</v>
      </c>
      <c r="AT415" s="181" t="e">
        <f>INDEX('stock fisico '!N:N, MATCH(B415, 'stock fisico '!B:B, 0))</f>
        <v>#N/A</v>
      </c>
      <c r="AU415" s="179" t="e">
        <f>INDEX('stock fisico '!D:D, MATCH(B415, 'stock fisico '!B:B, 0))</f>
        <v>#N/A</v>
      </c>
      <c r="AV415" s="177" t="e">
        <f>INDEX('stock fisico '!L:L, MATCH(B415, 'stock fisico '!B:B, 0))</f>
        <v>#N/A</v>
      </c>
    </row>
    <row r="416" spans="1:48" x14ac:dyDescent="0.25">
      <c r="A416" s="181" t="e">
        <f>INDEX('stock fisico '!M:M, MATCH(B416, 'stock fisico '!B:B, 0))</f>
        <v>#N/A</v>
      </c>
      <c r="C416" s="179" t="e">
        <f>INDEX('stock fisico '!C:C, MATCH(B416, 'stock fisico '!B:B, 0))</f>
        <v>#N/A</v>
      </c>
      <c r="D416" s="178" t="e">
        <f>INDEX('stock fisico '!I:I, MATCH(B416, 'stock fisico '!B:B, 0))</f>
        <v>#N/A</v>
      </c>
      <c r="E416" s="173" t="e">
        <f t="shared" si="290"/>
        <v>#VALUE!</v>
      </c>
      <c r="F416" t="e">
        <f t="shared" si="250"/>
        <v>#VALUE!</v>
      </c>
      <c r="G416" t="e">
        <f t="shared" si="251"/>
        <v>#VALUE!</v>
      </c>
      <c r="H416" t="e">
        <f t="shared" si="252"/>
        <v>#VALUE!</v>
      </c>
      <c r="I416" t="e">
        <f t="shared" si="253"/>
        <v>#VALUE!</v>
      </c>
      <c r="J416" t="e">
        <f t="shared" si="254"/>
        <v>#VALUE!</v>
      </c>
      <c r="K416" t="e">
        <f t="shared" si="255"/>
        <v>#VALUE!</v>
      </c>
      <c r="L416" s="175" t="e">
        <f t="shared" si="285"/>
        <v>#VALUE!</v>
      </c>
      <c r="M416" t="e">
        <f t="shared" si="256"/>
        <v>#VALUE!</v>
      </c>
      <c r="N416" t="e">
        <f t="shared" si="257"/>
        <v>#VALUE!</v>
      </c>
      <c r="O416" t="e">
        <f t="shared" si="258"/>
        <v>#VALUE!</v>
      </c>
      <c r="P416" t="e">
        <f t="shared" si="259"/>
        <v>#VALUE!</v>
      </c>
      <c r="Q416" t="e">
        <f t="shared" si="260"/>
        <v>#VALUE!</v>
      </c>
      <c r="R416" t="e">
        <f t="shared" si="261"/>
        <v>#VALUE!</v>
      </c>
      <c r="S416" t="e">
        <f t="shared" si="262"/>
        <v>#VALUE!</v>
      </c>
      <c r="T416" s="174" t="e">
        <f t="shared" si="286"/>
        <v>#VALUE!</v>
      </c>
      <c r="U416" t="e">
        <f t="shared" si="263"/>
        <v>#VALUE!</v>
      </c>
      <c r="V416" t="e">
        <f t="shared" si="264"/>
        <v>#VALUE!</v>
      </c>
      <c r="W416" t="e">
        <f t="shared" si="265"/>
        <v>#VALUE!</v>
      </c>
      <c r="X416" t="e">
        <f t="shared" si="266"/>
        <v>#VALUE!</v>
      </c>
      <c r="Y416" t="e">
        <f t="shared" si="267"/>
        <v>#VALUE!</v>
      </c>
      <c r="Z416" t="e">
        <f t="shared" si="268"/>
        <v>#VALUE!</v>
      </c>
      <c r="AA416" t="e">
        <f t="shared" si="269"/>
        <v>#VALUE!</v>
      </c>
      <c r="AB416" s="23" t="e">
        <f t="shared" si="287"/>
        <v>#VALUE!</v>
      </c>
      <c r="AC416" t="e">
        <f t="shared" si="270"/>
        <v>#VALUE!</v>
      </c>
      <c r="AD416" t="e">
        <f t="shared" si="271"/>
        <v>#VALUE!</v>
      </c>
      <c r="AE416" t="e">
        <f t="shared" si="272"/>
        <v>#VALUE!</v>
      </c>
      <c r="AF416" t="e">
        <f t="shared" si="273"/>
        <v>#VALUE!</v>
      </c>
      <c r="AG416" t="e">
        <f t="shared" si="274"/>
        <v>#VALUE!</v>
      </c>
      <c r="AH416" t="e">
        <f t="shared" si="275"/>
        <v>#VALUE!</v>
      </c>
      <c r="AI416" t="e">
        <f t="shared" si="276"/>
        <v>#VALUE!</v>
      </c>
      <c r="AJ416" s="19" t="e">
        <f t="shared" si="288"/>
        <v>#VALUE!</v>
      </c>
      <c r="AK416" t="e">
        <f t="shared" si="277"/>
        <v>#VALUE!</v>
      </c>
      <c r="AL416" t="e">
        <f t="shared" si="278"/>
        <v>#VALUE!</v>
      </c>
      <c r="AM416" t="e">
        <f t="shared" si="279"/>
        <v>#VALUE!</v>
      </c>
      <c r="AN416" t="e">
        <f t="shared" si="280"/>
        <v>#VALUE!</v>
      </c>
      <c r="AO416" t="e">
        <f t="shared" si="281"/>
        <v>#VALUE!</v>
      </c>
      <c r="AP416" t="e">
        <f t="shared" si="282"/>
        <v>#VALUE!</v>
      </c>
      <c r="AQ416" t="e">
        <f t="shared" si="283"/>
        <v>#VALUE!</v>
      </c>
      <c r="AR416" s="123" t="e">
        <f t="shared" si="289"/>
        <v>#VALUE!</v>
      </c>
      <c r="AS416" t="e">
        <f t="shared" si="284"/>
        <v>#VALUE!</v>
      </c>
      <c r="AT416" s="181" t="e">
        <f>INDEX('stock fisico '!N:N, MATCH(B416, 'stock fisico '!B:B, 0))</f>
        <v>#N/A</v>
      </c>
      <c r="AU416" s="179" t="e">
        <f>INDEX('stock fisico '!D:D, MATCH(B416, 'stock fisico '!B:B, 0))</f>
        <v>#N/A</v>
      </c>
      <c r="AV416" s="177" t="e">
        <f>INDEX('stock fisico '!L:L, MATCH(B416, 'stock fisico '!B:B, 0))</f>
        <v>#N/A</v>
      </c>
    </row>
    <row r="417" spans="1:48" x14ac:dyDescent="0.25">
      <c r="A417" s="181" t="e">
        <f>INDEX('stock fisico '!M:M, MATCH(B417, 'stock fisico '!B:B, 0))</f>
        <v>#N/A</v>
      </c>
      <c r="C417" s="179" t="e">
        <f>INDEX('stock fisico '!C:C, MATCH(B417, 'stock fisico '!B:B, 0))</f>
        <v>#N/A</v>
      </c>
      <c r="D417" s="178" t="e">
        <f>INDEX('stock fisico '!I:I, MATCH(B417, 'stock fisico '!B:B, 0))</f>
        <v>#N/A</v>
      </c>
      <c r="E417" s="173" t="e">
        <f t="shared" si="290"/>
        <v>#VALUE!</v>
      </c>
      <c r="F417" t="e">
        <f t="shared" si="250"/>
        <v>#VALUE!</v>
      </c>
      <c r="G417" t="e">
        <f t="shared" si="251"/>
        <v>#VALUE!</v>
      </c>
      <c r="H417" t="e">
        <f t="shared" si="252"/>
        <v>#VALUE!</v>
      </c>
      <c r="I417" t="e">
        <f t="shared" si="253"/>
        <v>#VALUE!</v>
      </c>
      <c r="J417" t="e">
        <f t="shared" si="254"/>
        <v>#VALUE!</v>
      </c>
      <c r="K417" t="e">
        <f t="shared" si="255"/>
        <v>#VALUE!</v>
      </c>
      <c r="L417" s="175" t="e">
        <f t="shared" si="285"/>
        <v>#VALUE!</v>
      </c>
      <c r="M417" t="e">
        <f t="shared" si="256"/>
        <v>#VALUE!</v>
      </c>
      <c r="N417" t="e">
        <f t="shared" si="257"/>
        <v>#VALUE!</v>
      </c>
      <c r="O417" t="e">
        <f t="shared" si="258"/>
        <v>#VALUE!</v>
      </c>
      <c r="P417" t="e">
        <f t="shared" si="259"/>
        <v>#VALUE!</v>
      </c>
      <c r="Q417" t="e">
        <f t="shared" si="260"/>
        <v>#VALUE!</v>
      </c>
      <c r="R417" t="e">
        <f t="shared" si="261"/>
        <v>#VALUE!</v>
      </c>
      <c r="S417" t="e">
        <f t="shared" si="262"/>
        <v>#VALUE!</v>
      </c>
      <c r="T417" s="174" t="e">
        <f t="shared" si="286"/>
        <v>#VALUE!</v>
      </c>
      <c r="U417" t="e">
        <f t="shared" si="263"/>
        <v>#VALUE!</v>
      </c>
      <c r="V417" t="e">
        <f t="shared" si="264"/>
        <v>#VALUE!</v>
      </c>
      <c r="W417" t="e">
        <f t="shared" si="265"/>
        <v>#VALUE!</v>
      </c>
      <c r="X417" t="e">
        <f t="shared" si="266"/>
        <v>#VALUE!</v>
      </c>
      <c r="Y417" t="e">
        <f t="shared" si="267"/>
        <v>#VALUE!</v>
      </c>
      <c r="Z417" t="e">
        <f t="shared" si="268"/>
        <v>#VALUE!</v>
      </c>
      <c r="AA417" t="e">
        <f t="shared" si="269"/>
        <v>#VALUE!</v>
      </c>
      <c r="AB417" s="23" t="e">
        <f t="shared" si="287"/>
        <v>#VALUE!</v>
      </c>
      <c r="AC417" t="e">
        <f t="shared" si="270"/>
        <v>#VALUE!</v>
      </c>
      <c r="AD417" t="e">
        <f t="shared" si="271"/>
        <v>#VALUE!</v>
      </c>
      <c r="AE417" t="e">
        <f t="shared" si="272"/>
        <v>#VALUE!</v>
      </c>
      <c r="AF417" t="e">
        <f t="shared" si="273"/>
        <v>#VALUE!</v>
      </c>
      <c r="AG417" t="e">
        <f t="shared" si="274"/>
        <v>#VALUE!</v>
      </c>
      <c r="AH417" t="e">
        <f t="shared" si="275"/>
        <v>#VALUE!</v>
      </c>
      <c r="AI417" t="e">
        <f t="shared" si="276"/>
        <v>#VALUE!</v>
      </c>
      <c r="AJ417" s="19" t="e">
        <f t="shared" si="288"/>
        <v>#VALUE!</v>
      </c>
      <c r="AK417" t="e">
        <f t="shared" si="277"/>
        <v>#VALUE!</v>
      </c>
      <c r="AL417" t="e">
        <f t="shared" si="278"/>
        <v>#VALUE!</v>
      </c>
      <c r="AM417" t="e">
        <f t="shared" si="279"/>
        <v>#VALUE!</v>
      </c>
      <c r="AN417" t="e">
        <f t="shared" si="280"/>
        <v>#VALUE!</v>
      </c>
      <c r="AO417" t="e">
        <f t="shared" si="281"/>
        <v>#VALUE!</v>
      </c>
      <c r="AP417" t="e">
        <f t="shared" si="282"/>
        <v>#VALUE!</v>
      </c>
      <c r="AQ417" t="e">
        <f t="shared" si="283"/>
        <v>#VALUE!</v>
      </c>
      <c r="AR417" s="123" t="e">
        <f t="shared" si="289"/>
        <v>#VALUE!</v>
      </c>
      <c r="AS417" t="e">
        <f t="shared" si="284"/>
        <v>#VALUE!</v>
      </c>
      <c r="AT417" s="181" t="e">
        <f>INDEX('stock fisico '!N:N, MATCH(B417, 'stock fisico '!B:B, 0))</f>
        <v>#N/A</v>
      </c>
      <c r="AU417" s="179" t="e">
        <f>INDEX('stock fisico '!D:D, MATCH(B417, 'stock fisico '!B:B, 0))</f>
        <v>#N/A</v>
      </c>
      <c r="AV417" s="177" t="e">
        <f>INDEX('stock fisico '!L:L, MATCH(B417, 'stock fisico '!B:B, 0))</f>
        <v>#N/A</v>
      </c>
    </row>
    <row r="418" spans="1:48" x14ac:dyDescent="0.25">
      <c r="A418" s="181" t="e">
        <f>INDEX('stock fisico '!M:M, MATCH(B418, 'stock fisico '!B:B, 0))</f>
        <v>#N/A</v>
      </c>
      <c r="C418" s="179" t="e">
        <f>INDEX('stock fisico '!C:C, MATCH(B418, 'stock fisico '!B:B, 0))</f>
        <v>#N/A</v>
      </c>
      <c r="D418" s="178" t="e">
        <f>INDEX('stock fisico '!I:I, MATCH(B418, 'stock fisico '!B:B, 0))</f>
        <v>#N/A</v>
      </c>
      <c r="E418" s="173" t="e">
        <f t="shared" si="290"/>
        <v>#VALUE!</v>
      </c>
      <c r="F418" t="e">
        <f t="shared" si="250"/>
        <v>#VALUE!</v>
      </c>
      <c r="G418" t="e">
        <f t="shared" si="251"/>
        <v>#VALUE!</v>
      </c>
      <c r="H418" t="e">
        <f t="shared" si="252"/>
        <v>#VALUE!</v>
      </c>
      <c r="I418" t="e">
        <f t="shared" si="253"/>
        <v>#VALUE!</v>
      </c>
      <c r="J418" t="e">
        <f t="shared" si="254"/>
        <v>#VALUE!</v>
      </c>
      <c r="K418" t="e">
        <f t="shared" si="255"/>
        <v>#VALUE!</v>
      </c>
      <c r="L418" s="175" t="e">
        <f t="shared" si="285"/>
        <v>#VALUE!</v>
      </c>
      <c r="M418" t="e">
        <f t="shared" si="256"/>
        <v>#VALUE!</v>
      </c>
      <c r="N418" t="e">
        <f t="shared" si="257"/>
        <v>#VALUE!</v>
      </c>
      <c r="O418" t="e">
        <f t="shared" si="258"/>
        <v>#VALUE!</v>
      </c>
      <c r="P418" t="e">
        <f t="shared" si="259"/>
        <v>#VALUE!</v>
      </c>
      <c r="Q418" t="e">
        <f t="shared" si="260"/>
        <v>#VALUE!</v>
      </c>
      <c r="R418" t="e">
        <f t="shared" si="261"/>
        <v>#VALUE!</v>
      </c>
      <c r="S418" t="e">
        <f t="shared" si="262"/>
        <v>#VALUE!</v>
      </c>
      <c r="T418" s="174" t="e">
        <f t="shared" si="286"/>
        <v>#VALUE!</v>
      </c>
      <c r="U418" t="e">
        <f t="shared" si="263"/>
        <v>#VALUE!</v>
      </c>
      <c r="V418" t="e">
        <f t="shared" si="264"/>
        <v>#VALUE!</v>
      </c>
      <c r="W418" t="e">
        <f t="shared" si="265"/>
        <v>#VALUE!</v>
      </c>
      <c r="X418" t="e">
        <f t="shared" si="266"/>
        <v>#VALUE!</v>
      </c>
      <c r="Y418" t="e">
        <f t="shared" si="267"/>
        <v>#VALUE!</v>
      </c>
      <c r="Z418" t="e">
        <f t="shared" si="268"/>
        <v>#VALUE!</v>
      </c>
      <c r="AA418" t="e">
        <f t="shared" si="269"/>
        <v>#VALUE!</v>
      </c>
      <c r="AB418" s="23" t="e">
        <f t="shared" si="287"/>
        <v>#VALUE!</v>
      </c>
      <c r="AC418" t="e">
        <f t="shared" si="270"/>
        <v>#VALUE!</v>
      </c>
      <c r="AD418" t="e">
        <f t="shared" si="271"/>
        <v>#VALUE!</v>
      </c>
      <c r="AE418" t="e">
        <f t="shared" si="272"/>
        <v>#VALUE!</v>
      </c>
      <c r="AF418" t="e">
        <f t="shared" si="273"/>
        <v>#VALUE!</v>
      </c>
      <c r="AG418" t="e">
        <f t="shared" si="274"/>
        <v>#VALUE!</v>
      </c>
      <c r="AH418" t="e">
        <f t="shared" si="275"/>
        <v>#VALUE!</v>
      </c>
      <c r="AI418" t="e">
        <f t="shared" si="276"/>
        <v>#VALUE!</v>
      </c>
      <c r="AJ418" s="19" t="e">
        <f t="shared" si="288"/>
        <v>#VALUE!</v>
      </c>
      <c r="AK418" t="e">
        <f t="shared" si="277"/>
        <v>#VALUE!</v>
      </c>
      <c r="AL418" t="e">
        <f t="shared" si="278"/>
        <v>#VALUE!</v>
      </c>
      <c r="AM418" t="e">
        <f t="shared" si="279"/>
        <v>#VALUE!</v>
      </c>
      <c r="AN418" t="e">
        <f t="shared" si="280"/>
        <v>#VALUE!</v>
      </c>
      <c r="AO418" t="e">
        <f t="shared" si="281"/>
        <v>#VALUE!</v>
      </c>
      <c r="AP418" t="e">
        <f t="shared" si="282"/>
        <v>#VALUE!</v>
      </c>
      <c r="AQ418" t="e">
        <f t="shared" si="283"/>
        <v>#VALUE!</v>
      </c>
      <c r="AR418" s="123" t="e">
        <f t="shared" si="289"/>
        <v>#VALUE!</v>
      </c>
      <c r="AS418" t="e">
        <f t="shared" si="284"/>
        <v>#VALUE!</v>
      </c>
      <c r="AT418" s="181" t="e">
        <f>INDEX('stock fisico '!N:N, MATCH(B418, 'stock fisico '!B:B, 0))</f>
        <v>#N/A</v>
      </c>
      <c r="AU418" s="179" t="e">
        <f>INDEX('stock fisico '!D:D, MATCH(B418, 'stock fisico '!B:B, 0))</f>
        <v>#N/A</v>
      </c>
      <c r="AV418" s="177" t="e">
        <f>INDEX('stock fisico '!L:L, MATCH(B418, 'stock fisico '!B:B, 0))</f>
        <v>#N/A</v>
      </c>
    </row>
    <row r="419" spans="1:48" x14ac:dyDescent="0.25">
      <c r="A419" s="181" t="e">
        <f>INDEX('stock fisico '!M:M, MATCH(B419, 'stock fisico '!B:B, 0))</f>
        <v>#N/A</v>
      </c>
      <c r="C419" s="179" t="e">
        <f>INDEX('stock fisico '!C:C, MATCH(B419, 'stock fisico '!B:B, 0))</f>
        <v>#N/A</v>
      </c>
      <c r="D419" s="178" t="e">
        <f>INDEX('stock fisico '!I:I, MATCH(B419, 'stock fisico '!B:B, 0))</f>
        <v>#N/A</v>
      </c>
      <c r="E419" s="173" t="e">
        <f t="shared" si="290"/>
        <v>#VALUE!</v>
      </c>
      <c r="F419" t="e">
        <f t="shared" si="250"/>
        <v>#VALUE!</v>
      </c>
      <c r="G419" t="e">
        <f t="shared" si="251"/>
        <v>#VALUE!</v>
      </c>
      <c r="H419" t="e">
        <f t="shared" si="252"/>
        <v>#VALUE!</v>
      </c>
      <c r="I419" t="e">
        <f t="shared" si="253"/>
        <v>#VALUE!</v>
      </c>
      <c r="J419" t="e">
        <f t="shared" si="254"/>
        <v>#VALUE!</v>
      </c>
      <c r="K419" t="e">
        <f t="shared" si="255"/>
        <v>#VALUE!</v>
      </c>
      <c r="L419" s="175" t="e">
        <f t="shared" si="285"/>
        <v>#VALUE!</v>
      </c>
      <c r="M419" t="e">
        <f t="shared" si="256"/>
        <v>#VALUE!</v>
      </c>
      <c r="N419" t="e">
        <f t="shared" si="257"/>
        <v>#VALUE!</v>
      </c>
      <c r="O419" t="e">
        <f t="shared" si="258"/>
        <v>#VALUE!</v>
      </c>
      <c r="P419" t="e">
        <f t="shared" si="259"/>
        <v>#VALUE!</v>
      </c>
      <c r="Q419" t="e">
        <f t="shared" si="260"/>
        <v>#VALUE!</v>
      </c>
      <c r="R419" t="e">
        <f t="shared" si="261"/>
        <v>#VALUE!</v>
      </c>
      <c r="S419" t="e">
        <f t="shared" si="262"/>
        <v>#VALUE!</v>
      </c>
      <c r="T419" s="174" t="e">
        <f t="shared" si="286"/>
        <v>#VALUE!</v>
      </c>
      <c r="U419" t="e">
        <f t="shared" si="263"/>
        <v>#VALUE!</v>
      </c>
      <c r="V419" t="e">
        <f t="shared" si="264"/>
        <v>#VALUE!</v>
      </c>
      <c r="W419" t="e">
        <f t="shared" si="265"/>
        <v>#VALUE!</v>
      </c>
      <c r="X419" t="e">
        <f t="shared" si="266"/>
        <v>#VALUE!</v>
      </c>
      <c r="Y419" t="e">
        <f t="shared" si="267"/>
        <v>#VALUE!</v>
      </c>
      <c r="Z419" t="e">
        <f t="shared" si="268"/>
        <v>#VALUE!</v>
      </c>
      <c r="AA419" t="e">
        <f t="shared" si="269"/>
        <v>#VALUE!</v>
      </c>
      <c r="AB419" s="23" t="e">
        <f t="shared" si="287"/>
        <v>#VALUE!</v>
      </c>
      <c r="AC419" t="e">
        <f t="shared" si="270"/>
        <v>#VALUE!</v>
      </c>
      <c r="AD419" t="e">
        <f t="shared" si="271"/>
        <v>#VALUE!</v>
      </c>
      <c r="AE419" t="e">
        <f t="shared" si="272"/>
        <v>#VALUE!</v>
      </c>
      <c r="AF419" t="e">
        <f t="shared" si="273"/>
        <v>#VALUE!</v>
      </c>
      <c r="AG419" t="e">
        <f t="shared" si="274"/>
        <v>#VALUE!</v>
      </c>
      <c r="AH419" t="e">
        <f t="shared" si="275"/>
        <v>#VALUE!</v>
      </c>
      <c r="AI419" t="e">
        <f t="shared" si="276"/>
        <v>#VALUE!</v>
      </c>
      <c r="AJ419" s="19" t="e">
        <f t="shared" si="288"/>
        <v>#VALUE!</v>
      </c>
      <c r="AK419" t="e">
        <f t="shared" si="277"/>
        <v>#VALUE!</v>
      </c>
      <c r="AL419" t="e">
        <f t="shared" si="278"/>
        <v>#VALUE!</v>
      </c>
      <c r="AM419" t="e">
        <f t="shared" si="279"/>
        <v>#VALUE!</v>
      </c>
      <c r="AN419" t="e">
        <f t="shared" si="280"/>
        <v>#VALUE!</v>
      </c>
      <c r="AO419" t="e">
        <f t="shared" si="281"/>
        <v>#VALUE!</v>
      </c>
      <c r="AP419" t="e">
        <f t="shared" si="282"/>
        <v>#VALUE!</v>
      </c>
      <c r="AQ419" t="e">
        <f t="shared" si="283"/>
        <v>#VALUE!</v>
      </c>
      <c r="AR419" s="123" t="e">
        <f t="shared" si="289"/>
        <v>#VALUE!</v>
      </c>
      <c r="AS419" t="e">
        <f t="shared" si="284"/>
        <v>#VALUE!</v>
      </c>
      <c r="AT419" s="181" t="e">
        <f>INDEX('stock fisico '!N:N, MATCH(B419, 'stock fisico '!B:B, 0))</f>
        <v>#N/A</v>
      </c>
      <c r="AU419" s="179" t="e">
        <f>INDEX('stock fisico '!D:D, MATCH(B419, 'stock fisico '!B:B, 0))</f>
        <v>#N/A</v>
      </c>
      <c r="AV419" s="177" t="e">
        <f>INDEX('stock fisico '!L:L, MATCH(B419, 'stock fisico '!B:B, 0))</f>
        <v>#N/A</v>
      </c>
    </row>
    <row r="420" spans="1:48" x14ac:dyDescent="0.25">
      <c r="A420" s="181" t="e">
        <f>INDEX('stock fisico '!M:M, MATCH(B420, 'stock fisico '!B:B, 0))</f>
        <v>#N/A</v>
      </c>
      <c r="C420" s="179" t="e">
        <f>INDEX('stock fisico '!C:C, MATCH(B420, 'stock fisico '!B:B, 0))</f>
        <v>#N/A</v>
      </c>
      <c r="D420" s="178" t="e">
        <f>INDEX('stock fisico '!I:I, MATCH(B420, 'stock fisico '!B:B, 0))</f>
        <v>#N/A</v>
      </c>
      <c r="E420" s="173" t="e">
        <f t="shared" si="290"/>
        <v>#VALUE!</v>
      </c>
      <c r="F420" t="e">
        <f t="shared" si="250"/>
        <v>#VALUE!</v>
      </c>
      <c r="G420" t="e">
        <f t="shared" si="251"/>
        <v>#VALUE!</v>
      </c>
      <c r="H420" t="e">
        <f t="shared" si="252"/>
        <v>#VALUE!</v>
      </c>
      <c r="I420" t="e">
        <f t="shared" si="253"/>
        <v>#VALUE!</v>
      </c>
      <c r="J420" t="e">
        <f t="shared" si="254"/>
        <v>#VALUE!</v>
      </c>
      <c r="K420" t="e">
        <f t="shared" si="255"/>
        <v>#VALUE!</v>
      </c>
      <c r="L420" s="175" t="e">
        <f t="shared" si="285"/>
        <v>#VALUE!</v>
      </c>
      <c r="M420" t="e">
        <f t="shared" si="256"/>
        <v>#VALUE!</v>
      </c>
      <c r="N420" t="e">
        <f t="shared" si="257"/>
        <v>#VALUE!</v>
      </c>
      <c r="O420" t="e">
        <f t="shared" si="258"/>
        <v>#VALUE!</v>
      </c>
      <c r="P420" t="e">
        <f t="shared" si="259"/>
        <v>#VALUE!</v>
      </c>
      <c r="Q420" t="e">
        <f t="shared" si="260"/>
        <v>#VALUE!</v>
      </c>
      <c r="R420" t="e">
        <f t="shared" si="261"/>
        <v>#VALUE!</v>
      </c>
      <c r="S420" t="e">
        <f t="shared" si="262"/>
        <v>#VALUE!</v>
      </c>
      <c r="T420" s="174" t="e">
        <f t="shared" si="286"/>
        <v>#VALUE!</v>
      </c>
      <c r="U420" t="e">
        <f t="shared" si="263"/>
        <v>#VALUE!</v>
      </c>
      <c r="V420" t="e">
        <f t="shared" si="264"/>
        <v>#VALUE!</v>
      </c>
      <c r="W420" t="e">
        <f t="shared" si="265"/>
        <v>#VALUE!</v>
      </c>
      <c r="X420" t="e">
        <f t="shared" si="266"/>
        <v>#VALUE!</v>
      </c>
      <c r="Y420" t="e">
        <f t="shared" si="267"/>
        <v>#VALUE!</v>
      </c>
      <c r="Z420" t="e">
        <f t="shared" si="268"/>
        <v>#VALUE!</v>
      </c>
      <c r="AA420" t="e">
        <f t="shared" si="269"/>
        <v>#VALUE!</v>
      </c>
      <c r="AB420" s="23" t="e">
        <f t="shared" si="287"/>
        <v>#VALUE!</v>
      </c>
      <c r="AC420" t="e">
        <f t="shared" si="270"/>
        <v>#VALUE!</v>
      </c>
      <c r="AD420" t="e">
        <f t="shared" si="271"/>
        <v>#VALUE!</v>
      </c>
      <c r="AE420" t="e">
        <f t="shared" si="272"/>
        <v>#VALUE!</v>
      </c>
      <c r="AF420" t="e">
        <f t="shared" si="273"/>
        <v>#VALUE!</v>
      </c>
      <c r="AG420" t="e">
        <f t="shared" si="274"/>
        <v>#VALUE!</v>
      </c>
      <c r="AH420" t="e">
        <f t="shared" si="275"/>
        <v>#VALUE!</v>
      </c>
      <c r="AI420" t="e">
        <f t="shared" si="276"/>
        <v>#VALUE!</v>
      </c>
      <c r="AJ420" s="19" t="e">
        <f t="shared" si="288"/>
        <v>#VALUE!</v>
      </c>
      <c r="AK420" t="e">
        <f t="shared" si="277"/>
        <v>#VALUE!</v>
      </c>
      <c r="AL420" t="e">
        <f t="shared" si="278"/>
        <v>#VALUE!</v>
      </c>
      <c r="AM420" t="e">
        <f t="shared" si="279"/>
        <v>#VALUE!</v>
      </c>
      <c r="AN420" t="e">
        <f t="shared" si="280"/>
        <v>#VALUE!</v>
      </c>
      <c r="AO420" t="e">
        <f t="shared" si="281"/>
        <v>#VALUE!</v>
      </c>
      <c r="AP420" t="e">
        <f t="shared" si="282"/>
        <v>#VALUE!</v>
      </c>
      <c r="AQ420" t="e">
        <f t="shared" si="283"/>
        <v>#VALUE!</v>
      </c>
      <c r="AR420" s="123" t="e">
        <f t="shared" si="289"/>
        <v>#VALUE!</v>
      </c>
      <c r="AS420" t="e">
        <f t="shared" si="284"/>
        <v>#VALUE!</v>
      </c>
      <c r="AT420" s="181" t="e">
        <f>INDEX('stock fisico '!N:N, MATCH(B420, 'stock fisico '!B:B, 0))</f>
        <v>#N/A</v>
      </c>
      <c r="AU420" s="179" t="e">
        <f>INDEX('stock fisico '!D:D, MATCH(B420, 'stock fisico '!B:B, 0))</f>
        <v>#N/A</v>
      </c>
      <c r="AV420" s="177" t="e">
        <f>INDEX('stock fisico '!L:L, MATCH(B420, 'stock fisico '!B:B, 0))</f>
        <v>#N/A</v>
      </c>
    </row>
    <row r="421" spans="1:48" x14ac:dyDescent="0.25">
      <c r="A421" s="181" t="e">
        <f>INDEX('stock fisico '!M:M, MATCH(B421, 'stock fisico '!B:B, 0))</f>
        <v>#N/A</v>
      </c>
      <c r="C421" s="179" t="e">
        <f>INDEX('stock fisico '!C:C, MATCH(B421, 'stock fisico '!B:B, 0))</f>
        <v>#N/A</v>
      </c>
      <c r="D421" s="178" t="e">
        <f>INDEX('stock fisico '!I:I, MATCH(B421, 'stock fisico '!B:B, 0))</f>
        <v>#N/A</v>
      </c>
      <c r="E421" s="173" t="e">
        <f t="shared" si="290"/>
        <v>#VALUE!</v>
      </c>
      <c r="F421" t="e">
        <f t="shared" si="250"/>
        <v>#VALUE!</v>
      </c>
      <c r="G421" t="e">
        <f t="shared" si="251"/>
        <v>#VALUE!</v>
      </c>
      <c r="H421" t="e">
        <f t="shared" si="252"/>
        <v>#VALUE!</v>
      </c>
      <c r="I421" t="e">
        <f t="shared" si="253"/>
        <v>#VALUE!</v>
      </c>
      <c r="J421" t="e">
        <f t="shared" si="254"/>
        <v>#VALUE!</v>
      </c>
      <c r="K421" t="e">
        <f t="shared" si="255"/>
        <v>#VALUE!</v>
      </c>
      <c r="L421" s="175" t="e">
        <f t="shared" si="285"/>
        <v>#VALUE!</v>
      </c>
      <c r="M421" t="e">
        <f t="shared" si="256"/>
        <v>#VALUE!</v>
      </c>
      <c r="N421" t="e">
        <f t="shared" si="257"/>
        <v>#VALUE!</v>
      </c>
      <c r="O421" t="e">
        <f t="shared" si="258"/>
        <v>#VALUE!</v>
      </c>
      <c r="P421" t="e">
        <f t="shared" si="259"/>
        <v>#VALUE!</v>
      </c>
      <c r="Q421" t="e">
        <f t="shared" si="260"/>
        <v>#VALUE!</v>
      </c>
      <c r="R421" t="e">
        <f t="shared" si="261"/>
        <v>#VALUE!</v>
      </c>
      <c r="S421" t="e">
        <f t="shared" si="262"/>
        <v>#VALUE!</v>
      </c>
      <c r="T421" s="174" t="e">
        <f t="shared" si="286"/>
        <v>#VALUE!</v>
      </c>
      <c r="U421" t="e">
        <f t="shared" si="263"/>
        <v>#VALUE!</v>
      </c>
      <c r="V421" t="e">
        <f t="shared" si="264"/>
        <v>#VALUE!</v>
      </c>
      <c r="W421" t="e">
        <f t="shared" si="265"/>
        <v>#VALUE!</v>
      </c>
      <c r="X421" t="e">
        <f t="shared" si="266"/>
        <v>#VALUE!</v>
      </c>
      <c r="Y421" t="e">
        <f t="shared" si="267"/>
        <v>#VALUE!</v>
      </c>
      <c r="Z421" t="e">
        <f t="shared" si="268"/>
        <v>#VALUE!</v>
      </c>
      <c r="AA421" t="e">
        <f t="shared" si="269"/>
        <v>#VALUE!</v>
      </c>
      <c r="AB421" s="23" t="e">
        <f t="shared" si="287"/>
        <v>#VALUE!</v>
      </c>
      <c r="AC421" t="e">
        <f t="shared" si="270"/>
        <v>#VALUE!</v>
      </c>
      <c r="AD421" t="e">
        <f t="shared" si="271"/>
        <v>#VALUE!</v>
      </c>
      <c r="AE421" t="e">
        <f t="shared" si="272"/>
        <v>#VALUE!</v>
      </c>
      <c r="AF421" t="e">
        <f t="shared" si="273"/>
        <v>#VALUE!</v>
      </c>
      <c r="AG421" t="e">
        <f t="shared" si="274"/>
        <v>#VALUE!</v>
      </c>
      <c r="AH421" t="e">
        <f t="shared" si="275"/>
        <v>#VALUE!</v>
      </c>
      <c r="AI421" t="e">
        <f t="shared" si="276"/>
        <v>#VALUE!</v>
      </c>
      <c r="AJ421" s="19" t="e">
        <f t="shared" si="288"/>
        <v>#VALUE!</v>
      </c>
      <c r="AK421" t="e">
        <f t="shared" si="277"/>
        <v>#VALUE!</v>
      </c>
      <c r="AL421" t="e">
        <f t="shared" si="278"/>
        <v>#VALUE!</v>
      </c>
      <c r="AM421" t="e">
        <f t="shared" si="279"/>
        <v>#VALUE!</v>
      </c>
      <c r="AN421" t="e">
        <f t="shared" si="280"/>
        <v>#VALUE!</v>
      </c>
      <c r="AO421" t="e">
        <f t="shared" si="281"/>
        <v>#VALUE!</v>
      </c>
      <c r="AP421" t="e">
        <f t="shared" si="282"/>
        <v>#VALUE!</v>
      </c>
      <c r="AQ421" t="e">
        <f t="shared" si="283"/>
        <v>#VALUE!</v>
      </c>
      <c r="AR421" s="123" t="e">
        <f t="shared" si="289"/>
        <v>#VALUE!</v>
      </c>
      <c r="AS421" t="e">
        <f t="shared" si="284"/>
        <v>#VALUE!</v>
      </c>
      <c r="AT421" s="181" t="e">
        <f>INDEX('stock fisico '!N:N, MATCH(B421, 'stock fisico '!B:B, 0))</f>
        <v>#N/A</v>
      </c>
      <c r="AU421" s="179" t="e">
        <f>INDEX('stock fisico '!D:D, MATCH(B421, 'stock fisico '!B:B, 0))</f>
        <v>#N/A</v>
      </c>
      <c r="AV421" s="177" t="e">
        <f>INDEX('stock fisico '!L:L, MATCH(B421, 'stock fisico '!B:B, 0))</f>
        <v>#N/A</v>
      </c>
    </row>
    <row r="422" spans="1:48" x14ac:dyDescent="0.25">
      <c r="A422" s="181" t="e">
        <f>INDEX('stock fisico '!M:M, MATCH(B422, 'stock fisico '!B:B, 0))</f>
        <v>#N/A</v>
      </c>
      <c r="C422" s="179" t="e">
        <f>INDEX('stock fisico '!C:C, MATCH(B422, 'stock fisico '!B:B, 0))</f>
        <v>#N/A</v>
      </c>
      <c r="D422" s="178" t="e">
        <f>INDEX('stock fisico '!I:I, MATCH(B422, 'stock fisico '!B:B, 0))</f>
        <v>#N/A</v>
      </c>
      <c r="E422" s="173" t="e">
        <f t="shared" si="290"/>
        <v>#VALUE!</v>
      </c>
      <c r="F422" t="e">
        <f t="shared" si="250"/>
        <v>#VALUE!</v>
      </c>
      <c r="G422" t="e">
        <f t="shared" si="251"/>
        <v>#VALUE!</v>
      </c>
      <c r="H422" t="e">
        <f t="shared" si="252"/>
        <v>#VALUE!</v>
      </c>
      <c r="I422" t="e">
        <f t="shared" si="253"/>
        <v>#VALUE!</v>
      </c>
      <c r="J422" t="e">
        <f t="shared" si="254"/>
        <v>#VALUE!</v>
      </c>
      <c r="K422" t="e">
        <f t="shared" si="255"/>
        <v>#VALUE!</v>
      </c>
      <c r="L422" s="175" t="e">
        <f t="shared" si="285"/>
        <v>#VALUE!</v>
      </c>
      <c r="M422" t="e">
        <f t="shared" si="256"/>
        <v>#VALUE!</v>
      </c>
      <c r="N422" t="e">
        <f t="shared" si="257"/>
        <v>#VALUE!</v>
      </c>
      <c r="O422" t="e">
        <f t="shared" si="258"/>
        <v>#VALUE!</v>
      </c>
      <c r="P422" t="e">
        <f t="shared" si="259"/>
        <v>#VALUE!</v>
      </c>
      <c r="Q422" t="e">
        <f t="shared" si="260"/>
        <v>#VALUE!</v>
      </c>
      <c r="R422" t="e">
        <f t="shared" si="261"/>
        <v>#VALUE!</v>
      </c>
      <c r="S422" t="e">
        <f t="shared" si="262"/>
        <v>#VALUE!</v>
      </c>
      <c r="T422" s="174" t="e">
        <f t="shared" si="286"/>
        <v>#VALUE!</v>
      </c>
      <c r="U422" t="e">
        <f t="shared" si="263"/>
        <v>#VALUE!</v>
      </c>
      <c r="V422" t="e">
        <f t="shared" si="264"/>
        <v>#VALUE!</v>
      </c>
      <c r="W422" t="e">
        <f t="shared" si="265"/>
        <v>#VALUE!</v>
      </c>
      <c r="X422" t="e">
        <f t="shared" si="266"/>
        <v>#VALUE!</v>
      </c>
      <c r="Y422" t="e">
        <f t="shared" si="267"/>
        <v>#VALUE!</v>
      </c>
      <c r="Z422" t="e">
        <f t="shared" si="268"/>
        <v>#VALUE!</v>
      </c>
      <c r="AA422" t="e">
        <f t="shared" si="269"/>
        <v>#VALUE!</v>
      </c>
      <c r="AB422" s="23" t="e">
        <f t="shared" si="287"/>
        <v>#VALUE!</v>
      </c>
      <c r="AC422" t="e">
        <f t="shared" si="270"/>
        <v>#VALUE!</v>
      </c>
      <c r="AD422" t="e">
        <f t="shared" si="271"/>
        <v>#VALUE!</v>
      </c>
      <c r="AE422" t="e">
        <f t="shared" si="272"/>
        <v>#VALUE!</v>
      </c>
      <c r="AF422" t="e">
        <f t="shared" si="273"/>
        <v>#VALUE!</v>
      </c>
      <c r="AG422" t="e">
        <f t="shared" si="274"/>
        <v>#VALUE!</v>
      </c>
      <c r="AH422" t="e">
        <f t="shared" si="275"/>
        <v>#VALUE!</v>
      </c>
      <c r="AI422" t="e">
        <f t="shared" si="276"/>
        <v>#VALUE!</v>
      </c>
      <c r="AJ422" s="19" t="e">
        <f t="shared" si="288"/>
        <v>#VALUE!</v>
      </c>
      <c r="AK422" t="e">
        <f t="shared" si="277"/>
        <v>#VALUE!</v>
      </c>
      <c r="AL422" t="e">
        <f t="shared" si="278"/>
        <v>#VALUE!</v>
      </c>
      <c r="AM422" t="e">
        <f t="shared" si="279"/>
        <v>#VALUE!</v>
      </c>
      <c r="AN422" t="e">
        <f t="shared" si="280"/>
        <v>#VALUE!</v>
      </c>
      <c r="AO422" t="e">
        <f t="shared" si="281"/>
        <v>#VALUE!</v>
      </c>
      <c r="AP422" t="e">
        <f t="shared" si="282"/>
        <v>#VALUE!</v>
      </c>
      <c r="AQ422" t="e">
        <f t="shared" si="283"/>
        <v>#VALUE!</v>
      </c>
      <c r="AR422" s="123" t="e">
        <f t="shared" si="289"/>
        <v>#VALUE!</v>
      </c>
      <c r="AS422" t="e">
        <f t="shared" si="284"/>
        <v>#VALUE!</v>
      </c>
      <c r="AT422" s="181" t="e">
        <f>INDEX('stock fisico '!N:N, MATCH(B422, 'stock fisico '!B:B, 0))</f>
        <v>#N/A</v>
      </c>
      <c r="AU422" s="179" t="e">
        <f>INDEX('stock fisico '!D:D, MATCH(B422, 'stock fisico '!B:B, 0))</f>
        <v>#N/A</v>
      </c>
      <c r="AV422" s="177" t="e">
        <f>INDEX('stock fisico '!L:L, MATCH(B422, 'stock fisico '!B:B, 0))</f>
        <v>#N/A</v>
      </c>
    </row>
    <row r="423" spans="1:48" x14ac:dyDescent="0.25">
      <c r="A423" s="181" t="e">
        <f>INDEX('stock fisico '!M:M, MATCH(B423, 'stock fisico '!B:B, 0))</f>
        <v>#N/A</v>
      </c>
      <c r="C423" s="179" t="e">
        <f>INDEX('stock fisico '!C:C, MATCH(B423, 'stock fisico '!B:B, 0))</f>
        <v>#N/A</v>
      </c>
      <c r="D423" s="178" t="e">
        <f>INDEX('stock fisico '!I:I, MATCH(B423, 'stock fisico '!B:B, 0))</f>
        <v>#N/A</v>
      </c>
      <c r="E423" s="173" t="e">
        <f t="shared" si="290"/>
        <v>#VALUE!</v>
      </c>
      <c r="F423" t="e">
        <f t="shared" si="250"/>
        <v>#VALUE!</v>
      </c>
      <c r="G423" t="e">
        <f t="shared" si="251"/>
        <v>#VALUE!</v>
      </c>
      <c r="H423" t="e">
        <f t="shared" si="252"/>
        <v>#VALUE!</v>
      </c>
      <c r="I423" t="e">
        <f t="shared" si="253"/>
        <v>#VALUE!</v>
      </c>
      <c r="J423" t="e">
        <f t="shared" si="254"/>
        <v>#VALUE!</v>
      </c>
      <c r="K423" t="e">
        <f t="shared" si="255"/>
        <v>#VALUE!</v>
      </c>
      <c r="L423" s="175" t="e">
        <f t="shared" si="285"/>
        <v>#VALUE!</v>
      </c>
      <c r="M423" t="e">
        <f t="shared" si="256"/>
        <v>#VALUE!</v>
      </c>
      <c r="N423" t="e">
        <f t="shared" si="257"/>
        <v>#VALUE!</v>
      </c>
      <c r="O423" t="e">
        <f t="shared" si="258"/>
        <v>#VALUE!</v>
      </c>
      <c r="P423" t="e">
        <f t="shared" si="259"/>
        <v>#VALUE!</v>
      </c>
      <c r="Q423" t="e">
        <f t="shared" si="260"/>
        <v>#VALUE!</v>
      </c>
      <c r="R423" t="e">
        <f t="shared" si="261"/>
        <v>#VALUE!</v>
      </c>
      <c r="S423" t="e">
        <f t="shared" si="262"/>
        <v>#VALUE!</v>
      </c>
      <c r="T423" s="174" t="e">
        <f t="shared" si="286"/>
        <v>#VALUE!</v>
      </c>
      <c r="U423" t="e">
        <f t="shared" si="263"/>
        <v>#VALUE!</v>
      </c>
      <c r="V423" t="e">
        <f t="shared" si="264"/>
        <v>#VALUE!</v>
      </c>
      <c r="W423" t="e">
        <f t="shared" si="265"/>
        <v>#VALUE!</v>
      </c>
      <c r="X423" t="e">
        <f t="shared" si="266"/>
        <v>#VALUE!</v>
      </c>
      <c r="Y423" t="e">
        <f t="shared" si="267"/>
        <v>#VALUE!</v>
      </c>
      <c r="Z423" t="e">
        <f t="shared" si="268"/>
        <v>#VALUE!</v>
      </c>
      <c r="AA423" t="e">
        <f t="shared" si="269"/>
        <v>#VALUE!</v>
      </c>
      <c r="AB423" s="23" t="e">
        <f t="shared" si="287"/>
        <v>#VALUE!</v>
      </c>
      <c r="AC423" t="e">
        <f t="shared" si="270"/>
        <v>#VALUE!</v>
      </c>
      <c r="AD423" t="e">
        <f t="shared" si="271"/>
        <v>#VALUE!</v>
      </c>
      <c r="AE423" t="e">
        <f t="shared" si="272"/>
        <v>#VALUE!</v>
      </c>
      <c r="AF423" t="e">
        <f t="shared" si="273"/>
        <v>#VALUE!</v>
      </c>
      <c r="AG423" t="e">
        <f t="shared" si="274"/>
        <v>#VALUE!</v>
      </c>
      <c r="AH423" t="e">
        <f t="shared" si="275"/>
        <v>#VALUE!</v>
      </c>
      <c r="AI423" t="e">
        <f t="shared" si="276"/>
        <v>#VALUE!</v>
      </c>
      <c r="AJ423" s="19" t="e">
        <f t="shared" si="288"/>
        <v>#VALUE!</v>
      </c>
      <c r="AK423" t="e">
        <f t="shared" si="277"/>
        <v>#VALUE!</v>
      </c>
      <c r="AL423" t="e">
        <f t="shared" si="278"/>
        <v>#VALUE!</v>
      </c>
      <c r="AM423" t="e">
        <f t="shared" si="279"/>
        <v>#VALUE!</v>
      </c>
      <c r="AN423" t="e">
        <f t="shared" si="280"/>
        <v>#VALUE!</v>
      </c>
      <c r="AO423" t="e">
        <f t="shared" si="281"/>
        <v>#VALUE!</v>
      </c>
      <c r="AP423" t="e">
        <f t="shared" si="282"/>
        <v>#VALUE!</v>
      </c>
      <c r="AQ423" t="e">
        <f t="shared" si="283"/>
        <v>#VALUE!</v>
      </c>
      <c r="AR423" s="123" t="e">
        <f t="shared" si="289"/>
        <v>#VALUE!</v>
      </c>
      <c r="AS423" t="e">
        <f t="shared" si="284"/>
        <v>#VALUE!</v>
      </c>
      <c r="AT423" s="181" t="e">
        <f>INDEX('stock fisico '!N:N, MATCH(B423, 'stock fisico '!B:B, 0))</f>
        <v>#N/A</v>
      </c>
      <c r="AU423" s="179" t="e">
        <f>INDEX('stock fisico '!D:D, MATCH(B423, 'stock fisico '!B:B, 0))</f>
        <v>#N/A</v>
      </c>
      <c r="AV423" s="177" t="e">
        <f>INDEX('stock fisico '!L:L, MATCH(B423, 'stock fisico '!B:B, 0))</f>
        <v>#N/A</v>
      </c>
    </row>
    <row r="424" spans="1:48" x14ac:dyDescent="0.25">
      <c r="A424" s="181" t="e">
        <f>INDEX('stock fisico '!M:M, MATCH(B424, 'stock fisico '!B:B, 0))</f>
        <v>#N/A</v>
      </c>
      <c r="C424" s="179" t="e">
        <f>INDEX('stock fisico '!C:C, MATCH(B424, 'stock fisico '!B:B, 0))</f>
        <v>#N/A</v>
      </c>
      <c r="D424" s="178" t="e">
        <f>INDEX('stock fisico '!I:I, MATCH(B424, 'stock fisico '!B:B, 0))</f>
        <v>#N/A</v>
      </c>
      <c r="E424" s="173" t="e">
        <f t="shared" si="290"/>
        <v>#VALUE!</v>
      </c>
      <c r="F424" t="e">
        <f t="shared" si="250"/>
        <v>#VALUE!</v>
      </c>
      <c r="G424" t="e">
        <f t="shared" si="251"/>
        <v>#VALUE!</v>
      </c>
      <c r="H424" t="e">
        <f t="shared" si="252"/>
        <v>#VALUE!</v>
      </c>
      <c r="I424" t="e">
        <f t="shared" si="253"/>
        <v>#VALUE!</v>
      </c>
      <c r="J424" t="e">
        <f t="shared" si="254"/>
        <v>#VALUE!</v>
      </c>
      <c r="K424" t="e">
        <f t="shared" si="255"/>
        <v>#VALUE!</v>
      </c>
      <c r="L424" s="175" t="e">
        <f t="shared" si="285"/>
        <v>#VALUE!</v>
      </c>
      <c r="M424" t="e">
        <f t="shared" si="256"/>
        <v>#VALUE!</v>
      </c>
      <c r="N424" t="e">
        <f t="shared" si="257"/>
        <v>#VALUE!</v>
      </c>
      <c r="O424" t="e">
        <f t="shared" si="258"/>
        <v>#VALUE!</v>
      </c>
      <c r="P424" t="e">
        <f t="shared" si="259"/>
        <v>#VALUE!</v>
      </c>
      <c r="Q424" t="e">
        <f t="shared" si="260"/>
        <v>#VALUE!</v>
      </c>
      <c r="R424" t="e">
        <f t="shared" si="261"/>
        <v>#VALUE!</v>
      </c>
      <c r="S424" t="e">
        <f t="shared" si="262"/>
        <v>#VALUE!</v>
      </c>
      <c r="T424" s="174" t="e">
        <f t="shared" si="286"/>
        <v>#VALUE!</v>
      </c>
      <c r="U424" t="e">
        <f t="shared" si="263"/>
        <v>#VALUE!</v>
      </c>
      <c r="V424" t="e">
        <f t="shared" si="264"/>
        <v>#VALUE!</v>
      </c>
      <c r="W424" t="e">
        <f t="shared" si="265"/>
        <v>#VALUE!</v>
      </c>
      <c r="X424" t="e">
        <f t="shared" si="266"/>
        <v>#VALUE!</v>
      </c>
      <c r="Y424" t="e">
        <f t="shared" si="267"/>
        <v>#VALUE!</v>
      </c>
      <c r="Z424" t="e">
        <f t="shared" si="268"/>
        <v>#VALUE!</v>
      </c>
      <c r="AA424" t="e">
        <f t="shared" si="269"/>
        <v>#VALUE!</v>
      </c>
      <c r="AB424" s="23" t="e">
        <f t="shared" si="287"/>
        <v>#VALUE!</v>
      </c>
      <c r="AC424" t="e">
        <f t="shared" si="270"/>
        <v>#VALUE!</v>
      </c>
      <c r="AD424" t="e">
        <f t="shared" si="271"/>
        <v>#VALUE!</v>
      </c>
      <c r="AE424" t="e">
        <f t="shared" si="272"/>
        <v>#VALUE!</v>
      </c>
      <c r="AF424" t="e">
        <f t="shared" si="273"/>
        <v>#VALUE!</v>
      </c>
      <c r="AG424" t="e">
        <f t="shared" si="274"/>
        <v>#VALUE!</v>
      </c>
      <c r="AH424" t="e">
        <f t="shared" si="275"/>
        <v>#VALUE!</v>
      </c>
      <c r="AI424" t="e">
        <f t="shared" si="276"/>
        <v>#VALUE!</v>
      </c>
      <c r="AJ424" s="19" t="e">
        <f t="shared" si="288"/>
        <v>#VALUE!</v>
      </c>
      <c r="AK424" t="e">
        <f t="shared" si="277"/>
        <v>#VALUE!</v>
      </c>
      <c r="AL424" t="e">
        <f t="shared" si="278"/>
        <v>#VALUE!</v>
      </c>
      <c r="AM424" t="e">
        <f t="shared" si="279"/>
        <v>#VALUE!</v>
      </c>
      <c r="AN424" t="e">
        <f t="shared" si="280"/>
        <v>#VALUE!</v>
      </c>
      <c r="AO424" t="e">
        <f t="shared" si="281"/>
        <v>#VALUE!</v>
      </c>
      <c r="AP424" t="e">
        <f t="shared" si="282"/>
        <v>#VALUE!</v>
      </c>
      <c r="AQ424" t="e">
        <f t="shared" si="283"/>
        <v>#VALUE!</v>
      </c>
      <c r="AR424" s="123" t="e">
        <f t="shared" si="289"/>
        <v>#VALUE!</v>
      </c>
      <c r="AS424" t="e">
        <f t="shared" si="284"/>
        <v>#VALUE!</v>
      </c>
      <c r="AT424" s="181" t="e">
        <f>INDEX('stock fisico '!N:N, MATCH(B424, 'stock fisico '!B:B, 0))</f>
        <v>#N/A</v>
      </c>
      <c r="AU424" s="179" t="e">
        <f>INDEX('stock fisico '!D:D, MATCH(B424, 'stock fisico '!B:B, 0))</f>
        <v>#N/A</v>
      </c>
      <c r="AV424" s="177" t="e">
        <f>INDEX('stock fisico '!L:L, MATCH(B424, 'stock fisico '!B:B, 0))</f>
        <v>#N/A</v>
      </c>
    </row>
    <row r="425" spans="1:48" x14ac:dyDescent="0.25">
      <c r="A425" s="181" t="e">
        <f>INDEX('stock fisico '!M:M, MATCH(B425, 'stock fisico '!B:B, 0))</f>
        <v>#N/A</v>
      </c>
      <c r="C425" s="179" t="e">
        <f>INDEX('stock fisico '!C:C, MATCH(B425, 'stock fisico '!B:B, 0))</f>
        <v>#N/A</v>
      </c>
      <c r="D425" s="178" t="e">
        <f>INDEX('stock fisico '!I:I, MATCH(B425, 'stock fisico '!B:B, 0))</f>
        <v>#N/A</v>
      </c>
      <c r="E425" s="173" t="e">
        <f t="shared" si="290"/>
        <v>#VALUE!</v>
      </c>
      <c r="F425" t="e">
        <f t="shared" si="250"/>
        <v>#VALUE!</v>
      </c>
      <c r="G425" t="e">
        <f t="shared" si="251"/>
        <v>#VALUE!</v>
      </c>
      <c r="H425" t="e">
        <f t="shared" si="252"/>
        <v>#VALUE!</v>
      </c>
      <c r="I425" t="e">
        <f t="shared" si="253"/>
        <v>#VALUE!</v>
      </c>
      <c r="J425" t="e">
        <f t="shared" si="254"/>
        <v>#VALUE!</v>
      </c>
      <c r="K425" t="e">
        <f t="shared" si="255"/>
        <v>#VALUE!</v>
      </c>
      <c r="L425" s="175" t="e">
        <f t="shared" si="285"/>
        <v>#VALUE!</v>
      </c>
      <c r="M425" t="e">
        <f t="shared" si="256"/>
        <v>#VALUE!</v>
      </c>
      <c r="N425" t="e">
        <f t="shared" si="257"/>
        <v>#VALUE!</v>
      </c>
      <c r="O425" t="e">
        <f t="shared" si="258"/>
        <v>#VALUE!</v>
      </c>
      <c r="P425" t="e">
        <f t="shared" si="259"/>
        <v>#VALUE!</v>
      </c>
      <c r="Q425" t="e">
        <f t="shared" si="260"/>
        <v>#VALUE!</v>
      </c>
      <c r="R425" t="e">
        <f t="shared" si="261"/>
        <v>#VALUE!</v>
      </c>
      <c r="S425" t="e">
        <f t="shared" si="262"/>
        <v>#VALUE!</v>
      </c>
      <c r="T425" s="174" t="e">
        <f t="shared" si="286"/>
        <v>#VALUE!</v>
      </c>
      <c r="U425" t="e">
        <f t="shared" si="263"/>
        <v>#VALUE!</v>
      </c>
      <c r="V425" t="e">
        <f t="shared" si="264"/>
        <v>#VALUE!</v>
      </c>
      <c r="W425" t="e">
        <f t="shared" si="265"/>
        <v>#VALUE!</v>
      </c>
      <c r="X425" t="e">
        <f t="shared" si="266"/>
        <v>#VALUE!</v>
      </c>
      <c r="Y425" t="e">
        <f t="shared" si="267"/>
        <v>#VALUE!</v>
      </c>
      <c r="Z425" t="e">
        <f t="shared" si="268"/>
        <v>#VALUE!</v>
      </c>
      <c r="AA425" t="e">
        <f t="shared" si="269"/>
        <v>#VALUE!</v>
      </c>
      <c r="AB425" s="23" t="e">
        <f t="shared" si="287"/>
        <v>#VALUE!</v>
      </c>
      <c r="AC425" t="e">
        <f t="shared" si="270"/>
        <v>#VALUE!</v>
      </c>
      <c r="AD425" t="e">
        <f t="shared" si="271"/>
        <v>#VALUE!</v>
      </c>
      <c r="AE425" t="e">
        <f t="shared" si="272"/>
        <v>#VALUE!</v>
      </c>
      <c r="AF425" t="e">
        <f t="shared" si="273"/>
        <v>#VALUE!</v>
      </c>
      <c r="AG425" t="e">
        <f t="shared" si="274"/>
        <v>#VALUE!</v>
      </c>
      <c r="AH425" t="e">
        <f t="shared" si="275"/>
        <v>#VALUE!</v>
      </c>
      <c r="AI425" t="e">
        <f t="shared" si="276"/>
        <v>#VALUE!</v>
      </c>
      <c r="AJ425" s="19" t="e">
        <f t="shared" si="288"/>
        <v>#VALUE!</v>
      </c>
      <c r="AK425" t="e">
        <f t="shared" si="277"/>
        <v>#VALUE!</v>
      </c>
      <c r="AL425" t="e">
        <f t="shared" si="278"/>
        <v>#VALUE!</v>
      </c>
      <c r="AM425" t="e">
        <f t="shared" si="279"/>
        <v>#VALUE!</v>
      </c>
      <c r="AN425" t="e">
        <f t="shared" si="280"/>
        <v>#VALUE!</v>
      </c>
      <c r="AO425" t="e">
        <f t="shared" si="281"/>
        <v>#VALUE!</v>
      </c>
      <c r="AP425" t="e">
        <f t="shared" si="282"/>
        <v>#VALUE!</v>
      </c>
      <c r="AQ425" t="e">
        <f t="shared" si="283"/>
        <v>#VALUE!</v>
      </c>
      <c r="AR425" s="123" t="e">
        <f t="shared" si="289"/>
        <v>#VALUE!</v>
      </c>
      <c r="AS425" t="e">
        <f t="shared" si="284"/>
        <v>#VALUE!</v>
      </c>
      <c r="AT425" s="181" t="e">
        <f>INDEX('stock fisico '!N:N, MATCH(B425, 'stock fisico '!B:B, 0))</f>
        <v>#N/A</v>
      </c>
      <c r="AU425" s="179" t="e">
        <f>INDEX('stock fisico '!D:D, MATCH(B425, 'stock fisico '!B:B, 0))</f>
        <v>#N/A</v>
      </c>
      <c r="AV425" s="177" t="e">
        <f>INDEX('stock fisico '!L:L, MATCH(B425, 'stock fisico '!B:B, 0))</f>
        <v>#N/A</v>
      </c>
    </row>
    <row r="426" spans="1:48" x14ac:dyDescent="0.25">
      <c r="A426" s="181" t="e">
        <f>INDEX('stock fisico '!M:M, MATCH(B426, 'stock fisico '!B:B, 0))</f>
        <v>#N/A</v>
      </c>
      <c r="C426" s="179" t="e">
        <f>INDEX('stock fisico '!C:C, MATCH(B426, 'stock fisico '!B:B, 0))</f>
        <v>#N/A</v>
      </c>
      <c r="D426" s="178" t="e">
        <f>INDEX('stock fisico '!I:I, MATCH(B426, 'stock fisico '!B:B, 0))</f>
        <v>#N/A</v>
      </c>
      <c r="E426" s="173" t="e">
        <f t="shared" si="290"/>
        <v>#VALUE!</v>
      </c>
      <c r="F426" t="e">
        <f t="shared" si="250"/>
        <v>#VALUE!</v>
      </c>
      <c r="G426" t="e">
        <f t="shared" si="251"/>
        <v>#VALUE!</v>
      </c>
      <c r="H426" t="e">
        <f t="shared" si="252"/>
        <v>#VALUE!</v>
      </c>
      <c r="I426" t="e">
        <f t="shared" si="253"/>
        <v>#VALUE!</v>
      </c>
      <c r="J426" t="e">
        <f t="shared" si="254"/>
        <v>#VALUE!</v>
      </c>
      <c r="K426" t="e">
        <f t="shared" si="255"/>
        <v>#VALUE!</v>
      </c>
      <c r="L426" s="175" t="e">
        <f t="shared" si="285"/>
        <v>#VALUE!</v>
      </c>
      <c r="M426" t="e">
        <f t="shared" si="256"/>
        <v>#VALUE!</v>
      </c>
      <c r="N426" t="e">
        <f t="shared" si="257"/>
        <v>#VALUE!</v>
      </c>
      <c r="O426" t="e">
        <f t="shared" si="258"/>
        <v>#VALUE!</v>
      </c>
      <c r="P426" t="e">
        <f t="shared" si="259"/>
        <v>#VALUE!</v>
      </c>
      <c r="Q426" t="e">
        <f t="shared" si="260"/>
        <v>#VALUE!</v>
      </c>
      <c r="R426" t="e">
        <f t="shared" si="261"/>
        <v>#VALUE!</v>
      </c>
      <c r="S426" t="e">
        <f t="shared" si="262"/>
        <v>#VALUE!</v>
      </c>
      <c r="T426" s="174" t="e">
        <f t="shared" si="286"/>
        <v>#VALUE!</v>
      </c>
      <c r="U426" t="e">
        <f t="shared" si="263"/>
        <v>#VALUE!</v>
      </c>
      <c r="V426" t="e">
        <f t="shared" si="264"/>
        <v>#VALUE!</v>
      </c>
      <c r="W426" t="e">
        <f t="shared" si="265"/>
        <v>#VALUE!</v>
      </c>
      <c r="X426" t="e">
        <f t="shared" si="266"/>
        <v>#VALUE!</v>
      </c>
      <c r="Y426" t="e">
        <f t="shared" si="267"/>
        <v>#VALUE!</v>
      </c>
      <c r="Z426" t="e">
        <f t="shared" si="268"/>
        <v>#VALUE!</v>
      </c>
      <c r="AA426" t="e">
        <f t="shared" si="269"/>
        <v>#VALUE!</v>
      </c>
      <c r="AB426" s="23" t="e">
        <f t="shared" si="287"/>
        <v>#VALUE!</v>
      </c>
      <c r="AC426" t="e">
        <f t="shared" si="270"/>
        <v>#VALUE!</v>
      </c>
      <c r="AD426" t="e">
        <f t="shared" si="271"/>
        <v>#VALUE!</v>
      </c>
      <c r="AE426" t="e">
        <f t="shared" si="272"/>
        <v>#VALUE!</v>
      </c>
      <c r="AF426" t="e">
        <f t="shared" si="273"/>
        <v>#VALUE!</v>
      </c>
      <c r="AG426" t="e">
        <f t="shared" si="274"/>
        <v>#VALUE!</v>
      </c>
      <c r="AH426" t="e">
        <f t="shared" si="275"/>
        <v>#VALUE!</v>
      </c>
      <c r="AI426" t="e">
        <f t="shared" si="276"/>
        <v>#VALUE!</v>
      </c>
      <c r="AJ426" s="19" t="e">
        <f t="shared" si="288"/>
        <v>#VALUE!</v>
      </c>
      <c r="AK426" t="e">
        <f t="shared" si="277"/>
        <v>#VALUE!</v>
      </c>
      <c r="AL426" t="e">
        <f t="shared" si="278"/>
        <v>#VALUE!</v>
      </c>
      <c r="AM426" t="e">
        <f t="shared" si="279"/>
        <v>#VALUE!</v>
      </c>
      <c r="AN426" t="e">
        <f t="shared" si="280"/>
        <v>#VALUE!</v>
      </c>
      <c r="AO426" t="e">
        <f t="shared" si="281"/>
        <v>#VALUE!</v>
      </c>
      <c r="AP426" t="e">
        <f t="shared" si="282"/>
        <v>#VALUE!</v>
      </c>
      <c r="AQ426" t="e">
        <f t="shared" si="283"/>
        <v>#VALUE!</v>
      </c>
      <c r="AR426" s="123" t="e">
        <f t="shared" si="289"/>
        <v>#VALUE!</v>
      </c>
      <c r="AS426" t="e">
        <f t="shared" si="284"/>
        <v>#VALUE!</v>
      </c>
      <c r="AT426" s="181" t="e">
        <f>INDEX('stock fisico '!N:N, MATCH(B426, 'stock fisico '!B:B, 0))</f>
        <v>#N/A</v>
      </c>
      <c r="AU426" s="179" t="e">
        <f>INDEX('stock fisico '!D:D, MATCH(B426, 'stock fisico '!B:B, 0))</f>
        <v>#N/A</v>
      </c>
      <c r="AV426" s="177" t="e">
        <f>INDEX('stock fisico '!L:L, MATCH(B426, 'stock fisico '!B:B, 0))</f>
        <v>#N/A</v>
      </c>
    </row>
    <row r="427" spans="1:48" x14ac:dyDescent="0.25">
      <c r="A427" s="181" t="e">
        <f>INDEX('stock fisico '!M:M, MATCH(B427, 'stock fisico '!B:B, 0))</f>
        <v>#N/A</v>
      </c>
      <c r="C427" s="179" t="e">
        <f>INDEX('stock fisico '!C:C, MATCH(B427, 'stock fisico '!B:B, 0))</f>
        <v>#N/A</v>
      </c>
      <c r="D427" s="178" t="e">
        <f>INDEX('stock fisico '!I:I, MATCH(B427, 'stock fisico '!B:B, 0))</f>
        <v>#N/A</v>
      </c>
      <c r="E427" s="173" t="e">
        <f t="shared" si="290"/>
        <v>#VALUE!</v>
      </c>
      <c r="F427" t="e">
        <f t="shared" si="250"/>
        <v>#VALUE!</v>
      </c>
      <c r="G427" t="e">
        <f t="shared" si="251"/>
        <v>#VALUE!</v>
      </c>
      <c r="H427" t="e">
        <f t="shared" si="252"/>
        <v>#VALUE!</v>
      </c>
      <c r="I427" t="e">
        <f t="shared" si="253"/>
        <v>#VALUE!</v>
      </c>
      <c r="J427" t="e">
        <f t="shared" si="254"/>
        <v>#VALUE!</v>
      </c>
      <c r="K427" t="e">
        <f t="shared" si="255"/>
        <v>#VALUE!</v>
      </c>
      <c r="L427" s="175" t="e">
        <f t="shared" si="285"/>
        <v>#VALUE!</v>
      </c>
      <c r="M427" t="e">
        <f t="shared" si="256"/>
        <v>#VALUE!</v>
      </c>
      <c r="N427" t="e">
        <f t="shared" si="257"/>
        <v>#VALUE!</v>
      </c>
      <c r="O427" t="e">
        <f t="shared" si="258"/>
        <v>#VALUE!</v>
      </c>
      <c r="P427" t="e">
        <f t="shared" si="259"/>
        <v>#VALUE!</v>
      </c>
      <c r="Q427" t="e">
        <f t="shared" si="260"/>
        <v>#VALUE!</v>
      </c>
      <c r="R427" t="e">
        <f t="shared" si="261"/>
        <v>#VALUE!</v>
      </c>
      <c r="S427" t="e">
        <f t="shared" si="262"/>
        <v>#VALUE!</v>
      </c>
      <c r="T427" s="174" t="e">
        <f t="shared" si="286"/>
        <v>#VALUE!</v>
      </c>
      <c r="U427" t="e">
        <f t="shared" si="263"/>
        <v>#VALUE!</v>
      </c>
      <c r="V427" t="e">
        <f t="shared" si="264"/>
        <v>#VALUE!</v>
      </c>
      <c r="W427" t="e">
        <f t="shared" si="265"/>
        <v>#VALUE!</v>
      </c>
      <c r="X427" t="e">
        <f t="shared" si="266"/>
        <v>#VALUE!</v>
      </c>
      <c r="Y427" t="e">
        <f t="shared" si="267"/>
        <v>#VALUE!</v>
      </c>
      <c r="Z427" t="e">
        <f t="shared" si="268"/>
        <v>#VALUE!</v>
      </c>
      <c r="AA427" t="e">
        <f t="shared" si="269"/>
        <v>#VALUE!</v>
      </c>
      <c r="AB427" s="23" t="e">
        <f t="shared" si="287"/>
        <v>#VALUE!</v>
      </c>
      <c r="AC427" t="e">
        <f t="shared" si="270"/>
        <v>#VALUE!</v>
      </c>
      <c r="AD427" t="e">
        <f t="shared" si="271"/>
        <v>#VALUE!</v>
      </c>
      <c r="AE427" t="e">
        <f t="shared" si="272"/>
        <v>#VALUE!</v>
      </c>
      <c r="AF427" t="e">
        <f t="shared" si="273"/>
        <v>#VALUE!</v>
      </c>
      <c r="AG427" t="e">
        <f t="shared" si="274"/>
        <v>#VALUE!</v>
      </c>
      <c r="AH427" t="e">
        <f t="shared" si="275"/>
        <v>#VALUE!</v>
      </c>
      <c r="AI427" t="e">
        <f t="shared" si="276"/>
        <v>#VALUE!</v>
      </c>
      <c r="AJ427" s="19" t="e">
        <f t="shared" si="288"/>
        <v>#VALUE!</v>
      </c>
      <c r="AK427" t="e">
        <f t="shared" si="277"/>
        <v>#VALUE!</v>
      </c>
      <c r="AL427" t="e">
        <f t="shared" si="278"/>
        <v>#VALUE!</v>
      </c>
      <c r="AM427" t="e">
        <f t="shared" si="279"/>
        <v>#VALUE!</v>
      </c>
      <c r="AN427" t="e">
        <f t="shared" si="280"/>
        <v>#VALUE!</v>
      </c>
      <c r="AO427" t="e">
        <f t="shared" si="281"/>
        <v>#VALUE!</v>
      </c>
      <c r="AP427" t="e">
        <f t="shared" si="282"/>
        <v>#VALUE!</v>
      </c>
      <c r="AQ427" t="e">
        <f t="shared" si="283"/>
        <v>#VALUE!</v>
      </c>
      <c r="AR427" s="123" t="e">
        <f t="shared" si="289"/>
        <v>#VALUE!</v>
      </c>
      <c r="AS427" t="e">
        <f t="shared" si="284"/>
        <v>#VALUE!</v>
      </c>
      <c r="AT427" s="181" t="e">
        <f>INDEX('stock fisico '!N:N, MATCH(B427, 'stock fisico '!B:B, 0))</f>
        <v>#N/A</v>
      </c>
      <c r="AU427" s="179" t="e">
        <f>INDEX('stock fisico '!D:D, MATCH(B427, 'stock fisico '!B:B, 0))</f>
        <v>#N/A</v>
      </c>
      <c r="AV427" s="177" t="e">
        <f>INDEX('stock fisico '!L:L, MATCH(B427, 'stock fisico '!B:B, 0))</f>
        <v>#N/A</v>
      </c>
    </row>
    <row r="428" spans="1:48" x14ac:dyDescent="0.25">
      <c r="A428" s="181" t="e">
        <f>INDEX('stock fisico '!M:M, MATCH(B428, 'stock fisico '!B:B, 0))</f>
        <v>#N/A</v>
      </c>
      <c r="C428" s="179" t="e">
        <f>INDEX('stock fisico '!C:C, MATCH(B428, 'stock fisico '!B:B, 0))</f>
        <v>#N/A</v>
      </c>
      <c r="D428" s="178" t="e">
        <f>INDEX('stock fisico '!I:I, MATCH(B428, 'stock fisico '!B:B, 0))</f>
        <v>#N/A</v>
      </c>
      <c r="E428" s="173" t="e">
        <f t="shared" si="290"/>
        <v>#VALUE!</v>
      </c>
      <c r="F428" t="e">
        <f t="shared" si="250"/>
        <v>#VALUE!</v>
      </c>
      <c r="G428" t="e">
        <f t="shared" si="251"/>
        <v>#VALUE!</v>
      </c>
      <c r="H428" t="e">
        <f t="shared" si="252"/>
        <v>#VALUE!</v>
      </c>
      <c r="I428" t="e">
        <f t="shared" si="253"/>
        <v>#VALUE!</v>
      </c>
      <c r="J428" t="e">
        <f t="shared" si="254"/>
        <v>#VALUE!</v>
      </c>
      <c r="K428" t="e">
        <f t="shared" si="255"/>
        <v>#VALUE!</v>
      </c>
      <c r="L428" s="175" t="e">
        <f t="shared" si="285"/>
        <v>#VALUE!</v>
      </c>
      <c r="M428" t="e">
        <f t="shared" si="256"/>
        <v>#VALUE!</v>
      </c>
      <c r="N428" t="e">
        <f t="shared" si="257"/>
        <v>#VALUE!</v>
      </c>
      <c r="O428" t="e">
        <f t="shared" si="258"/>
        <v>#VALUE!</v>
      </c>
      <c r="P428" t="e">
        <f t="shared" si="259"/>
        <v>#VALUE!</v>
      </c>
      <c r="Q428" t="e">
        <f t="shared" si="260"/>
        <v>#VALUE!</v>
      </c>
      <c r="R428" t="e">
        <f t="shared" si="261"/>
        <v>#VALUE!</v>
      </c>
      <c r="S428" t="e">
        <f t="shared" si="262"/>
        <v>#VALUE!</v>
      </c>
      <c r="T428" s="174" t="e">
        <f t="shared" si="286"/>
        <v>#VALUE!</v>
      </c>
      <c r="U428" t="e">
        <f t="shared" si="263"/>
        <v>#VALUE!</v>
      </c>
      <c r="V428" t="e">
        <f t="shared" si="264"/>
        <v>#VALUE!</v>
      </c>
      <c r="W428" t="e">
        <f t="shared" si="265"/>
        <v>#VALUE!</v>
      </c>
      <c r="X428" t="e">
        <f t="shared" si="266"/>
        <v>#VALUE!</v>
      </c>
      <c r="Y428" t="e">
        <f t="shared" si="267"/>
        <v>#VALUE!</v>
      </c>
      <c r="Z428" t="e">
        <f t="shared" si="268"/>
        <v>#VALUE!</v>
      </c>
      <c r="AA428" t="e">
        <f t="shared" si="269"/>
        <v>#VALUE!</v>
      </c>
      <c r="AB428" s="23" t="e">
        <f t="shared" si="287"/>
        <v>#VALUE!</v>
      </c>
      <c r="AC428" t="e">
        <f t="shared" si="270"/>
        <v>#VALUE!</v>
      </c>
      <c r="AD428" t="e">
        <f t="shared" si="271"/>
        <v>#VALUE!</v>
      </c>
      <c r="AE428" t="e">
        <f t="shared" si="272"/>
        <v>#VALUE!</v>
      </c>
      <c r="AF428" t="e">
        <f t="shared" si="273"/>
        <v>#VALUE!</v>
      </c>
      <c r="AG428" t="e">
        <f t="shared" si="274"/>
        <v>#VALUE!</v>
      </c>
      <c r="AH428" t="e">
        <f t="shared" si="275"/>
        <v>#VALUE!</v>
      </c>
      <c r="AI428" t="e">
        <f t="shared" si="276"/>
        <v>#VALUE!</v>
      </c>
      <c r="AJ428" s="19" t="e">
        <f t="shared" si="288"/>
        <v>#VALUE!</v>
      </c>
      <c r="AK428" t="e">
        <f t="shared" si="277"/>
        <v>#VALUE!</v>
      </c>
      <c r="AL428" t="e">
        <f t="shared" si="278"/>
        <v>#VALUE!</v>
      </c>
      <c r="AM428" t="e">
        <f t="shared" si="279"/>
        <v>#VALUE!</v>
      </c>
      <c r="AN428" t="e">
        <f t="shared" si="280"/>
        <v>#VALUE!</v>
      </c>
      <c r="AO428" t="e">
        <f t="shared" si="281"/>
        <v>#VALUE!</v>
      </c>
      <c r="AP428" t="e">
        <f t="shared" si="282"/>
        <v>#VALUE!</v>
      </c>
      <c r="AQ428" t="e">
        <f t="shared" si="283"/>
        <v>#VALUE!</v>
      </c>
      <c r="AR428" s="123" t="e">
        <f t="shared" si="289"/>
        <v>#VALUE!</v>
      </c>
      <c r="AS428" t="e">
        <f t="shared" si="284"/>
        <v>#VALUE!</v>
      </c>
      <c r="AT428" s="181" t="e">
        <f>INDEX('stock fisico '!N:N, MATCH(B428, 'stock fisico '!B:B, 0))</f>
        <v>#N/A</v>
      </c>
      <c r="AU428" s="179" t="e">
        <f>INDEX('stock fisico '!D:D, MATCH(B428, 'stock fisico '!B:B, 0))</f>
        <v>#N/A</v>
      </c>
      <c r="AV428" s="177" t="e">
        <f>INDEX('stock fisico '!L:L, MATCH(B428, 'stock fisico '!B:B, 0))</f>
        <v>#N/A</v>
      </c>
    </row>
    <row r="429" spans="1:48" x14ac:dyDescent="0.25">
      <c r="A429" s="181" t="e">
        <f>INDEX('stock fisico '!M:M, MATCH(B429, 'stock fisico '!B:B, 0))</f>
        <v>#N/A</v>
      </c>
      <c r="C429" s="179" t="e">
        <f>INDEX('stock fisico '!C:C, MATCH(B429, 'stock fisico '!B:B, 0))</f>
        <v>#N/A</v>
      </c>
      <c r="D429" s="178" t="e">
        <f>INDEX('stock fisico '!I:I, MATCH(B429, 'stock fisico '!B:B, 0))</f>
        <v>#N/A</v>
      </c>
      <c r="E429" s="173" t="e">
        <f t="shared" si="290"/>
        <v>#VALUE!</v>
      </c>
      <c r="F429" t="e">
        <f t="shared" si="250"/>
        <v>#VALUE!</v>
      </c>
      <c r="G429" t="e">
        <f t="shared" si="251"/>
        <v>#VALUE!</v>
      </c>
      <c r="H429" t="e">
        <f t="shared" si="252"/>
        <v>#VALUE!</v>
      </c>
      <c r="I429" t="e">
        <f t="shared" si="253"/>
        <v>#VALUE!</v>
      </c>
      <c r="J429" t="e">
        <f t="shared" si="254"/>
        <v>#VALUE!</v>
      </c>
      <c r="K429" t="e">
        <f t="shared" si="255"/>
        <v>#VALUE!</v>
      </c>
      <c r="L429" s="175" t="e">
        <f t="shared" si="285"/>
        <v>#VALUE!</v>
      </c>
      <c r="M429" t="e">
        <f t="shared" si="256"/>
        <v>#VALUE!</v>
      </c>
      <c r="N429" t="e">
        <f t="shared" si="257"/>
        <v>#VALUE!</v>
      </c>
      <c r="O429" t="e">
        <f t="shared" si="258"/>
        <v>#VALUE!</v>
      </c>
      <c r="P429" t="e">
        <f t="shared" si="259"/>
        <v>#VALUE!</v>
      </c>
      <c r="Q429" t="e">
        <f t="shared" si="260"/>
        <v>#VALUE!</v>
      </c>
      <c r="R429" t="e">
        <f t="shared" si="261"/>
        <v>#VALUE!</v>
      </c>
      <c r="S429" t="e">
        <f t="shared" si="262"/>
        <v>#VALUE!</v>
      </c>
      <c r="T429" s="174" t="e">
        <f t="shared" si="286"/>
        <v>#VALUE!</v>
      </c>
      <c r="U429" t="e">
        <f t="shared" si="263"/>
        <v>#VALUE!</v>
      </c>
      <c r="V429" t="e">
        <f t="shared" si="264"/>
        <v>#VALUE!</v>
      </c>
      <c r="W429" t="e">
        <f t="shared" si="265"/>
        <v>#VALUE!</v>
      </c>
      <c r="X429" t="e">
        <f t="shared" si="266"/>
        <v>#VALUE!</v>
      </c>
      <c r="Y429" t="e">
        <f t="shared" si="267"/>
        <v>#VALUE!</v>
      </c>
      <c r="Z429" t="e">
        <f t="shared" si="268"/>
        <v>#VALUE!</v>
      </c>
      <c r="AA429" t="e">
        <f t="shared" si="269"/>
        <v>#VALUE!</v>
      </c>
      <c r="AB429" s="23" t="e">
        <f t="shared" si="287"/>
        <v>#VALUE!</v>
      </c>
      <c r="AC429" t="e">
        <f t="shared" si="270"/>
        <v>#VALUE!</v>
      </c>
      <c r="AD429" t="e">
        <f t="shared" si="271"/>
        <v>#VALUE!</v>
      </c>
      <c r="AE429" t="e">
        <f t="shared" si="272"/>
        <v>#VALUE!</v>
      </c>
      <c r="AF429" t="e">
        <f t="shared" si="273"/>
        <v>#VALUE!</v>
      </c>
      <c r="AG429" t="e">
        <f t="shared" si="274"/>
        <v>#VALUE!</v>
      </c>
      <c r="AH429" t="e">
        <f t="shared" si="275"/>
        <v>#VALUE!</v>
      </c>
      <c r="AI429" t="e">
        <f t="shared" si="276"/>
        <v>#VALUE!</v>
      </c>
      <c r="AJ429" s="19" t="e">
        <f t="shared" si="288"/>
        <v>#VALUE!</v>
      </c>
      <c r="AK429" t="e">
        <f t="shared" si="277"/>
        <v>#VALUE!</v>
      </c>
      <c r="AL429" t="e">
        <f t="shared" si="278"/>
        <v>#VALUE!</v>
      </c>
      <c r="AM429" t="e">
        <f t="shared" si="279"/>
        <v>#VALUE!</v>
      </c>
      <c r="AN429" t="e">
        <f t="shared" si="280"/>
        <v>#VALUE!</v>
      </c>
      <c r="AO429" t="e">
        <f t="shared" si="281"/>
        <v>#VALUE!</v>
      </c>
      <c r="AP429" t="e">
        <f t="shared" si="282"/>
        <v>#VALUE!</v>
      </c>
      <c r="AQ429" t="e">
        <f t="shared" si="283"/>
        <v>#VALUE!</v>
      </c>
      <c r="AR429" s="123" t="e">
        <f t="shared" si="289"/>
        <v>#VALUE!</v>
      </c>
      <c r="AS429" t="e">
        <f t="shared" si="284"/>
        <v>#VALUE!</v>
      </c>
      <c r="AT429" s="181" t="e">
        <f>INDEX('stock fisico '!N:N, MATCH(B429, 'stock fisico '!B:B, 0))</f>
        <v>#N/A</v>
      </c>
      <c r="AU429" s="179" t="e">
        <f>INDEX('stock fisico '!D:D, MATCH(B429, 'stock fisico '!B:B, 0))</f>
        <v>#N/A</v>
      </c>
      <c r="AV429" s="177" t="e">
        <f>INDEX('stock fisico '!L:L, MATCH(B429, 'stock fisico '!B:B, 0))</f>
        <v>#N/A</v>
      </c>
    </row>
    <row r="430" spans="1:48" x14ac:dyDescent="0.25">
      <c r="A430" s="181" t="e">
        <f>INDEX('stock fisico '!M:M, MATCH(B430, 'stock fisico '!B:B, 0))</f>
        <v>#N/A</v>
      </c>
      <c r="C430" s="179" t="e">
        <f>INDEX('stock fisico '!C:C, MATCH(B430, 'stock fisico '!B:B, 0))</f>
        <v>#N/A</v>
      </c>
      <c r="D430" s="178" t="e">
        <f>INDEX('stock fisico '!I:I, MATCH(B430, 'stock fisico '!B:B, 0))</f>
        <v>#N/A</v>
      </c>
      <c r="E430" s="173" t="e">
        <f t="shared" si="290"/>
        <v>#VALUE!</v>
      </c>
      <c r="F430" t="e">
        <f t="shared" si="250"/>
        <v>#VALUE!</v>
      </c>
      <c r="G430" t="e">
        <f t="shared" si="251"/>
        <v>#VALUE!</v>
      </c>
      <c r="H430" t="e">
        <f t="shared" si="252"/>
        <v>#VALUE!</v>
      </c>
      <c r="I430" t="e">
        <f t="shared" si="253"/>
        <v>#VALUE!</v>
      </c>
      <c r="J430" t="e">
        <f t="shared" si="254"/>
        <v>#VALUE!</v>
      </c>
      <c r="K430" t="e">
        <f t="shared" si="255"/>
        <v>#VALUE!</v>
      </c>
      <c r="L430" s="175" t="e">
        <f t="shared" si="285"/>
        <v>#VALUE!</v>
      </c>
      <c r="M430" t="e">
        <f t="shared" si="256"/>
        <v>#VALUE!</v>
      </c>
      <c r="N430" t="e">
        <f t="shared" si="257"/>
        <v>#VALUE!</v>
      </c>
      <c r="O430" t="e">
        <f t="shared" si="258"/>
        <v>#VALUE!</v>
      </c>
      <c r="P430" t="e">
        <f t="shared" si="259"/>
        <v>#VALUE!</v>
      </c>
      <c r="Q430" t="e">
        <f t="shared" si="260"/>
        <v>#VALUE!</v>
      </c>
      <c r="R430" t="e">
        <f t="shared" si="261"/>
        <v>#VALUE!</v>
      </c>
      <c r="S430" t="e">
        <f t="shared" si="262"/>
        <v>#VALUE!</v>
      </c>
      <c r="T430" s="174" t="e">
        <f t="shared" si="286"/>
        <v>#VALUE!</v>
      </c>
      <c r="U430" t="e">
        <f t="shared" si="263"/>
        <v>#VALUE!</v>
      </c>
      <c r="V430" t="e">
        <f t="shared" si="264"/>
        <v>#VALUE!</v>
      </c>
      <c r="W430" t="e">
        <f t="shared" si="265"/>
        <v>#VALUE!</v>
      </c>
      <c r="X430" t="e">
        <f t="shared" si="266"/>
        <v>#VALUE!</v>
      </c>
      <c r="Y430" t="e">
        <f t="shared" si="267"/>
        <v>#VALUE!</v>
      </c>
      <c r="Z430" t="e">
        <f t="shared" si="268"/>
        <v>#VALUE!</v>
      </c>
      <c r="AA430" t="e">
        <f t="shared" si="269"/>
        <v>#VALUE!</v>
      </c>
      <c r="AB430" s="23" t="e">
        <f t="shared" si="287"/>
        <v>#VALUE!</v>
      </c>
      <c r="AC430" t="e">
        <f t="shared" si="270"/>
        <v>#VALUE!</v>
      </c>
      <c r="AD430" t="e">
        <f t="shared" si="271"/>
        <v>#VALUE!</v>
      </c>
      <c r="AE430" t="e">
        <f t="shared" si="272"/>
        <v>#VALUE!</v>
      </c>
      <c r="AF430" t="e">
        <f t="shared" si="273"/>
        <v>#VALUE!</v>
      </c>
      <c r="AG430" t="e">
        <f t="shared" si="274"/>
        <v>#VALUE!</v>
      </c>
      <c r="AH430" t="e">
        <f t="shared" si="275"/>
        <v>#VALUE!</v>
      </c>
      <c r="AI430" t="e">
        <f t="shared" si="276"/>
        <v>#VALUE!</v>
      </c>
      <c r="AJ430" s="19" t="e">
        <f t="shared" si="288"/>
        <v>#VALUE!</v>
      </c>
      <c r="AK430" t="e">
        <f t="shared" si="277"/>
        <v>#VALUE!</v>
      </c>
      <c r="AL430" t="e">
        <f t="shared" si="278"/>
        <v>#VALUE!</v>
      </c>
      <c r="AM430" t="e">
        <f t="shared" si="279"/>
        <v>#VALUE!</v>
      </c>
      <c r="AN430" t="e">
        <f t="shared" si="280"/>
        <v>#VALUE!</v>
      </c>
      <c r="AO430" t="e">
        <f t="shared" si="281"/>
        <v>#VALUE!</v>
      </c>
      <c r="AP430" t="e">
        <f t="shared" si="282"/>
        <v>#VALUE!</v>
      </c>
      <c r="AQ430" t="e">
        <f t="shared" si="283"/>
        <v>#VALUE!</v>
      </c>
      <c r="AR430" s="123" t="e">
        <f t="shared" si="289"/>
        <v>#VALUE!</v>
      </c>
      <c r="AS430" t="e">
        <f t="shared" si="284"/>
        <v>#VALUE!</v>
      </c>
      <c r="AT430" s="181" t="e">
        <f>INDEX('stock fisico '!N:N, MATCH(B430, 'stock fisico '!B:B, 0))</f>
        <v>#N/A</v>
      </c>
      <c r="AU430" s="179" t="e">
        <f>INDEX('stock fisico '!D:D, MATCH(B430, 'stock fisico '!B:B, 0))</f>
        <v>#N/A</v>
      </c>
      <c r="AV430" s="177" t="e">
        <f>INDEX('stock fisico '!L:L, MATCH(B430, 'stock fisico '!B:B, 0))</f>
        <v>#N/A</v>
      </c>
    </row>
    <row r="431" spans="1:48" x14ac:dyDescent="0.25">
      <c r="A431" s="181" t="e">
        <f>INDEX('stock fisico '!M:M, MATCH(B431, 'stock fisico '!B:B, 0))</f>
        <v>#N/A</v>
      </c>
      <c r="C431" s="179" t="e">
        <f>INDEX('stock fisico '!C:C, MATCH(B431, 'stock fisico '!B:B, 0))</f>
        <v>#N/A</v>
      </c>
      <c r="D431" s="178" t="e">
        <f>INDEX('stock fisico '!I:I, MATCH(B431, 'stock fisico '!B:B, 0))</f>
        <v>#N/A</v>
      </c>
      <c r="E431" s="173" t="e">
        <f t="shared" si="290"/>
        <v>#VALUE!</v>
      </c>
      <c r="F431" t="e">
        <f t="shared" si="250"/>
        <v>#VALUE!</v>
      </c>
      <c r="G431" t="e">
        <f t="shared" si="251"/>
        <v>#VALUE!</v>
      </c>
      <c r="H431" t="e">
        <f t="shared" si="252"/>
        <v>#VALUE!</v>
      </c>
      <c r="I431" t="e">
        <f t="shared" si="253"/>
        <v>#VALUE!</v>
      </c>
      <c r="J431" t="e">
        <f t="shared" si="254"/>
        <v>#VALUE!</v>
      </c>
      <c r="K431" t="e">
        <f t="shared" si="255"/>
        <v>#VALUE!</v>
      </c>
      <c r="L431" s="175" t="e">
        <f t="shared" si="285"/>
        <v>#VALUE!</v>
      </c>
      <c r="M431" t="e">
        <f t="shared" si="256"/>
        <v>#VALUE!</v>
      </c>
      <c r="N431" t="e">
        <f t="shared" si="257"/>
        <v>#VALUE!</v>
      </c>
      <c r="O431" t="e">
        <f t="shared" si="258"/>
        <v>#VALUE!</v>
      </c>
      <c r="P431" t="e">
        <f t="shared" si="259"/>
        <v>#VALUE!</v>
      </c>
      <c r="Q431" t="e">
        <f t="shared" si="260"/>
        <v>#VALUE!</v>
      </c>
      <c r="R431" t="e">
        <f t="shared" si="261"/>
        <v>#VALUE!</v>
      </c>
      <c r="S431" t="e">
        <f t="shared" si="262"/>
        <v>#VALUE!</v>
      </c>
      <c r="T431" s="174" t="e">
        <f t="shared" si="286"/>
        <v>#VALUE!</v>
      </c>
      <c r="U431" t="e">
        <f t="shared" si="263"/>
        <v>#VALUE!</v>
      </c>
      <c r="V431" t="e">
        <f t="shared" si="264"/>
        <v>#VALUE!</v>
      </c>
      <c r="W431" t="e">
        <f t="shared" si="265"/>
        <v>#VALUE!</v>
      </c>
      <c r="X431" t="e">
        <f t="shared" si="266"/>
        <v>#VALUE!</v>
      </c>
      <c r="Y431" t="e">
        <f t="shared" si="267"/>
        <v>#VALUE!</v>
      </c>
      <c r="Z431" t="e">
        <f t="shared" si="268"/>
        <v>#VALUE!</v>
      </c>
      <c r="AA431" t="e">
        <f t="shared" si="269"/>
        <v>#VALUE!</v>
      </c>
      <c r="AB431" s="23" t="e">
        <f t="shared" si="287"/>
        <v>#VALUE!</v>
      </c>
      <c r="AC431" t="e">
        <f t="shared" si="270"/>
        <v>#VALUE!</v>
      </c>
      <c r="AD431" t="e">
        <f t="shared" si="271"/>
        <v>#VALUE!</v>
      </c>
      <c r="AE431" t="e">
        <f t="shared" si="272"/>
        <v>#VALUE!</v>
      </c>
      <c r="AF431" t="e">
        <f t="shared" si="273"/>
        <v>#VALUE!</v>
      </c>
      <c r="AG431" t="e">
        <f t="shared" si="274"/>
        <v>#VALUE!</v>
      </c>
      <c r="AH431" t="e">
        <f t="shared" si="275"/>
        <v>#VALUE!</v>
      </c>
      <c r="AI431" t="e">
        <f t="shared" si="276"/>
        <v>#VALUE!</v>
      </c>
      <c r="AJ431" s="19" t="e">
        <f t="shared" si="288"/>
        <v>#VALUE!</v>
      </c>
      <c r="AK431" t="e">
        <f t="shared" si="277"/>
        <v>#VALUE!</v>
      </c>
      <c r="AL431" t="e">
        <f t="shared" si="278"/>
        <v>#VALUE!</v>
      </c>
      <c r="AM431" t="e">
        <f t="shared" si="279"/>
        <v>#VALUE!</v>
      </c>
      <c r="AN431" t="e">
        <f t="shared" si="280"/>
        <v>#VALUE!</v>
      </c>
      <c r="AO431" t="e">
        <f t="shared" si="281"/>
        <v>#VALUE!</v>
      </c>
      <c r="AP431" t="e">
        <f t="shared" si="282"/>
        <v>#VALUE!</v>
      </c>
      <c r="AQ431" t="e">
        <f t="shared" si="283"/>
        <v>#VALUE!</v>
      </c>
      <c r="AR431" s="123" t="e">
        <f t="shared" si="289"/>
        <v>#VALUE!</v>
      </c>
      <c r="AS431" t="e">
        <f t="shared" si="284"/>
        <v>#VALUE!</v>
      </c>
      <c r="AT431" s="181" t="e">
        <f>INDEX('stock fisico '!N:N, MATCH(B431, 'stock fisico '!B:B, 0))</f>
        <v>#N/A</v>
      </c>
      <c r="AU431" s="179" t="e">
        <f>INDEX('stock fisico '!D:D, MATCH(B431, 'stock fisico '!B:B, 0))</f>
        <v>#N/A</v>
      </c>
      <c r="AV431" s="177" t="e">
        <f>INDEX('stock fisico '!L:L, MATCH(B431, 'stock fisico '!B:B, 0))</f>
        <v>#N/A</v>
      </c>
    </row>
    <row r="432" spans="1:48" x14ac:dyDescent="0.25">
      <c r="A432" s="181" t="e">
        <f>INDEX('stock fisico '!M:M, MATCH(B432, 'stock fisico '!B:B, 0))</f>
        <v>#N/A</v>
      </c>
      <c r="C432" s="179" t="e">
        <f>INDEX('stock fisico '!C:C, MATCH(B432, 'stock fisico '!B:B, 0))</f>
        <v>#N/A</v>
      </c>
      <c r="D432" s="178" t="e">
        <f>INDEX('stock fisico '!I:I, MATCH(B432, 'stock fisico '!B:B, 0))</f>
        <v>#N/A</v>
      </c>
      <c r="E432" s="173" t="e">
        <f t="shared" si="290"/>
        <v>#VALUE!</v>
      </c>
      <c r="F432" t="e">
        <f t="shared" si="250"/>
        <v>#VALUE!</v>
      </c>
      <c r="G432" t="e">
        <f t="shared" si="251"/>
        <v>#VALUE!</v>
      </c>
      <c r="H432" t="e">
        <f t="shared" si="252"/>
        <v>#VALUE!</v>
      </c>
      <c r="I432" t="e">
        <f t="shared" si="253"/>
        <v>#VALUE!</v>
      </c>
      <c r="J432" t="e">
        <f t="shared" si="254"/>
        <v>#VALUE!</v>
      </c>
      <c r="K432" t="e">
        <f t="shared" si="255"/>
        <v>#VALUE!</v>
      </c>
      <c r="L432" s="175" t="e">
        <f t="shared" si="285"/>
        <v>#VALUE!</v>
      </c>
      <c r="M432" t="e">
        <f t="shared" si="256"/>
        <v>#VALUE!</v>
      </c>
      <c r="N432" t="e">
        <f t="shared" si="257"/>
        <v>#VALUE!</v>
      </c>
      <c r="O432" t="e">
        <f t="shared" si="258"/>
        <v>#VALUE!</v>
      </c>
      <c r="P432" t="e">
        <f t="shared" si="259"/>
        <v>#VALUE!</v>
      </c>
      <c r="Q432" t="e">
        <f t="shared" si="260"/>
        <v>#VALUE!</v>
      </c>
      <c r="R432" t="e">
        <f t="shared" si="261"/>
        <v>#VALUE!</v>
      </c>
      <c r="S432" t="e">
        <f t="shared" si="262"/>
        <v>#VALUE!</v>
      </c>
      <c r="T432" s="174" t="e">
        <f t="shared" si="286"/>
        <v>#VALUE!</v>
      </c>
      <c r="U432" t="e">
        <f t="shared" si="263"/>
        <v>#VALUE!</v>
      </c>
      <c r="V432" t="e">
        <f t="shared" si="264"/>
        <v>#VALUE!</v>
      </c>
      <c r="W432" t="e">
        <f t="shared" si="265"/>
        <v>#VALUE!</v>
      </c>
      <c r="X432" t="e">
        <f t="shared" si="266"/>
        <v>#VALUE!</v>
      </c>
      <c r="Y432" t="e">
        <f t="shared" si="267"/>
        <v>#VALUE!</v>
      </c>
      <c r="Z432" t="e">
        <f t="shared" si="268"/>
        <v>#VALUE!</v>
      </c>
      <c r="AA432" t="e">
        <f t="shared" si="269"/>
        <v>#VALUE!</v>
      </c>
      <c r="AB432" s="23" t="e">
        <f t="shared" si="287"/>
        <v>#VALUE!</v>
      </c>
      <c r="AC432" t="e">
        <f t="shared" si="270"/>
        <v>#VALUE!</v>
      </c>
      <c r="AD432" t="e">
        <f t="shared" si="271"/>
        <v>#VALUE!</v>
      </c>
      <c r="AE432" t="e">
        <f t="shared" si="272"/>
        <v>#VALUE!</v>
      </c>
      <c r="AF432" t="e">
        <f t="shared" si="273"/>
        <v>#VALUE!</v>
      </c>
      <c r="AG432" t="e">
        <f t="shared" si="274"/>
        <v>#VALUE!</v>
      </c>
      <c r="AH432" t="e">
        <f t="shared" si="275"/>
        <v>#VALUE!</v>
      </c>
      <c r="AI432" t="e">
        <f t="shared" si="276"/>
        <v>#VALUE!</v>
      </c>
      <c r="AJ432" s="19" t="e">
        <f t="shared" si="288"/>
        <v>#VALUE!</v>
      </c>
      <c r="AK432" t="e">
        <f t="shared" si="277"/>
        <v>#VALUE!</v>
      </c>
      <c r="AL432" t="e">
        <f t="shared" si="278"/>
        <v>#VALUE!</v>
      </c>
      <c r="AM432" t="e">
        <f t="shared" si="279"/>
        <v>#VALUE!</v>
      </c>
      <c r="AN432" t="e">
        <f t="shared" si="280"/>
        <v>#VALUE!</v>
      </c>
      <c r="AO432" t="e">
        <f t="shared" si="281"/>
        <v>#VALUE!</v>
      </c>
      <c r="AP432" t="e">
        <f t="shared" si="282"/>
        <v>#VALUE!</v>
      </c>
      <c r="AQ432" t="e">
        <f t="shared" si="283"/>
        <v>#VALUE!</v>
      </c>
      <c r="AR432" s="123" t="e">
        <f t="shared" si="289"/>
        <v>#VALUE!</v>
      </c>
      <c r="AS432" t="e">
        <f t="shared" si="284"/>
        <v>#VALUE!</v>
      </c>
      <c r="AT432" s="181" t="e">
        <f>INDEX('stock fisico '!N:N, MATCH(B432, 'stock fisico '!B:B, 0))</f>
        <v>#N/A</v>
      </c>
      <c r="AU432" s="179" t="e">
        <f>INDEX('stock fisico '!D:D, MATCH(B432, 'stock fisico '!B:B, 0))</f>
        <v>#N/A</v>
      </c>
      <c r="AV432" s="177" t="e">
        <f>INDEX('stock fisico '!L:L, MATCH(B432, 'stock fisico '!B:B, 0))</f>
        <v>#N/A</v>
      </c>
    </row>
    <row r="433" spans="1:48" x14ac:dyDescent="0.25">
      <c r="A433" s="181" t="e">
        <f>INDEX('stock fisico '!M:M, MATCH(B433, 'stock fisico '!B:B, 0))</f>
        <v>#N/A</v>
      </c>
      <c r="C433" s="179" t="e">
        <f>INDEX('stock fisico '!C:C, MATCH(B433, 'stock fisico '!B:B, 0))</f>
        <v>#N/A</v>
      </c>
      <c r="D433" s="178" t="e">
        <f>INDEX('stock fisico '!I:I, MATCH(B433, 'stock fisico '!B:B, 0))</f>
        <v>#N/A</v>
      </c>
      <c r="E433" s="173" t="e">
        <f t="shared" si="290"/>
        <v>#VALUE!</v>
      </c>
      <c r="F433" t="e">
        <f t="shared" si="250"/>
        <v>#VALUE!</v>
      </c>
      <c r="G433" t="e">
        <f t="shared" si="251"/>
        <v>#VALUE!</v>
      </c>
      <c r="H433" t="e">
        <f t="shared" si="252"/>
        <v>#VALUE!</v>
      </c>
      <c r="I433" t="e">
        <f t="shared" si="253"/>
        <v>#VALUE!</v>
      </c>
      <c r="J433" t="e">
        <f t="shared" si="254"/>
        <v>#VALUE!</v>
      </c>
      <c r="K433" t="e">
        <f t="shared" si="255"/>
        <v>#VALUE!</v>
      </c>
      <c r="L433" s="175" t="e">
        <f t="shared" si="285"/>
        <v>#VALUE!</v>
      </c>
      <c r="M433" t="e">
        <f t="shared" si="256"/>
        <v>#VALUE!</v>
      </c>
      <c r="N433" t="e">
        <f t="shared" si="257"/>
        <v>#VALUE!</v>
      </c>
      <c r="O433" t="e">
        <f t="shared" si="258"/>
        <v>#VALUE!</v>
      </c>
      <c r="P433" t="e">
        <f t="shared" si="259"/>
        <v>#VALUE!</v>
      </c>
      <c r="Q433" t="e">
        <f t="shared" si="260"/>
        <v>#VALUE!</v>
      </c>
      <c r="R433" t="e">
        <f t="shared" si="261"/>
        <v>#VALUE!</v>
      </c>
      <c r="S433" t="e">
        <f t="shared" si="262"/>
        <v>#VALUE!</v>
      </c>
      <c r="T433" s="174" t="e">
        <f t="shared" si="286"/>
        <v>#VALUE!</v>
      </c>
      <c r="U433" t="e">
        <f t="shared" si="263"/>
        <v>#VALUE!</v>
      </c>
      <c r="V433" t="e">
        <f t="shared" si="264"/>
        <v>#VALUE!</v>
      </c>
      <c r="W433" t="e">
        <f t="shared" si="265"/>
        <v>#VALUE!</v>
      </c>
      <c r="X433" t="e">
        <f t="shared" si="266"/>
        <v>#VALUE!</v>
      </c>
      <c r="Y433" t="e">
        <f t="shared" si="267"/>
        <v>#VALUE!</v>
      </c>
      <c r="Z433" t="e">
        <f t="shared" si="268"/>
        <v>#VALUE!</v>
      </c>
      <c r="AA433" t="e">
        <f t="shared" si="269"/>
        <v>#VALUE!</v>
      </c>
      <c r="AB433" s="23" t="e">
        <f t="shared" si="287"/>
        <v>#VALUE!</v>
      </c>
      <c r="AC433" t="e">
        <f t="shared" si="270"/>
        <v>#VALUE!</v>
      </c>
      <c r="AD433" t="e">
        <f t="shared" si="271"/>
        <v>#VALUE!</v>
      </c>
      <c r="AE433" t="e">
        <f t="shared" si="272"/>
        <v>#VALUE!</v>
      </c>
      <c r="AF433" t="e">
        <f t="shared" si="273"/>
        <v>#VALUE!</v>
      </c>
      <c r="AG433" t="e">
        <f t="shared" si="274"/>
        <v>#VALUE!</v>
      </c>
      <c r="AH433" t="e">
        <f t="shared" si="275"/>
        <v>#VALUE!</v>
      </c>
      <c r="AI433" t="e">
        <f t="shared" si="276"/>
        <v>#VALUE!</v>
      </c>
      <c r="AJ433" s="19" t="e">
        <f t="shared" si="288"/>
        <v>#VALUE!</v>
      </c>
      <c r="AK433" t="e">
        <f t="shared" si="277"/>
        <v>#VALUE!</v>
      </c>
      <c r="AL433" t="e">
        <f t="shared" si="278"/>
        <v>#VALUE!</v>
      </c>
      <c r="AM433" t="e">
        <f t="shared" si="279"/>
        <v>#VALUE!</v>
      </c>
      <c r="AN433" t="e">
        <f t="shared" si="280"/>
        <v>#VALUE!</v>
      </c>
      <c r="AO433" t="e">
        <f t="shared" si="281"/>
        <v>#VALUE!</v>
      </c>
      <c r="AP433" t="e">
        <f t="shared" si="282"/>
        <v>#VALUE!</v>
      </c>
      <c r="AQ433" t="e">
        <f t="shared" si="283"/>
        <v>#VALUE!</v>
      </c>
      <c r="AR433" s="123" t="e">
        <f t="shared" si="289"/>
        <v>#VALUE!</v>
      </c>
      <c r="AS433" t="e">
        <f t="shared" si="284"/>
        <v>#VALUE!</v>
      </c>
      <c r="AT433" s="181" t="e">
        <f>INDEX('stock fisico '!N:N, MATCH(B433, 'stock fisico '!B:B, 0))</f>
        <v>#N/A</v>
      </c>
      <c r="AU433" s="179" t="e">
        <f>INDEX('stock fisico '!D:D, MATCH(B433, 'stock fisico '!B:B, 0))</f>
        <v>#N/A</v>
      </c>
      <c r="AV433" s="177" t="e">
        <f>INDEX('stock fisico '!L:L, MATCH(B433, 'stock fisico '!B:B, 0))</f>
        <v>#N/A</v>
      </c>
    </row>
    <row r="434" spans="1:48" x14ac:dyDescent="0.25">
      <c r="A434" s="181" t="e">
        <f>INDEX('stock fisico '!M:M, MATCH(B434, 'stock fisico '!B:B, 0))</f>
        <v>#N/A</v>
      </c>
      <c r="C434" s="179" t="e">
        <f>INDEX('stock fisico '!C:C, MATCH(B434, 'stock fisico '!B:B, 0))</f>
        <v>#N/A</v>
      </c>
      <c r="D434" s="178" t="e">
        <f>INDEX('stock fisico '!I:I, MATCH(B434, 'stock fisico '!B:B, 0))</f>
        <v>#N/A</v>
      </c>
      <c r="E434" s="173" t="e">
        <f t="shared" si="290"/>
        <v>#VALUE!</v>
      </c>
      <c r="F434" t="e">
        <f t="shared" si="250"/>
        <v>#VALUE!</v>
      </c>
      <c r="G434" t="e">
        <f t="shared" si="251"/>
        <v>#VALUE!</v>
      </c>
      <c r="H434" t="e">
        <f t="shared" si="252"/>
        <v>#VALUE!</v>
      </c>
      <c r="I434" t="e">
        <f t="shared" si="253"/>
        <v>#VALUE!</v>
      </c>
      <c r="J434" t="e">
        <f t="shared" si="254"/>
        <v>#VALUE!</v>
      </c>
      <c r="K434" t="e">
        <f t="shared" si="255"/>
        <v>#VALUE!</v>
      </c>
      <c r="L434" s="175" t="e">
        <f t="shared" si="285"/>
        <v>#VALUE!</v>
      </c>
      <c r="M434" t="e">
        <f t="shared" si="256"/>
        <v>#VALUE!</v>
      </c>
      <c r="N434" t="e">
        <f t="shared" si="257"/>
        <v>#VALUE!</v>
      </c>
      <c r="O434" t="e">
        <f t="shared" si="258"/>
        <v>#VALUE!</v>
      </c>
      <c r="P434" t="e">
        <f t="shared" si="259"/>
        <v>#VALUE!</v>
      </c>
      <c r="Q434" t="e">
        <f t="shared" si="260"/>
        <v>#VALUE!</v>
      </c>
      <c r="R434" t="e">
        <f t="shared" si="261"/>
        <v>#VALUE!</v>
      </c>
      <c r="S434" t="e">
        <f t="shared" si="262"/>
        <v>#VALUE!</v>
      </c>
      <c r="T434" s="174" t="e">
        <f t="shared" si="286"/>
        <v>#VALUE!</v>
      </c>
      <c r="U434" t="e">
        <f t="shared" si="263"/>
        <v>#VALUE!</v>
      </c>
      <c r="V434" t="e">
        <f t="shared" si="264"/>
        <v>#VALUE!</v>
      </c>
      <c r="W434" t="e">
        <f t="shared" si="265"/>
        <v>#VALUE!</v>
      </c>
      <c r="X434" t="e">
        <f t="shared" si="266"/>
        <v>#VALUE!</v>
      </c>
      <c r="Y434" t="e">
        <f t="shared" si="267"/>
        <v>#VALUE!</v>
      </c>
      <c r="Z434" t="e">
        <f t="shared" si="268"/>
        <v>#VALUE!</v>
      </c>
      <c r="AA434" t="e">
        <f t="shared" si="269"/>
        <v>#VALUE!</v>
      </c>
      <c r="AB434" s="23" t="e">
        <f t="shared" si="287"/>
        <v>#VALUE!</v>
      </c>
      <c r="AC434" t="e">
        <f t="shared" si="270"/>
        <v>#VALUE!</v>
      </c>
      <c r="AD434" t="e">
        <f t="shared" si="271"/>
        <v>#VALUE!</v>
      </c>
      <c r="AE434" t="e">
        <f t="shared" si="272"/>
        <v>#VALUE!</v>
      </c>
      <c r="AF434" t="e">
        <f t="shared" si="273"/>
        <v>#VALUE!</v>
      </c>
      <c r="AG434" t="e">
        <f t="shared" si="274"/>
        <v>#VALUE!</v>
      </c>
      <c r="AH434" t="e">
        <f t="shared" si="275"/>
        <v>#VALUE!</v>
      </c>
      <c r="AI434" t="e">
        <f t="shared" si="276"/>
        <v>#VALUE!</v>
      </c>
      <c r="AJ434" s="19" t="e">
        <f t="shared" si="288"/>
        <v>#VALUE!</v>
      </c>
      <c r="AK434" t="e">
        <f t="shared" si="277"/>
        <v>#VALUE!</v>
      </c>
      <c r="AL434" t="e">
        <f t="shared" si="278"/>
        <v>#VALUE!</v>
      </c>
      <c r="AM434" t="e">
        <f t="shared" si="279"/>
        <v>#VALUE!</v>
      </c>
      <c r="AN434" t="e">
        <f t="shared" si="280"/>
        <v>#VALUE!</v>
      </c>
      <c r="AO434" t="e">
        <f t="shared" si="281"/>
        <v>#VALUE!</v>
      </c>
      <c r="AP434" t="e">
        <f t="shared" si="282"/>
        <v>#VALUE!</v>
      </c>
      <c r="AQ434" t="e">
        <f t="shared" si="283"/>
        <v>#VALUE!</v>
      </c>
      <c r="AR434" s="123" t="e">
        <f t="shared" si="289"/>
        <v>#VALUE!</v>
      </c>
      <c r="AS434" t="e">
        <f t="shared" si="284"/>
        <v>#VALUE!</v>
      </c>
      <c r="AT434" s="181" t="e">
        <f>INDEX('stock fisico '!N:N, MATCH(B434, 'stock fisico '!B:B, 0))</f>
        <v>#N/A</v>
      </c>
      <c r="AU434" s="179" t="e">
        <f>INDEX('stock fisico '!D:D, MATCH(B434, 'stock fisico '!B:B, 0))</f>
        <v>#N/A</v>
      </c>
      <c r="AV434" s="177" t="e">
        <f>INDEX('stock fisico '!L:L, MATCH(B434, 'stock fisico '!B:B, 0))</f>
        <v>#N/A</v>
      </c>
    </row>
    <row r="435" spans="1:48" x14ac:dyDescent="0.25">
      <c r="A435" s="181" t="e">
        <f>INDEX('stock fisico '!M:M, MATCH(B435, 'stock fisico '!B:B, 0))</f>
        <v>#N/A</v>
      </c>
      <c r="C435" s="179" t="e">
        <f>INDEX('stock fisico '!C:C, MATCH(B435, 'stock fisico '!B:B, 0))</f>
        <v>#N/A</v>
      </c>
      <c r="D435" s="178" t="e">
        <f>INDEX('stock fisico '!I:I, MATCH(B435, 'stock fisico '!B:B, 0))</f>
        <v>#N/A</v>
      </c>
      <c r="E435" s="173" t="e">
        <f t="shared" si="290"/>
        <v>#VALUE!</v>
      </c>
      <c r="F435" t="e">
        <f t="shared" si="250"/>
        <v>#VALUE!</v>
      </c>
      <c r="G435" t="e">
        <f t="shared" si="251"/>
        <v>#VALUE!</v>
      </c>
      <c r="H435" t="e">
        <f t="shared" si="252"/>
        <v>#VALUE!</v>
      </c>
      <c r="I435" t="e">
        <f t="shared" si="253"/>
        <v>#VALUE!</v>
      </c>
      <c r="J435" t="e">
        <f t="shared" si="254"/>
        <v>#VALUE!</v>
      </c>
      <c r="K435" t="e">
        <f t="shared" si="255"/>
        <v>#VALUE!</v>
      </c>
      <c r="L435" s="175" t="e">
        <f t="shared" si="285"/>
        <v>#VALUE!</v>
      </c>
      <c r="M435" t="e">
        <f t="shared" si="256"/>
        <v>#VALUE!</v>
      </c>
      <c r="N435" t="e">
        <f t="shared" si="257"/>
        <v>#VALUE!</v>
      </c>
      <c r="O435" t="e">
        <f t="shared" si="258"/>
        <v>#VALUE!</v>
      </c>
      <c r="P435" t="e">
        <f t="shared" si="259"/>
        <v>#VALUE!</v>
      </c>
      <c r="Q435" t="e">
        <f t="shared" si="260"/>
        <v>#VALUE!</v>
      </c>
      <c r="R435" t="e">
        <f t="shared" si="261"/>
        <v>#VALUE!</v>
      </c>
      <c r="S435" t="e">
        <f t="shared" si="262"/>
        <v>#VALUE!</v>
      </c>
      <c r="T435" s="174" t="e">
        <f t="shared" si="286"/>
        <v>#VALUE!</v>
      </c>
      <c r="U435" t="e">
        <f t="shared" si="263"/>
        <v>#VALUE!</v>
      </c>
      <c r="V435" t="e">
        <f t="shared" si="264"/>
        <v>#VALUE!</v>
      </c>
      <c r="W435" t="e">
        <f t="shared" si="265"/>
        <v>#VALUE!</v>
      </c>
      <c r="X435" t="e">
        <f t="shared" si="266"/>
        <v>#VALUE!</v>
      </c>
      <c r="Y435" t="e">
        <f t="shared" si="267"/>
        <v>#VALUE!</v>
      </c>
      <c r="Z435" t="e">
        <f t="shared" si="268"/>
        <v>#VALUE!</v>
      </c>
      <c r="AA435" t="e">
        <f t="shared" si="269"/>
        <v>#VALUE!</v>
      </c>
      <c r="AB435" s="23" t="e">
        <f t="shared" si="287"/>
        <v>#VALUE!</v>
      </c>
      <c r="AC435" t="e">
        <f t="shared" si="270"/>
        <v>#VALUE!</v>
      </c>
      <c r="AD435" t="e">
        <f t="shared" si="271"/>
        <v>#VALUE!</v>
      </c>
      <c r="AE435" t="e">
        <f t="shared" si="272"/>
        <v>#VALUE!</v>
      </c>
      <c r="AF435" t="e">
        <f t="shared" si="273"/>
        <v>#VALUE!</v>
      </c>
      <c r="AG435" t="e">
        <f t="shared" si="274"/>
        <v>#VALUE!</v>
      </c>
      <c r="AH435" t="e">
        <f t="shared" si="275"/>
        <v>#VALUE!</v>
      </c>
      <c r="AI435" t="e">
        <f t="shared" si="276"/>
        <v>#VALUE!</v>
      </c>
      <c r="AJ435" s="19" t="e">
        <f t="shared" si="288"/>
        <v>#VALUE!</v>
      </c>
      <c r="AK435" t="e">
        <f t="shared" si="277"/>
        <v>#VALUE!</v>
      </c>
      <c r="AL435" t="e">
        <f t="shared" si="278"/>
        <v>#VALUE!</v>
      </c>
      <c r="AM435" t="e">
        <f t="shared" si="279"/>
        <v>#VALUE!</v>
      </c>
      <c r="AN435" t="e">
        <f t="shared" si="280"/>
        <v>#VALUE!</v>
      </c>
      <c r="AO435" t="e">
        <f t="shared" si="281"/>
        <v>#VALUE!</v>
      </c>
      <c r="AP435" t="e">
        <f t="shared" si="282"/>
        <v>#VALUE!</v>
      </c>
      <c r="AQ435" t="e">
        <f t="shared" si="283"/>
        <v>#VALUE!</v>
      </c>
      <c r="AR435" s="123" t="e">
        <f t="shared" si="289"/>
        <v>#VALUE!</v>
      </c>
      <c r="AS435" t="e">
        <f t="shared" si="284"/>
        <v>#VALUE!</v>
      </c>
      <c r="AT435" s="181" t="e">
        <f>INDEX('stock fisico '!N:N, MATCH(B435, 'stock fisico '!B:B, 0))</f>
        <v>#N/A</v>
      </c>
      <c r="AU435" s="179" t="e">
        <f>INDEX('stock fisico '!D:D, MATCH(B435, 'stock fisico '!B:B, 0))</f>
        <v>#N/A</v>
      </c>
      <c r="AV435" s="177" t="e">
        <f>INDEX('stock fisico '!L:L, MATCH(B435, 'stock fisico '!B:B, 0))</f>
        <v>#N/A</v>
      </c>
    </row>
    <row r="436" spans="1:48" x14ac:dyDescent="0.25">
      <c r="A436" s="181" t="e">
        <f>INDEX('stock fisico '!M:M, MATCH(B436, 'stock fisico '!B:B, 0))</f>
        <v>#N/A</v>
      </c>
      <c r="C436" s="179" t="e">
        <f>INDEX('stock fisico '!C:C, MATCH(B436, 'stock fisico '!B:B, 0))</f>
        <v>#N/A</v>
      </c>
      <c r="D436" s="178" t="e">
        <f>INDEX('stock fisico '!I:I, MATCH(B436, 'stock fisico '!B:B, 0))</f>
        <v>#N/A</v>
      </c>
      <c r="E436" s="173" t="e">
        <f t="shared" si="290"/>
        <v>#VALUE!</v>
      </c>
      <c r="F436" t="e">
        <f t="shared" si="250"/>
        <v>#VALUE!</v>
      </c>
      <c r="G436" t="e">
        <f t="shared" si="251"/>
        <v>#VALUE!</v>
      </c>
      <c r="H436" t="e">
        <f t="shared" si="252"/>
        <v>#VALUE!</v>
      </c>
      <c r="I436" t="e">
        <f t="shared" si="253"/>
        <v>#VALUE!</v>
      </c>
      <c r="J436" t="e">
        <f t="shared" si="254"/>
        <v>#VALUE!</v>
      </c>
      <c r="K436" t="e">
        <f t="shared" si="255"/>
        <v>#VALUE!</v>
      </c>
      <c r="L436" s="175" t="e">
        <f t="shared" si="285"/>
        <v>#VALUE!</v>
      </c>
      <c r="M436" t="e">
        <f t="shared" si="256"/>
        <v>#VALUE!</v>
      </c>
      <c r="N436" t="e">
        <f t="shared" si="257"/>
        <v>#VALUE!</v>
      </c>
      <c r="O436" t="e">
        <f t="shared" si="258"/>
        <v>#VALUE!</v>
      </c>
      <c r="P436" t="e">
        <f t="shared" si="259"/>
        <v>#VALUE!</v>
      </c>
      <c r="Q436" t="e">
        <f t="shared" si="260"/>
        <v>#VALUE!</v>
      </c>
      <c r="R436" t="e">
        <f t="shared" si="261"/>
        <v>#VALUE!</v>
      </c>
      <c r="S436" t="e">
        <f t="shared" si="262"/>
        <v>#VALUE!</v>
      </c>
      <c r="T436" s="174" t="e">
        <f t="shared" si="286"/>
        <v>#VALUE!</v>
      </c>
      <c r="U436" t="e">
        <f t="shared" si="263"/>
        <v>#VALUE!</v>
      </c>
      <c r="V436" t="e">
        <f t="shared" si="264"/>
        <v>#VALUE!</v>
      </c>
      <c r="W436" t="e">
        <f t="shared" si="265"/>
        <v>#VALUE!</v>
      </c>
      <c r="X436" t="e">
        <f t="shared" si="266"/>
        <v>#VALUE!</v>
      </c>
      <c r="Y436" t="e">
        <f t="shared" si="267"/>
        <v>#VALUE!</v>
      </c>
      <c r="Z436" t="e">
        <f t="shared" si="268"/>
        <v>#VALUE!</v>
      </c>
      <c r="AA436" t="e">
        <f t="shared" si="269"/>
        <v>#VALUE!</v>
      </c>
      <c r="AB436" s="23" t="e">
        <f t="shared" si="287"/>
        <v>#VALUE!</v>
      </c>
      <c r="AC436" t="e">
        <f t="shared" si="270"/>
        <v>#VALUE!</v>
      </c>
      <c r="AD436" t="e">
        <f t="shared" si="271"/>
        <v>#VALUE!</v>
      </c>
      <c r="AE436" t="e">
        <f t="shared" si="272"/>
        <v>#VALUE!</v>
      </c>
      <c r="AF436" t="e">
        <f t="shared" si="273"/>
        <v>#VALUE!</v>
      </c>
      <c r="AG436" t="e">
        <f t="shared" si="274"/>
        <v>#VALUE!</v>
      </c>
      <c r="AH436" t="e">
        <f t="shared" si="275"/>
        <v>#VALUE!</v>
      </c>
      <c r="AI436" t="e">
        <f t="shared" si="276"/>
        <v>#VALUE!</v>
      </c>
      <c r="AJ436" s="19" t="e">
        <f t="shared" si="288"/>
        <v>#VALUE!</v>
      </c>
      <c r="AK436" t="e">
        <f t="shared" si="277"/>
        <v>#VALUE!</v>
      </c>
      <c r="AL436" t="e">
        <f t="shared" si="278"/>
        <v>#VALUE!</v>
      </c>
      <c r="AM436" t="e">
        <f t="shared" si="279"/>
        <v>#VALUE!</v>
      </c>
      <c r="AN436" t="e">
        <f t="shared" si="280"/>
        <v>#VALUE!</v>
      </c>
      <c r="AO436" t="e">
        <f t="shared" si="281"/>
        <v>#VALUE!</v>
      </c>
      <c r="AP436" t="e">
        <f t="shared" si="282"/>
        <v>#VALUE!</v>
      </c>
      <c r="AQ436" t="e">
        <f t="shared" si="283"/>
        <v>#VALUE!</v>
      </c>
      <c r="AR436" s="123" t="e">
        <f t="shared" si="289"/>
        <v>#VALUE!</v>
      </c>
      <c r="AS436" t="e">
        <f t="shared" si="284"/>
        <v>#VALUE!</v>
      </c>
      <c r="AT436" s="181" t="e">
        <f>INDEX('stock fisico '!N:N, MATCH(B436, 'stock fisico '!B:B, 0))</f>
        <v>#N/A</v>
      </c>
      <c r="AU436" s="179" t="e">
        <f>INDEX('stock fisico '!D:D, MATCH(B436, 'stock fisico '!B:B, 0))</f>
        <v>#N/A</v>
      </c>
      <c r="AV436" s="177" t="e">
        <f>INDEX('stock fisico '!L:L, MATCH(B436, 'stock fisico '!B:B, 0))</f>
        <v>#N/A</v>
      </c>
    </row>
    <row r="437" spans="1:48" x14ac:dyDescent="0.25">
      <c r="A437" s="181" t="e">
        <f>INDEX('stock fisico '!M:M, MATCH(B437, 'stock fisico '!B:B, 0))</f>
        <v>#N/A</v>
      </c>
      <c r="C437" s="179" t="e">
        <f>INDEX('stock fisico '!C:C, MATCH(B437, 'stock fisico '!B:B, 0))</f>
        <v>#N/A</v>
      </c>
      <c r="D437" s="178" t="e">
        <f>INDEX('stock fisico '!I:I, MATCH(B437, 'stock fisico '!B:B, 0))</f>
        <v>#N/A</v>
      </c>
      <c r="E437" s="173" t="e">
        <f t="shared" si="290"/>
        <v>#VALUE!</v>
      </c>
      <c r="F437" t="e">
        <f t="shared" si="250"/>
        <v>#VALUE!</v>
      </c>
      <c r="G437" t="e">
        <f t="shared" si="251"/>
        <v>#VALUE!</v>
      </c>
      <c r="H437" t="e">
        <f t="shared" si="252"/>
        <v>#VALUE!</v>
      </c>
      <c r="I437" t="e">
        <f t="shared" si="253"/>
        <v>#VALUE!</v>
      </c>
      <c r="J437" t="e">
        <f t="shared" si="254"/>
        <v>#VALUE!</v>
      </c>
      <c r="K437" t="e">
        <f t="shared" si="255"/>
        <v>#VALUE!</v>
      </c>
      <c r="L437" s="175" t="e">
        <f t="shared" si="285"/>
        <v>#VALUE!</v>
      </c>
      <c r="M437" t="e">
        <f t="shared" si="256"/>
        <v>#VALUE!</v>
      </c>
      <c r="N437" t="e">
        <f t="shared" si="257"/>
        <v>#VALUE!</v>
      </c>
      <c r="O437" t="e">
        <f t="shared" si="258"/>
        <v>#VALUE!</v>
      </c>
      <c r="P437" t="e">
        <f t="shared" si="259"/>
        <v>#VALUE!</v>
      </c>
      <c r="Q437" t="e">
        <f t="shared" si="260"/>
        <v>#VALUE!</v>
      </c>
      <c r="R437" t="e">
        <f t="shared" si="261"/>
        <v>#VALUE!</v>
      </c>
      <c r="S437" t="e">
        <f t="shared" si="262"/>
        <v>#VALUE!</v>
      </c>
      <c r="T437" s="174" t="e">
        <f t="shared" si="286"/>
        <v>#VALUE!</v>
      </c>
      <c r="U437" t="e">
        <f t="shared" si="263"/>
        <v>#VALUE!</v>
      </c>
      <c r="V437" t="e">
        <f t="shared" si="264"/>
        <v>#VALUE!</v>
      </c>
      <c r="W437" t="e">
        <f t="shared" si="265"/>
        <v>#VALUE!</v>
      </c>
      <c r="X437" t="e">
        <f t="shared" si="266"/>
        <v>#VALUE!</v>
      </c>
      <c r="Y437" t="e">
        <f t="shared" si="267"/>
        <v>#VALUE!</v>
      </c>
      <c r="Z437" t="e">
        <f t="shared" si="268"/>
        <v>#VALUE!</v>
      </c>
      <c r="AA437" t="e">
        <f t="shared" si="269"/>
        <v>#VALUE!</v>
      </c>
      <c r="AB437" s="23" t="e">
        <f t="shared" si="287"/>
        <v>#VALUE!</v>
      </c>
      <c r="AC437" t="e">
        <f t="shared" si="270"/>
        <v>#VALUE!</v>
      </c>
      <c r="AD437" t="e">
        <f t="shared" si="271"/>
        <v>#VALUE!</v>
      </c>
      <c r="AE437" t="e">
        <f t="shared" si="272"/>
        <v>#VALUE!</v>
      </c>
      <c r="AF437" t="e">
        <f t="shared" si="273"/>
        <v>#VALUE!</v>
      </c>
      <c r="AG437" t="e">
        <f t="shared" si="274"/>
        <v>#VALUE!</v>
      </c>
      <c r="AH437" t="e">
        <f t="shared" si="275"/>
        <v>#VALUE!</v>
      </c>
      <c r="AI437" t="e">
        <f t="shared" si="276"/>
        <v>#VALUE!</v>
      </c>
      <c r="AJ437" s="19" t="e">
        <f t="shared" si="288"/>
        <v>#VALUE!</v>
      </c>
      <c r="AK437" t="e">
        <f t="shared" si="277"/>
        <v>#VALUE!</v>
      </c>
      <c r="AL437" t="e">
        <f t="shared" si="278"/>
        <v>#VALUE!</v>
      </c>
      <c r="AM437" t="e">
        <f t="shared" si="279"/>
        <v>#VALUE!</v>
      </c>
      <c r="AN437" t="e">
        <f t="shared" si="280"/>
        <v>#VALUE!</v>
      </c>
      <c r="AO437" t="e">
        <f t="shared" si="281"/>
        <v>#VALUE!</v>
      </c>
      <c r="AP437" t="e">
        <f t="shared" si="282"/>
        <v>#VALUE!</v>
      </c>
      <c r="AQ437" t="e">
        <f t="shared" si="283"/>
        <v>#VALUE!</v>
      </c>
      <c r="AR437" s="123" t="e">
        <f t="shared" si="289"/>
        <v>#VALUE!</v>
      </c>
      <c r="AS437" t="e">
        <f t="shared" si="284"/>
        <v>#VALUE!</v>
      </c>
      <c r="AT437" s="181" t="e">
        <f>INDEX('stock fisico '!N:N, MATCH(B437, 'stock fisico '!B:B, 0))</f>
        <v>#N/A</v>
      </c>
      <c r="AU437" s="179" t="e">
        <f>INDEX('stock fisico '!D:D, MATCH(B437, 'stock fisico '!B:B, 0))</f>
        <v>#N/A</v>
      </c>
      <c r="AV437" s="177" t="e">
        <f>INDEX('stock fisico '!L:L, MATCH(B437, 'stock fisico '!B:B, 0))</f>
        <v>#N/A</v>
      </c>
    </row>
    <row r="438" spans="1:48" x14ac:dyDescent="0.25">
      <c r="A438" s="181" t="e">
        <f>INDEX('stock fisico '!M:M, MATCH(B438, 'stock fisico '!B:B, 0))</f>
        <v>#N/A</v>
      </c>
      <c r="C438" s="179" t="e">
        <f>INDEX('stock fisico '!C:C, MATCH(B438, 'stock fisico '!B:B, 0))</f>
        <v>#N/A</v>
      </c>
      <c r="D438" s="178" t="e">
        <f>INDEX('stock fisico '!I:I, MATCH(B438, 'stock fisico '!B:B, 0))</f>
        <v>#N/A</v>
      </c>
      <c r="E438" s="173" t="e">
        <f t="shared" si="290"/>
        <v>#VALUE!</v>
      </c>
      <c r="F438" t="e">
        <f t="shared" si="250"/>
        <v>#VALUE!</v>
      </c>
      <c r="G438" t="e">
        <f t="shared" si="251"/>
        <v>#VALUE!</v>
      </c>
      <c r="H438" t="e">
        <f t="shared" si="252"/>
        <v>#VALUE!</v>
      </c>
      <c r="I438" t="e">
        <f t="shared" si="253"/>
        <v>#VALUE!</v>
      </c>
      <c r="J438" t="e">
        <f t="shared" si="254"/>
        <v>#VALUE!</v>
      </c>
      <c r="K438" t="e">
        <f t="shared" si="255"/>
        <v>#VALUE!</v>
      </c>
      <c r="L438" s="175" t="e">
        <f t="shared" si="285"/>
        <v>#VALUE!</v>
      </c>
      <c r="M438" t="e">
        <f t="shared" si="256"/>
        <v>#VALUE!</v>
      </c>
      <c r="N438" t="e">
        <f t="shared" si="257"/>
        <v>#VALUE!</v>
      </c>
      <c r="O438" t="e">
        <f t="shared" si="258"/>
        <v>#VALUE!</v>
      </c>
      <c r="P438" t="e">
        <f t="shared" si="259"/>
        <v>#VALUE!</v>
      </c>
      <c r="Q438" t="e">
        <f t="shared" si="260"/>
        <v>#VALUE!</v>
      </c>
      <c r="R438" t="e">
        <f t="shared" si="261"/>
        <v>#VALUE!</v>
      </c>
      <c r="S438" t="e">
        <f t="shared" si="262"/>
        <v>#VALUE!</v>
      </c>
      <c r="T438" s="174" t="e">
        <f t="shared" si="286"/>
        <v>#VALUE!</v>
      </c>
      <c r="U438" t="e">
        <f t="shared" si="263"/>
        <v>#VALUE!</v>
      </c>
      <c r="V438" t="e">
        <f t="shared" si="264"/>
        <v>#VALUE!</v>
      </c>
      <c r="W438" t="e">
        <f t="shared" si="265"/>
        <v>#VALUE!</v>
      </c>
      <c r="X438" t="e">
        <f t="shared" si="266"/>
        <v>#VALUE!</v>
      </c>
      <c r="Y438" t="e">
        <f t="shared" si="267"/>
        <v>#VALUE!</v>
      </c>
      <c r="Z438" t="e">
        <f t="shared" si="268"/>
        <v>#VALUE!</v>
      </c>
      <c r="AA438" t="e">
        <f t="shared" si="269"/>
        <v>#VALUE!</v>
      </c>
      <c r="AB438" s="23" t="e">
        <f t="shared" si="287"/>
        <v>#VALUE!</v>
      </c>
      <c r="AC438" t="e">
        <f t="shared" si="270"/>
        <v>#VALUE!</v>
      </c>
      <c r="AD438" t="e">
        <f t="shared" si="271"/>
        <v>#VALUE!</v>
      </c>
      <c r="AE438" t="e">
        <f t="shared" si="272"/>
        <v>#VALUE!</v>
      </c>
      <c r="AF438" t="e">
        <f t="shared" si="273"/>
        <v>#VALUE!</v>
      </c>
      <c r="AG438" t="e">
        <f t="shared" si="274"/>
        <v>#VALUE!</v>
      </c>
      <c r="AH438" t="e">
        <f t="shared" si="275"/>
        <v>#VALUE!</v>
      </c>
      <c r="AI438" t="e">
        <f t="shared" si="276"/>
        <v>#VALUE!</v>
      </c>
      <c r="AJ438" s="19" t="e">
        <f t="shared" si="288"/>
        <v>#VALUE!</v>
      </c>
      <c r="AK438" t="e">
        <f t="shared" si="277"/>
        <v>#VALUE!</v>
      </c>
      <c r="AL438" t="e">
        <f t="shared" si="278"/>
        <v>#VALUE!</v>
      </c>
      <c r="AM438" t="e">
        <f t="shared" si="279"/>
        <v>#VALUE!</v>
      </c>
      <c r="AN438" t="e">
        <f t="shared" si="280"/>
        <v>#VALUE!</v>
      </c>
      <c r="AO438" t="e">
        <f t="shared" si="281"/>
        <v>#VALUE!</v>
      </c>
      <c r="AP438" t="e">
        <f t="shared" si="282"/>
        <v>#VALUE!</v>
      </c>
      <c r="AQ438" t="e">
        <f t="shared" si="283"/>
        <v>#VALUE!</v>
      </c>
      <c r="AR438" s="123" t="e">
        <f t="shared" si="289"/>
        <v>#VALUE!</v>
      </c>
      <c r="AS438" t="e">
        <f t="shared" si="284"/>
        <v>#VALUE!</v>
      </c>
      <c r="AT438" s="181" t="e">
        <f>INDEX('stock fisico '!N:N, MATCH(B438, 'stock fisico '!B:B, 0))</f>
        <v>#N/A</v>
      </c>
      <c r="AU438" s="179" t="e">
        <f>INDEX('stock fisico '!D:D, MATCH(B438, 'stock fisico '!B:B, 0))</f>
        <v>#N/A</v>
      </c>
      <c r="AV438" s="177" t="e">
        <f>INDEX('stock fisico '!L:L, MATCH(B438, 'stock fisico '!B:B, 0))</f>
        <v>#N/A</v>
      </c>
    </row>
    <row r="439" spans="1:48" x14ac:dyDescent="0.25">
      <c r="A439" s="181" t="e">
        <f>INDEX('stock fisico '!M:M, MATCH(B439, 'stock fisico '!B:B, 0))</f>
        <v>#N/A</v>
      </c>
      <c r="C439" s="179" t="e">
        <f>INDEX('stock fisico '!C:C, MATCH(B439, 'stock fisico '!B:B, 0))</f>
        <v>#N/A</v>
      </c>
      <c r="D439" s="178" t="e">
        <f>INDEX('stock fisico '!I:I, MATCH(B439, 'stock fisico '!B:B, 0))</f>
        <v>#N/A</v>
      </c>
      <c r="E439" s="173" t="e">
        <f t="shared" si="290"/>
        <v>#VALUE!</v>
      </c>
      <c r="F439" t="e">
        <f t="shared" si="250"/>
        <v>#VALUE!</v>
      </c>
      <c r="G439" t="e">
        <f t="shared" si="251"/>
        <v>#VALUE!</v>
      </c>
      <c r="H439" t="e">
        <f t="shared" si="252"/>
        <v>#VALUE!</v>
      </c>
      <c r="I439" t="e">
        <f t="shared" si="253"/>
        <v>#VALUE!</v>
      </c>
      <c r="J439" t="e">
        <f t="shared" si="254"/>
        <v>#VALUE!</v>
      </c>
      <c r="K439" t="e">
        <f t="shared" si="255"/>
        <v>#VALUE!</v>
      </c>
      <c r="L439" s="175" t="e">
        <f t="shared" si="285"/>
        <v>#VALUE!</v>
      </c>
      <c r="M439" t="e">
        <f t="shared" si="256"/>
        <v>#VALUE!</v>
      </c>
      <c r="N439" t="e">
        <f t="shared" si="257"/>
        <v>#VALUE!</v>
      </c>
      <c r="O439" t="e">
        <f t="shared" si="258"/>
        <v>#VALUE!</v>
      </c>
      <c r="P439" t="e">
        <f t="shared" si="259"/>
        <v>#VALUE!</v>
      </c>
      <c r="Q439" t="e">
        <f t="shared" si="260"/>
        <v>#VALUE!</v>
      </c>
      <c r="R439" t="e">
        <f t="shared" si="261"/>
        <v>#VALUE!</v>
      </c>
      <c r="S439" t="e">
        <f t="shared" si="262"/>
        <v>#VALUE!</v>
      </c>
      <c r="T439" s="174" t="e">
        <f t="shared" si="286"/>
        <v>#VALUE!</v>
      </c>
      <c r="U439" t="e">
        <f t="shared" si="263"/>
        <v>#VALUE!</v>
      </c>
      <c r="V439" t="e">
        <f t="shared" si="264"/>
        <v>#VALUE!</v>
      </c>
      <c r="W439" t="e">
        <f t="shared" si="265"/>
        <v>#VALUE!</v>
      </c>
      <c r="X439" t="e">
        <f t="shared" si="266"/>
        <v>#VALUE!</v>
      </c>
      <c r="Y439" t="e">
        <f t="shared" si="267"/>
        <v>#VALUE!</v>
      </c>
      <c r="Z439" t="e">
        <f t="shared" si="268"/>
        <v>#VALUE!</v>
      </c>
      <c r="AA439" t="e">
        <f t="shared" si="269"/>
        <v>#VALUE!</v>
      </c>
      <c r="AB439" s="23" t="e">
        <f t="shared" si="287"/>
        <v>#VALUE!</v>
      </c>
      <c r="AC439" t="e">
        <f t="shared" si="270"/>
        <v>#VALUE!</v>
      </c>
      <c r="AD439" t="e">
        <f t="shared" si="271"/>
        <v>#VALUE!</v>
      </c>
      <c r="AE439" t="e">
        <f t="shared" si="272"/>
        <v>#VALUE!</v>
      </c>
      <c r="AF439" t="e">
        <f t="shared" si="273"/>
        <v>#VALUE!</v>
      </c>
      <c r="AG439" t="e">
        <f t="shared" si="274"/>
        <v>#VALUE!</v>
      </c>
      <c r="AH439" t="e">
        <f t="shared" si="275"/>
        <v>#VALUE!</v>
      </c>
      <c r="AI439" t="e">
        <f t="shared" si="276"/>
        <v>#VALUE!</v>
      </c>
      <c r="AJ439" s="19" t="e">
        <f t="shared" si="288"/>
        <v>#VALUE!</v>
      </c>
      <c r="AK439" t="e">
        <f t="shared" si="277"/>
        <v>#VALUE!</v>
      </c>
      <c r="AL439" t="e">
        <f t="shared" si="278"/>
        <v>#VALUE!</v>
      </c>
      <c r="AM439" t="e">
        <f t="shared" si="279"/>
        <v>#VALUE!</v>
      </c>
      <c r="AN439" t="e">
        <f t="shared" si="280"/>
        <v>#VALUE!</v>
      </c>
      <c r="AO439" t="e">
        <f t="shared" si="281"/>
        <v>#VALUE!</v>
      </c>
      <c r="AP439" t="e">
        <f t="shared" si="282"/>
        <v>#VALUE!</v>
      </c>
      <c r="AQ439" t="e">
        <f t="shared" si="283"/>
        <v>#VALUE!</v>
      </c>
      <c r="AR439" s="123" t="e">
        <f t="shared" si="289"/>
        <v>#VALUE!</v>
      </c>
      <c r="AS439" t="e">
        <f t="shared" si="284"/>
        <v>#VALUE!</v>
      </c>
      <c r="AT439" s="181" t="e">
        <f>INDEX('stock fisico '!N:N, MATCH(B439, 'stock fisico '!B:B, 0))</f>
        <v>#N/A</v>
      </c>
      <c r="AU439" s="179" t="e">
        <f>INDEX('stock fisico '!D:D, MATCH(B439, 'stock fisico '!B:B, 0))</f>
        <v>#N/A</v>
      </c>
      <c r="AV439" s="177" t="e">
        <f>INDEX('stock fisico '!L:L, MATCH(B439, 'stock fisico '!B:B, 0))</f>
        <v>#N/A</v>
      </c>
    </row>
    <row r="440" spans="1:48" x14ac:dyDescent="0.25">
      <c r="A440" s="181" t="e">
        <f>INDEX('stock fisico '!M:M, MATCH(B440, 'stock fisico '!B:B, 0))</f>
        <v>#N/A</v>
      </c>
      <c r="C440" s="179" t="e">
        <f>INDEX('stock fisico '!C:C, MATCH(B440, 'stock fisico '!B:B, 0))</f>
        <v>#N/A</v>
      </c>
      <c r="D440" s="178" t="e">
        <f>INDEX('stock fisico '!I:I, MATCH(B440, 'stock fisico '!B:B, 0))</f>
        <v>#N/A</v>
      </c>
      <c r="E440" s="173" t="e">
        <f t="shared" si="290"/>
        <v>#VALUE!</v>
      </c>
      <c r="F440" t="e">
        <f t="shared" si="250"/>
        <v>#VALUE!</v>
      </c>
      <c r="G440" t="e">
        <f t="shared" si="251"/>
        <v>#VALUE!</v>
      </c>
      <c r="H440" t="e">
        <f t="shared" si="252"/>
        <v>#VALUE!</v>
      </c>
      <c r="I440" t="e">
        <f t="shared" si="253"/>
        <v>#VALUE!</v>
      </c>
      <c r="J440" t="e">
        <f t="shared" si="254"/>
        <v>#VALUE!</v>
      </c>
      <c r="K440" t="e">
        <f t="shared" si="255"/>
        <v>#VALUE!</v>
      </c>
      <c r="L440" s="175" t="e">
        <f t="shared" si="285"/>
        <v>#VALUE!</v>
      </c>
      <c r="M440" t="e">
        <f t="shared" si="256"/>
        <v>#VALUE!</v>
      </c>
      <c r="N440" t="e">
        <f t="shared" si="257"/>
        <v>#VALUE!</v>
      </c>
      <c r="O440" t="e">
        <f t="shared" si="258"/>
        <v>#VALUE!</v>
      </c>
      <c r="P440" t="e">
        <f t="shared" si="259"/>
        <v>#VALUE!</v>
      </c>
      <c r="Q440" t="e">
        <f t="shared" si="260"/>
        <v>#VALUE!</v>
      </c>
      <c r="R440" t="e">
        <f t="shared" si="261"/>
        <v>#VALUE!</v>
      </c>
      <c r="S440" t="e">
        <f t="shared" si="262"/>
        <v>#VALUE!</v>
      </c>
      <c r="T440" s="174" t="e">
        <f t="shared" si="286"/>
        <v>#VALUE!</v>
      </c>
      <c r="U440" t="e">
        <f t="shared" si="263"/>
        <v>#VALUE!</v>
      </c>
      <c r="V440" t="e">
        <f t="shared" si="264"/>
        <v>#VALUE!</v>
      </c>
      <c r="W440" t="e">
        <f t="shared" si="265"/>
        <v>#VALUE!</v>
      </c>
      <c r="X440" t="e">
        <f t="shared" si="266"/>
        <v>#VALUE!</v>
      </c>
      <c r="Y440" t="e">
        <f t="shared" si="267"/>
        <v>#VALUE!</v>
      </c>
      <c r="Z440" t="e">
        <f t="shared" si="268"/>
        <v>#VALUE!</v>
      </c>
      <c r="AA440" t="e">
        <f t="shared" si="269"/>
        <v>#VALUE!</v>
      </c>
      <c r="AB440" s="23" t="e">
        <f t="shared" si="287"/>
        <v>#VALUE!</v>
      </c>
      <c r="AC440" t="e">
        <f t="shared" si="270"/>
        <v>#VALUE!</v>
      </c>
      <c r="AD440" t="e">
        <f t="shared" si="271"/>
        <v>#VALUE!</v>
      </c>
      <c r="AE440" t="e">
        <f t="shared" si="272"/>
        <v>#VALUE!</v>
      </c>
      <c r="AF440" t="e">
        <f t="shared" si="273"/>
        <v>#VALUE!</v>
      </c>
      <c r="AG440" t="e">
        <f t="shared" si="274"/>
        <v>#VALUE!</v>
      </c>
      <c r="AH440" t="e">
        <f t="shared" si="275"/>
        <v>#VALUE!</v>
      </c>
      <c r="AI440" t="e">
        <f t="shared" si="276"/>
        <v>#VALUE!</v>
      </c>
      <c r="AJ440" s="19" t="e">
        <f t="shared" si="288"/>
        <v>#VALUE!</v>
      </c>
      <c r="AK440" t="e">
        <f t="shared" si="277"/>
        <v>#VALUE!</v>
      </c>
      <c r="AL440" t="e">
        <f t="shared" si="278"/>
        <v>#VALUE!</v>
      </c>
      <c r="AM440" t="e">
        <f t="shared" si="279"/>
        <v>#VALUE!</v>
      </c>
      <c r="AN440" t="e">
        <f t="shared" si="280"/>
        <v>#VALUE!</v>
      </c>
      <c r="AO440" t="e">
        <f t="shared" si="281"/>
        <v>#VALUE!</v>
      </c>
      <c r="AP440" t="e">
        <f t="shared" si="282"/>
        <v>#VALUE!</v>
      </c>
      <c r="AQ440" t="e">
        <f t="shared" si="283"/>
        <v>#VALUE!</v>
      </c>
      <c r="AR440" s="123" t="e">
        <f t="shared" si="289"/>
        <v>#VALUE!</v>
      </c>
      <c r="AS440" t="e">
        <f t="shared" si="284"/>
        <v>#VALUE!</v>
      </c>
      <c r="AT440" s="181" t="e">
        <f>INDEX('stock fisico '!N:N, MATCH(B440, 'stock fisico '!B:B, 0))</f>
        <v>#N/A</v>
      </c>
      <c r="AU440" s="179" t="e">
        <f>INDEX('stock fisico '!D:D, MATCH(B440, 'stock fisico '!B:B, 0))</f>
        <v>#N/A</v>
      </c>
      <c r="AV440" s="177" t="e">
        <f>INDEX('stock fisico '!L:L, MATCH(B440, 'stock fisico '!B:B, 0))</f>
        <v>#N/A</v>
      </c>
    </row>
    <row r="441" spans="1:48" x14ac:dyDescent="0.25">
      <c r="A441" s="181" t="e">
        <f>INDEX('stock fisico '!M:M, MATCH(B441, 'stock fisico '!B:B, 0))</f>
        <v>#N/A</v>
      </c>
      <c r="C441" s="179" t="e">
        <f>INDEX('stock fisico '!C:C, MATCH(B441, 'stock fisico '!B:B, 0))</f>
        <v>#N/A</v>
      </c>
      <c r="D441" s="178" t="e">
        <f>INDEX('stock fisico '!I:I, MATCH(B441, 'stock fisico '!B:B, 0))</f>
        <v>#N/A</v>
      </c>
      <c r="E441" s="173" t="e">
        <f t="shared" si="290"/>
        <v>#VALUE!</v>
      </c>
      <c r="F441" t="e">
        <f t="shared" si="250"/>
        <v>#VALUE!</v>
      </c>
      <c r="G441" t="e">
        <f t="shared" si="251"/>
        <v>#VALUE!</v>
      </c>
      <c r="H441" t="e">
        <f t="shared" si="252"/>
        <v>#VALUE!</v>
      </c>
      <c r="I441" t="e">
        <f t="shared" si="253"/>
        <v>#VALUE!</v>
      </c>
      <c r="J441" t="e">
        <f t="shared" si="254"/>
        <v>#VALUE!</v>
      </c>
      <c r="K441" t="e">
        <f t="shared" si="255"/>
        <v>#VALUE!</v>
      </c>
      <c r="L441" s="175" t="e">
        <f t="shared" si="285"/>
        <v>#VALUE!</v>
      </c>
      <c r="M441" t="e">
        <f t="shared" si="256"/>
        <v>#VALUE!</v>
      </c>
      <c r="N441" t="e">
        <f t="shared" si="257"/>
        <v>#VALUE!</v>
      </c>
      <c r="O441" t="e">
        <f t="shared" si="258"/>
        <v>#VALUE!</v>
      </c>
      <c r="P441" t="e">
        <f t="shared" si="259"/>
        <v>#VALUE!</v>
      </c>
      <c r="Q441" t="e">
        <f t="shared" si="260"/>
        <v>#VALUE!</v>
      </c>
      <c r="R441" t="e">
        <f t="shared" si="261"/>
        <v>#VALUE!</v>
      </c>
      <c r="S441" t="e">
        <f t="shared" si="262"/>
        <v>#VALUE!</v>
      </c>
      <c r="T441" s="174" t="e">
        <f t="shared" si="286"/>
        <v>#VALUE!</v>
      </c>
      <c r="U441" t="e">
        <f t="shared" si="263"/>
        <v>#VALUE!</v>
      </c>
      <c r="V441" t="e">
        <f t="shared" si="264"/>
        <v>#VALUE!</v>
      </c>
      <c r="W441" t="e">
        <f t="shared" si="265"/>
        <v>#VALUE!</v>
      </c>
      <c r="X441" t="e">
        <f t="shared" si="266"/>
        <v>#VALUE!</v>
      </c>
      <c r="Y441" t="e">
        <f t="shared" si="267"/>
        <v>#VALUE!</v>
      </c>
      <c r="Z441" t="e">
        <f t="shared" si="268"/>
        <v>#VALUE!</v>
      </c>
      <c r="AA441" t="e">
        <f t="shared" si="269"/>
        <v>#VALUE!</v>
      </c>
      <c r="AB441" s="23" t="e">
        <f t="shared" si="287"/>
        <v>#VALUE!</v>
      </c>
      <c r="AC441" t="e">
        <f t="shared" si="270"/>
        <v>#VALUE!</v>
      </c>
      <c r="AD441" t="e">
        <f t="shared" si="271"/>
        <v>#VALUE!</v>
      </c>
      <c r="AE441" t="e">
        <f t="shared" si="272"/>
        <v>#VALUE!</v>
      </c>
      <c r="AF441" t="e">
        <f t="shared" si="273"/>
        <v>#VALUE!</v>
      </c>
      <c r="AG441" t="e">
        <f t="shared" si="274"/>
        <v>#VALUE!</v>
      </c>
      <c r="AH441" t="e">
        <f t="shared" si="275"/>
        <v>#VALUE!</v>
      </c>
      <c r="AI441" t="e">
        <f t="shared" si="276"/>
        <v>#VALUE!</v>
      </c>
      <c r="AJ441" s="19" t="e">
        <f t="shared" si="288"/>
        <v>#VALUE!</v>
      </c>
      <c r="AK441" t="e">
        <f t="shared" si="277"/>
        <v>#VALUE!</v>
      </c>
      <c r="AL441" t="e">
        <f t="shared" si="278"/>
        <v>#VALUE!</v>
      </c>
      <c r="AM441" t="e">
        <f t="shared" si="279"/>
        <v>#VALUE!</v>
      </c>
      <c r="AN441" t="e">
        <f t="shared" si="280"/>
        <v>#VALUE!</v>
      </c>
      <c r="AO441" t="e">
        <f t="shared" si="281"/>
        <v>#VALUE!</v>
      </c>
      <c r="AP441" t="e">
        <f t="shared" si="282"/>
        <v>#VALUE!</v>
      </c>
      <c r="AQ441" t="e">
        <f t="shared" si="283"/>
        <v>#VALUE!</v>
      </c>
      <c r="AR441" s="123" t="e">
        <f t="shared" si="289"/>
        <v>#VALUE!</v>
      </c>
      <c r="AS441" t="e">
        <f t="shared" si="284"/>
        <v>#VALUE!</v>
      </c>
      <c r="AT441" s="181" t="e">
        <f>INDEX('stock fisico '!N:N, MATCH(B441, 'stock fisico '!B:B, 0))</f>
        <v>#N/A</v>
      </c>
      <c r="AU441" s="179" t="e">
        <f>INDEX('stock fisico '!D:D, MATCH(B441, 'stock fisico '!B:B, 0))</f>
        <v>#N/A</v>
      </c>
      <c r="AV441" s="177" t="e">
        <f>INDEX('stock fisico '!L:L, MATCH(B441, 'stock fisico '!B:B, 0))</f>
        <v>#N/A</v>
      </c>
    </row>
    <row r="442" spans="1:48" x14ac:dyDescent="0.25">
      <c r="A442" s="181" t="e">
        <f>INDEX('stock fisico '!M:M, MATCH(B442, 'stock fisico '!B:B, 0))</f>
        <v>#N/A</v>
      </c>
      <c r="C442" s="179" t="e">
        <f>INDEX('stock fisico '!C:C, MATCH(B442, 'stock fisico '!B:B, 0))</f>
        <v>#N/A</v>
      </c>
      <c r="D442" s="178" t="e">
        <f>INDEX('stock fisico '!I:I, MATCH(B442, 'stock fisico '!B:B, 0))</f>
        <v>#N/A</v>
      </c>
      <c r="E442" s="173" t="e">
        <f t="shared" si="290"/>
        <v>#VALUE!</v>
      </c>
      <c r="F442" t="e">
        <f t="shared" si="250"/>
        <v>#VALUE!</v>
      </c>
      <c r="G442" t="e">
        <f t="shared" si="251"/>
        <v>#VALUE!</v>
      </c>
      <c r="H442" t="e">
        <f t="shared" si="252"/>
        <v>#VALUE!</v>
      </c>
      <c r="I442" t="e">
        <f t="shared" si="253"/>
        <v>#VALUE!</v>
      </c>
      <c r="J442" t="e">
        <f t="shared" si="254"/>
        <v>#VALUE!</v>
      </c>
      <c r="K442" t="e">
        <f t="shared" si="255"/>
        <v>#VALUE!</v>
      </c>
      <c r="L442" s="175" t="e">
        <f t="shared" si="285"/>
        <v>#VALUE!</v>
      </c>
      <c r="M442" t="e">
        <f t="shared" si="256"/>
        <v>#VALUE!</v>
      </c>
      <c r="N442" t="e">
        <f t="shared" si="257"/>
        <v>#VALUE!</v>
      </c>
      <c r="O442" t="e">
        <f t="shared" si="258"/>
        <v>#VALUE!</v>
      </c>
      <c r="P442" t="e">
        <f t="shared" si="259"/>
        <v>#VALUE!</v>
      </c>
      <c r="Q442" t="e">
        <f t="shared" si="260"/>
        <v>#VALUE!</v>
      </c>
      <c r="R442" t="e">
        <f t="shared" si="261"/>
        <v>#VALUE!</v>
      </c>
      <c r="S442" t="e">
        <f t="shared" si="262"/>
        <v>#VALUE!</v>
      </c>
      <c r="T442" s="174" t="e">
        <f t="shared" si="286"/>
        <v>#VALUE!</v>
      </c>
      <c r="U442" t="e">
        <f t="shared" si="263"/>
        <v>#VALUE!</v>
      </c>
      <c r="V442" t="e">
        <f t="shared" si="264"/>
        <v>#VALUE!</v>
      </c>
      <c r="W442" t="e">
        <f t="shared" si="265"/>
        <v>#VALUE!</v>
      </c>
      <c r="X442" t="e">
        <f t="shared" si="266"/>
        <v>#VALUE!</v>
      </c>
      <c r="Y442" t="e">
        <f t="shared" si="267"/>
        <v>#VALUE!</v>
      </c>
      <c r="Z442" t="e">
        <f t="shared" si="268"/>
        <v>#VALUE!</v>
      </c>
      <c r="AA442" t="e">
        <f t="shared" si="269"/>
        <v>#VALUE!</v>
      </c>
      <c r="AB442" s="23" t="e">
        <f t="shared" si="287"/>
        <v>#VALUE!</v>
      </c>
      <c r="AC442" t="e">
        <f t="shared" si="270"/>
        <v>#VALUE!</v>
      </c>
      <c r="AD442" t="e">
        <f t="shared" si="271"/>
        <v>#VALUE!</v>
      </c>
      <c r="AE442" t="e">
        <f t="shared" si="272"/>
        <v>#VALUE!</v>
      </c>
      <c r="AF442" t="e">
        <f t="shared" si="273"/>
        <v>#VALUE!</v>
      </c>
      <c r="AG442" t="e">
        <f t="shared" si="274"/>
        <v>#VALUE!</v>
      </c>
      <c r="AH442" t="e">
        <f t="shared" si="275"/>
        <v>#VALUE!</v>
      </c>
      <c r="AI442" t="e">
        <f t="shared" si="276"/>
        <v>#VALUE!</v>
      </c>
      <c r="AJ442" s="19" t="e">
        <f t="shared" si="288"/>
        <v>#VALUE!</v>
      </c>
      <c r="AK442" t="e">
        <f t="shared" si="277"/>
        <v>#VALUE!</v>
      </c>
      <c r="AL442" t="e">
        <f t="shared" si="278"/>
        <v>#VALUE!</v>
      </c>
      <c r="AM442" t="e">
        <f t="shared" si="279"/>
        <v>#VALUE!</v>
      </c>
      <c r="AN442" t="e">
        <f t="shared" si="280"/>
        <v>#VALUE!</v>
      </c>
      <c r="AO442" t="e">
        <f t="shared" si="281"/>
        <v>#VALUE!</v>
      </c>
      <c r="AP442" t="e">
        <f t="shared" si="282"/>
        <v>#VALUE!</v>
      </c>
      <c r="AQ442" t="e">
        <f t="shared" si="283"/>
        <v>#VALUE!</v>
      </c>
      <c r="AR442" s="123" t="e">
        <f t="shared" si="289"/>
        <v>#VALUE!</v>
      </c>
      <c r="AS442" t="e">
        <f t="shared" si="284"/>
        <v>#VALUE!</v>
      </c>
      <c r="AT442" s="181" t="e">
        <f>INDEX('stock fisico '!N:N, MATCH(B442, 'stock fisico '!B:B, 0))</f>
        <v>#N/A</v>
      </c>
      <c r="AU442" s="179" t="e">
        <f>INDEX('stock fisico '!D:D, MATCH(B442, 'stock fisico '!B:B, 0))</f>
        <v>#N/A</v>
      </c>
      <c r="AV442" s="177" t="e">
        <f>INDEX('stock fisico '!L:L, MATCH(B442, 'stock fisico '!B:B, 0))</f>
        <v>#N/A</v>
      </c>
    </row>
    <row r="443" spans="1:48" x14ac:dyDescent="0.25">
      <c r="A443" s="181" t="e">
        <f>INDEX('stock fisico '!M:M, MATCH(B443, 'stock fisico '!B:B, 0))</f>
        <v>#N/A</v>
      </c>
      <c r="C443" s="179" t="e">
        <f>INDEX('stock fisico '!C:C, MATCH(B443, 'stock fisico '!B:B, 0))</f>
        <v>#N/A</v>
      </c>
      <c r="D443" s="178" t="e">
        <f>INDEX('stock fisico '!I:I, MATCH(B443, 'stock fisico '!B:B, 0))</f>
        <v>#N/A</v>
      </c>
      <c r="E443" s="173" t="e">
        <f t="shared" si="290"/>
        <v>#VALUE!</v>
      </c>
      <c r="F443" t="e">
        <f t="shared" si="250"/>
        <v>#VALUE!</v>
      </c>
      <c r="G443" t="e">
        <f t="shared" si="251"/>
        <v>#VALUE!</v>
      </c>
      <c r="H443" t="e">
        <f t="shared" si="252"/>
        <v>#VALUE!</v>
      </c>
      <c r="I443" t="e">
        <f t="shared" si="253"/>
        <v>#VALUE!</v>
      </c>
      <c r="J443" t="e">
        <f t="shared" si="254"/>
        <v>#VALUE!</v>
      </c>
      <c r="K443" t="e">
        <f t="shared" si="255"/>
        <v>#VALUE!</v>
      </c>
      <c r="L443" s="175" t="e">
        <f t="shared" si="285"/>
        <v>#VALUE!</v>
      </c>
      <c r="M443" t="e">
        <f t="shared" si="256"/>
        <v>#VALUE!</v>
      </c>
      <c r="N443" t="e">
        <f t="shared" si="257"/>
        <v>#VALUE!</v>
      </c>
      <c r="O443" t="e">
        <f t="shared" si="258"/>
        <v>#VALUE!</v>
      </c>
      <c r="P443" t="e">
        <f t="shared" si="259"/>
        <v>#VALUE!</v>
      </c>
      <c r="Q443" t="e">
        <f t="shared" si="260"/>
        <v>#VALUE!</v>
      </c>
      <c r="R443" t="e">
        <f t="shared" si="261"/>
        <v>#VALUE!</v>
      </c>
      <c r="S443" t="e">
        <f t="shared" si="262"/>
        <v>#VALUE!</v>
      </c>
      <c r="T443" s="174" t="e">
        <f t="shared" si="286"/>
        <v>#VALUE!</v>
      </c>
      <c r="U443" t="e">
        <f t="shared" si="263"/>
        <v>#VALUE!</v>
      </c>
      <c r="V443" t="e">
        <f t="shared" si="264"/>
        <v>#VALUE!</v>
      </c>
      <c r="W443" t="e">
        <f t="shared" si="265"/>
        <v>#VALUE!</v>
      </c>
      <c r="X443" t="e">
        <f t="shared" si="266"/>
        <v>#VALUE!</v>
      </c>
      <c r="Y443" t="e">
        <f t="shared" si="267"/>
        <v>#VALUE!</v>
      </c>
      <c r="Z443" t="e">
        <f t="shared" si="268"/>
        <v>#VALUE!</v>
      </c>
      <c r="AA443" t="e">
        <f t="shared" si="269"/>
        <v>#VALUE!</v>
      </c>
      <c r="AB443" s="23" t="e">
        <f t="shared" si="287"/>
        <v>#VALUE!</v>
      </c>
      <c r="AC443" t="e">
        <f t="shared" si="270"/>
        <v>#VALUE!</v>
      </c>
      <c r="AD443" t="e">
        <f t="shared" si="271"/>
        <v>#VALUE!</v>
      </c>
      <c r="AE443" t="e">
        <f t="shared" si="272"/>
        <v>#VALUE!</v>
      </c>
      <c r="AF443" t="e">
        <f t="shared" si="273"/>
        <v>#VALUE!</v>
      </c>
      <c r="AG443" t="e">
        <f t="shared" si="274"/>
        <v>#VALUE!</v>
      </c>
      <c r="AH443" t="e">
        <f t="shared" si="275"/>
        <v>#VALUE!</v>
      </c>
      <c r="AI443" t="e">
        <f t="shared" si="276"/>
        <v>#VALUE!</v>
      </c>
      <c r="AJ443" s="19" t="e">
        <f t="shared" si="288"/>
        <v>#VALUE!</v>
      </c>
      <c r="AK443" t="e">
        <f t="shared" si="277"/>
        <v>#VALUE!</v>
      </c>
      <c r="AL443" t="e">
        <f t="shared" si="278"/>
        <v>#VALUE!</v>
      </c>
      <c r="AM443" t="e">
        <f t="shared" si="279"/>
        <v>#VALUE!</v>
      </c>
      <c r="AN443" t="e">
        <f t="shared" si="280"/>
        <v>#VALUE!</v>
      </c>
      <c r="AO443" t="e">
        <f t="shared" si="281"/>
        <v>#VALUE!</v>
      </c>
      <c r="AP443" t="e">
        <f t="shared" si="282"/>
        <v>#VALUE!</v>
      </c>
      <c r="AQ443" t="e">
        <f t="shared" si="283"/>
        <v>#VALUE!</v>
      </c>
      <c r="AR443" s="123" t="e">
        <f t="shared" si="289"/>
        <v>#VALUE!</v>
      </c>
      <c r="AS443" t="e">
        <f t="shared" si="284"/>
        <v>#VALUE!</v>
      </c>
      <c r="AT443" s="181" t="e">
        <f>INDEX('stock fisico '!N:N, MATCH(B443, 'stock fisico '!B:B, 0))</f>
        <v>#N/A</v>
      </c>
      <c r="AU443" s="179" t="e">
        <f>INDEX('stock fisico '!D:D, MATCH(B443, 'stock fisico '!B:B, 0))</f>
        <v>#N/A</v>
      </c>
      <c r="AV443" s="177" t="e">
        <f>INDEX('stock fisico '!L:L, MATCH(B443, 'stock fisico '!B:B, 0))</f>
        <v>#N/A</v>
      </c>
    </row>
    <row r="444" spans="1:48" x14ac:dyDescent="0.25">
      <c r="A444" s="181" t="e">
        <f>INDEX('stock fisico '!M:M, MATCH(B444, 'stock fisico '!B:B, 0))</f>
        <v>#N/A</v>
      </c>
      <c r="C444" s="179" t="e">
        <f>INDEX('stock fisico '!C:C, MATCH(B444, 'stock fisico '!B:B, 0))</f>
        <v>#N/A</v>
      </c>
      <c r="D444" s="178" t="e">
        <f>INDEX('stock fisico '!I:I, MATCH(B444, 'stock fisico '!B:B, 0))</f>
        <v>#N/A</v>
      </c>
      <c r="E444" s="173" t="e">
        <f t="shared" si="290"/>
        <v>#VALUE!</v>
      </c>
      <c r="F444" t="e">
        <f t="shared" si="250"/>
        <v>#VALUE!</v>
      </c>
      <c r="G444" t="e">
        <f t="shared" si="251"/>
        <v>#VALUE!</v>
      </c>
      <c r="H444" t="e">
        <f t="shared" si="252"/>
        <v>#VALUE!</v>
      </c>
      <c r="I444" t="e">
        <f t="shared" si="253"/>
        <v>#VALUE!</v>
      </c>
      <c r="J444" t="e">
        <f t="shared" si="254"/>
        <v>#VALUE!</v>
      </c>
      <c r="K444" t="e">
        <f t="shared" si="255"/>
        <v>#VALUE!</v>
      </c>
      <c r="L444" s="175" t="e">
        <f t="shared" si="285"/>
        <v>#VALUE!</v>
      </c>
      <c r="M444" t="e">
        <f t="shared" si="256"/>
        <v>#VALUE!</v>
      </c>
      <c r="N444" t="e">
        <f t="shared" si="257"/>
        <v>#VALUE!</v>
      </c>
      <c r="O444" t="e">
        <f t="shared" si="258"/>
        <v>#VALUE!</v>
      </c>
      <c r="P444" t="e">
        <f t="shared" si="259"/>
        <v>#VALUE!</v>
      </c>
      <c r="Q444" t="e">
        <f t="shared" si="260"/>
        <v>#VALUE!</v>
      </c>
      <c r="R444" t="e">
        <f t="shared" si="261"/>
        <v>#VALUE!</v>
      </c>
      <c r="S444" t="e">
        <f t="shared" si="262"/>
        <v>#VALUE!</v>
      </c>
      <c r="T444" s="174" t="e">
        <f t="shared" si="286"/>
        <v>#VALUE!</v>
      </c>
      <c r="U444" t="e">
        <f t="shared" si="263"/>
        <v>#VALUE!</v>
      </c>
      <c r="V444" t="e">
        <f t="shared" si="264"/>
        <v>#VALUE!</v>
      </c>
      <c r="W444" t="e">
        <f t="shared" si="265"/>
        <v>#VALUE!</v>
      </c>
      <c r="X444" t="e">
        <f t="shared" si="266"/>
        <v>#VALUE!</v>
      </c>
      <c r="Y444" t="e">
        <f t="shared" si="267"/>
        <v>#VALUE!</v>
      </c>
      <c r="Z444" t="e">
        <f t="shared" si="268"/>
        <v>#VALUE!</v>
      </c>
      <c r="AA444" t="e">
        <f t="shared" si="269"/>
        <v>#VALUE!</v>
      </c>
      <c r="AB444" s="23" t="e">
        <f t="shared" si="287"/>
        <v>#VALUE!</v>
      </c>
      <c r="AC444" t="e">
        <f t="shared" si="270"/>
        <v>#VALUE!</v>
      </c>
      <c r="AD444" t="e">
        <f t="shared" si="271"/>
        <v>#VALUE!</v>
      </c>
      <c r="AE444" t="e">
        <f t="shared" si="272"/>
        <v>#VALUE!</v>
      </c>
      <c r="AF444" t="e">
        <f t="shared" si="273"/>
        <v>#VALUE!</v>
      </c>
      <c r="AG444" t="e">
        <f t="shared" si="274"/>
        <v>#VALUE!</v>
      </c>
      <c r="AH444" t="e">
        <f t="shared" si="275"/>
        <v>#VALUE!</v>
      </c>
      <c r="AI444" t="e">
        <f t="shared" si="276"/>
        <v>#VALUE!</v>
      </c>
      <c r="AJ444" s="19" t="e">
        <f t="shared" si="288"/>
        <v>#VALUE!</v>
      </c>
      <c r="AK444" t="e">
        <f t="shared" si="277"/>
        <v>#VALUE!</v>
      </c>
      <c r="AL444" t="e">
        <f t="shared" si="278"/>
        <v>#VALUE!</v>
      </c>
      <c r="AM444" t="e">
        <f t="shared" si="279"/>
        <v>#VALUE!</v>
      </c>
      <c r="AN444" t="e">
        <f t="shared" si="280"/>
        <v>#VALUE!</v>
      </c>
      <c r="AO444" t="e">
        <f t="shared" si="281"/>
        <v>#VALUE!</v>
      </c>
      <c r="AP444" t="e">
        <f t="shared" si="282"/>
        <v>#VALUE!</v>
      </c>
      <c r="AQ444" t="e">
        <f t="shared" si="283"/>
        <v>#VALUE!</v>
      </c>
      <c r="AR444" s="123" t="e">
        <f t="shared" si="289"/>
        <v>#VALUE!</v>
      </c>
      <c r="AS444" t="e">
        <f t="shared" si="284"/>
        <v>#VALUE!</v>
      </c>
      <c r="AT444" s="181" t="e">
        <f>INDEX('stock fisico '!N:N, MATCH(B444, 'stock fisico '!B:B, 0))</f>
        <v>#N/A</v>
      </c>
      <c r="AU444" s="179" t="e">
        <f>INDEX('stock fisico '!D:D, MATCH(B444, 'stock fisico '!B:B, 0))</f>
        <v>#N/A</v>
      </c>
      <c r="AV444" s="177" t="e">
        <f>INDEX('stock fisico '!L:L, MATCH(B444, 'stock fisico '!B:B, 0))</f>
        <v>#N/A</v>
      </c>
    </row>
    <row r="445" spans="1:48" x14ac:dyDescent="0.25">
      <c r="A445" s="181" t="e">
        <f>INDEX('stock fisico '!M:M, MATCH(B445, 'stock fisico '!B:B, 0))</f>
        <v>#N/A</v>
      </c>
      <c r="C445" s="179" t="e">
        <f>INDEX('stock fisico '!C:C, MATCH(B445, 'stock fisico '!B:B, 0))</f>
        <v>#N/A</v>
      </c>
      <c r="D445" s="178" t="e">
        <f>INDEX('stock fisico '!I:I, MATCH(B445, 'stock fisico '!B:B, 0))</f>
        <v>#N/A</v>
      </c>
      <c r="E445" s="173" t="e">
        <f t="shared" si="290"/>
        <v>#VALUE!</v>
      </c>
      <c r="F445" t="e">
        <f t="shared" si="250"/>
        <v>#VALUE!</v>
      </c>
      <c r="G445" t="e">
        <f t="shared" si="251"/>
        <v>#VALUE!</v>
      </c>
      <c r="H445" t="e">
        <f t="shared" si="252"/>
        <v>#VALUE!</v>
      </c>
      <c r="I445" t="e">
        <f t="shared" si="253"/>
        <v>#VALUE!</v>
      </c>
      <c r="J445" t="e">
        <f t="shared" si="254"/>
        <v>#VALUE!</v>
      </c>
      <c r="K445" t="e">
        <f t="shared" si="255"/>
        <v>#VALUE!</v>
      </c>
      <c r="L445" s="175" t="e">
        <f t="shared" si="285"/>
        <v>#VALUE!</v>
      </c>
      <c r="M445" t="e">
        <f t="shared" si="256"/>
        <v>#VALUE!</v>
      </c>
      <c r="N445" t="e">
        <f t="shared" si="257"/>
        <v>#VALUE!</v>
      </c>
      <c r="O445" t="e">
        <f t="shared" si="258"/>
        <v>#VALUE!</v>
      </c>
      <c r="P445" t="e">
        <f t="shared" si="259"/>
        <v>#VALUE!</v>
      </c>
      <c r="Q445" t="e">
        <f t="shared" si="260"/>
        <v>#VALUE!</v>
      </c>
      <c r="R445" t="e">
        <f t="shared" si="261"/>
        <v>#VALUE!</v>
      </c>
      <c r="S445" t="e">
        <f t="shared" si="262"/>
        <v>#VALUE!</v>
      </c>
      <c r="T445" s="174" t="e">
        <f t="shared" si="286"/>
        <v>#VALUE!</v>
      </c>
      <c r="U445" t="e">
        <f t="shared" si="263"/>
        <v>#VALUE!</v>
      </c>
      <c r="V445" t="e">
        <f t="shared" si="264"/>
        <v>#VALUE!</v>
      </c>
      <c r="W445" t="e">
        <f t="shared" si="265"/>
        <v>#VALUE!</v>
      </c>
      <c r="X445" t="e">
        <f t="shared" si="266"/>
        <v>#VALUE!</v>
      </c>
      <c r="Y445" t="e">
        <f t="shared" si="267"/>
        <v>#VALUE!</v>
      </c>
      <c r="Z445" t="e">
        <f t="shared" si="268"/>
        <v>#VALUE!</v>
      </c>
      <c r="AA445" t="e">
        <f t="shared" si="269"/>
        <v>#VALUE!</v>
      </c>
      <c r="AB445" s="23" t="e">
        <f t="shared" si="287"/>
        <v>#VALUE!</v>
      </c>
      <c r="AC445" t="e">
        <f t="shared" si="270"/>
        <v>#VALUE!</v>
      </c>
      <c r="AD445" t="e">
        <f t="shared" si="271"/>
        <v>#VALUE!</v>
      </c>
      <c r="AE445" t="e">
        <f t="shared" si="272"/>
        <v>#VALUE!</v>
      </c>
      <c r="AF445" t="e">
        <f t="shared" si="273"/>
        <v>#VALUE!</v>
      </c>
      <c r="AG445" t="e">
        <f t="shared" si="274"/>
        <v>#VALUE!</v>
      </c>
      <c r="AH445" t="e">
        <f t="shared" si="275"/>
        <v>#VALUE!</v>
      </c>
      <c r="AI445" t="e">
        <f t="shared" si="276"/>
        <v>#VALUE!</v>
      </c>
      <c r="AJ445" s="19" t="e">
        <f t="shared" si="288"/>
        <v>#VALUE!</v>
      </c>
      <c r="AK445" t="e">
        <f t="shared" si="277"/>
        <v>#VALUE!</v>
      </c>
      <c r="AL445" t="e">
        <f t="shared" si="278"/>
        <v>#VALUE!</v>
      </c>
      <c r="AM445" t="e">
        <f t="shared" si="279"/>
        <v>#VALUE!</v>
      </c>
      <c r="AN445" t="e">
        <f t="shared" si="280"/>
        <v>#VALUE!</v>
      </c>
      <c r="AO445" t="e">
        <f t="shared" si="281"/>
        <v>#VALUE!</v>
      </c>
      <c r="AP445" t="e">
        <f t="shared" si="282"/>
        <v>#VALUE!</v>
      </c>
      <c r="AQ445" t="e">
        <f t="shared" si="283"/>
        <v>#VALUE!</v>
      </c>
      <c r="AR445" s="123" t="e">
        <f t="shared" si="289"/>
        <v>#VALUE!</v>
      </c>
      <c r="AS445" t="e">
        <f t="shared" si="284"/>
        <v>#VALUE!</v>
      </c>
      <c r="AT445" s="181" t="e">
        <f>INDEX('stock fisico '!N:N, MATCH(B445, 'stock fisico '!B:B, 0))</f>
        <v>#N/A</v>
      </c>
      <c r="AU445" s="179" t="e">
        <f>INDEX('stock fisico '!D:D, MATCH(B445, 'stock fisico '!B:B, 0))</f>
        <v>#N/A</v>
      </c>
      <c r="AV445" s="177" t="e">
        <f>INDEX('stock fisico '!L:L, MATCH(B445, 'stock fisico '!B:B, 0))</f>
        <v>#N/A</v>
      </c>
    </row>
    <row r="446" spans="1:48" x14ac:dyDescent="0.25">
      <c r="A446" s="181" t="e">
        <f>INDEX('stock fisico '!M:M, MATCH(B446, 'stock fisico '!B:B, 0))</f>
        <v>#N/A</v>
      </c>
      <c r="C446" s="179" t="e">
        <f>INDEX('stock fisico '!C:C, MATCH(B446, 'stock fisico '!B:B, 0))</f>
        <v>#N/A</v>
      </c>
      <c r="D446" s="178" t="e">
        <f>INDEX('stock fisico '!I:I, MATCH(B446, 'stock fisico '!B:B, 0))</f>
        <v>#N/A</v>
      </c>
      <c r="E446" s="173" t="e">
        <f t="shared" si="290"/>
        <v>#VALUE!</v>
      </c>
      <c r="F446" t="e">
        <f t="shared" si="250"/>
        <v>#VALUE!</v>
      </c>
      <c r="G446" t="e">
        <f t="shared" si="251"/>
        <v>#VALUE!</v>
      </c>
      <c r="H446" t="e">
        <f t="shared" si="252"/>
        <v>#VALUE!</v>
      </c>
      <c r="I446" t="e">
        <f t="shared" si="253"/>
        <v>#VALUE!</v>
      </c>
      <c r="J446" t="e">
        <f t="shared" si="254"/>
        <v>#VALUE!</v>
      </c>
      <c r="K446" t="e">
        <f t="shared" si="255"/>
        <v>#VALUE!</v>
      </c>
      <c r="L446" s="175" t="e">
        <f t="shared" si="285"/>
        <v>#VALUE!</v>
      </c>
      <c r="M446" t="e">
        <f t="shared" si="256"/>
        <v>#VALUE!</v>
      </c>
      <c r="N446" t="e">
        <f t="shared" si="257"/>
        <v>#VALUE!</v>
      </c>
      <c r="O446" t="e">
        <f t="shared" si="258"/>
        <v>#VALUE!</v>
      </c>
      <c r="P446" t="e">
        <f t="shared" si="259"/>
        <v>#VALUE!</v>
      </c>
      <c r="Q446" t="e">
        <f t="shared" si="260"/>
        <v>#VALUE!</v>
      </c>
      <c r="R446" t="e">
        <f t="shared" si="261"/>
        <v>#VALUE!</v>
      </c>
      <c r="S446" t="e">
        <f t="shared" si="262"/>
        <v>#VALUE!</v>
      </c>
      <c r="T446" s="174" t="e">
        <f t="shared" si="286"/>
        <v>#VALUE!</v>
      </c>
      <c r="U446" t="e">
        <f t="shared" si="263"/>
        <v>#VALUE!</v>
      </c>
      <c r="V446" t="e">
        <f t="shared" si="264"/>
        <v>#VALUE!</v>
      </c>
      <c r="W446" t="e">
        <f t="shared" si="265"/>
        <v>#VALUE!</v>
      </c>
      <c r="X446" t="e">
        <f t="shared" si="266"/>
        <v>#VALUE!</v>
      </c>
      <c r="Y446" t="e">
        <f t="shared" si="267"/>
        <v>#VALUE!</v>
      </c>
      <c r="Z446" t="e">
        <f t="shared" si="268"/>
        <v>#VALUE!</v>
      </c>
      <c r="AA446" t="e">
        <f t="shared" si="269"/>
        <v>#VALUE!</v>
      </c>
      <c r="AB446" s="23" t="e">
        <f t="shared" si="287"/>
        <v>#VALUE!</v>
      </c>
      <c r="AC446" t="e">
        <f t="shared" si="270"/>
        <v>#VALUE!</v>
      </c>
      <c r="AD446" t="e">
        <f t="shared" si="271"/>
        <v>#VALUE!</v>
      </c>
      <c r="AE446" t="e">
        <f t="shared" si="272"/>
        <v>#VALUE!</v>
      </c>
      <c r="AF446" t="e">
        <f t="shared" si="273"/>
        <v>#VALUE!</v>
      </c>
      <c r="AG446" t="e">
        <f t="shared" si="274"/>
        <v>#VALUE!</v>
      </c>
      <c r="AH446" t="e">
        <f t="shared" si="275"/>
        <v>#VALUE!</v>
      </c>
      <c r="AI446" t="e">
        <f t="shared" si="276"/>
        <v>#VALUE!</v>
      </c>
      <c r="AJ446" s="19" t="e">
        <f t="shared" si="288"/>
        <v>#VALUE!</v>
      </c>
      <c r="AK446" t="e">
        <f t="shared" si="277"/>
        <v>#VALUE!</v>
      </c>
      <c r="AL446" t="e">
        <f t="shared" si="278"/>
        <v>#VALUE!</v>
      </c>
      <c r="AM446" t="e">
        <f t="shared" si="279"/>
        <v>#VALUE!</v>
      </c>
      <c r="AN446" t="e">
        <f t="shared" si="280"/>
        <v>#VALUE!</v>
      </c>
      <c r="AO446" t="e">
        <f t="shared" si="281"/>
        <v>#VALUE!</v>
      </c>
      <c r="AP446" t="e">
        <f t="shared" si="282"/>
        <v>#VALUE!</v>
      </c>
      <c r="AQ446" t="e">
        <f t="shared" si="283"/>
        <v>#VALUE!</v>
      </c>
      <c r="AR446" s="123" t="e">
        <f t="shared" si="289"/>
        <v>#VALUE!</v>
      </c>
      <c r="AS446" t="e">
        <f t="shared" si="284"/>
        <v>#VALUE!</v>
      </c>
      <c r="AT446" s="181" t="e">
        <f>INDEX('stock fisico '!N:N, MATCH(B446, 'stock fisico '!B:B, 0))</f>
        <v>#N/A</v>
      </c>
      <c r="AU446" s="179" t="e">
        <f>INDEX('stock fisico '!D:D, MATCH(B446, 'stock fisico '!B:B, 0))</f>
        <v>#N/A</v>
      </c>
      <c r="AV446" s="177" t="e">
        <f>INDEX('stock fisico '!L:L, MATCH(B446, 'stock fisico '!B:B, 0))</f>
        <v>#N/A</v>
      </c>
    </row>
    <row r="447" spans="1:48" x14ac:dyDescent="0.25">
      <c r="A447" s="181" t="e">
        <f>INDEX('stock fisico '!M:M, MATCH(B447, 'stock fisico '!B:B, 0))</f>
        <v>#N/A</v>
      </c>
      <c r="C447" s="179" t="e">
        <f>INDEX('stock fisico '!C:C, MATCH(B447, 'stock fisico '!B:B, 0))</f>
        <v>#N/A</v>
      </c>
      <c r="D447" s="178" t="e">
        <f>INDEX('stock fisico '!I:I, MATCH(B447, 'stock fisico '!B:B, 0))</f>
        <v>#N/A</v>
      </c>
      <c r="E447" s="173" t="e">
        <f t="shared" si="290"/>
        <v>#VALUE!</v>
      </c>
      <c r="F447" t="e">
        <f t="shared" si="250"/>
        <v>#VALUE!</v>
      </c>
      <c r="G447" t="e">
        <f t="shared" si="251"/>
        <v>#VALUE!</v>
      </c>
      <c r="H447" t="e">
        <f t="shared" si="252"/>
        <v>#VALUE!</v>
      </c>
      <c r="I447" t="e">
        <f t="shared" si="253"/>
        <v>#VALUE!</v>
      </c>
      <c r="J447" t="e">
        <f t="shared" si="254"/>
        <v>#VALUE!</v>
      </c>
      <c r="K447" t="e">
        <f t="shared" si="255"/>
        <v>#VALUE!</v>
      </c>
      <c r="L447" s="175" t="e">
        <f t="shared" si="285"/>
        <v>#VALUE!</v>
      </c>
      <c r="M447" t="e">
        <f t="shared" si="256"/>
        <v>#VALUE!</v>
      </c>
      <c r="N447" t="e">
        <f t="shared" si="257"/>
        <v>#VALUE!</v>
      </c>
      <c r="O447" t="e">
        <f t="shared" si="258"/>
        <v>#VALUE!</v>
      </c>
      <c r="P447" t="e">
        <f t="shared" si="259"/>
        <v>#VALUE!</v>
      </c>
      <c r="Q447" t="e">
        <f t="shared" si="260"/>
        <v>#VALUE!</v>
      </c>
      <c r="R447" t="e">
        <f t="shared" si="261"/>
        <v>#VALUE!</v>
      </c>
      <c r="S447" t="e">
        <f t="shared" si="262"/>
        <v>#VALUE!</v>
      </c>
      <c r="T447" s="174" t="e">
        <f t="shared" si="286"/>
        <v>#VALUE!</v>
      </c>
      <c r="U447" t="e">
        <f t="shared" si="263"/>
        <v>#VALUE!</v>
      </c>
      <c r="V447" t="e">
        <f t="shared" si="264"/>
        <v>#VALUE!</v>
      </c>
      <c r="W447" t="e">
        <f t="shared" si="265"/>
        <v>#VALUE!</v>
      </c>
      <c r="X447" t="e">
        <f t="shared" si="266"/>
        <v>#VALUE!</v>
      </c>
      <c r="Y447" t="e">
        <f t="shared" si="267"/>
        <v>#VALUE!</v>
      </c>
      <c r="Z447" t="e">
        <f t="shared" si="268"/>
        <v>#VALUE!</v>
      </c>
      <c r="AA447" t="e">
        <f t="shared" si="269"/>
        <v>#VALUE!</v>
      </c>
      <c r="AB447" s="23" t="e">
        <f t="shared" si="287"/>
        <v>#VALUE!</v>
      </c>
      <c r="AC447" t="e">
        <f t="shared" si="270"/>
        <v>#VALUE!</v>
      </c>
      <c r="AD447" t="e">
        <f t="shared" si="271"/>
        <v>#VALUE!</v>
      </c>
      <c r="AE447" t="e">
        <f t="shared" si="272"/>
        <v>#VALUE!</v>
      </c>
      <c r="AF447" t="e">
        <f t="shared" si="273"/>
        <v>#VALUE!</v>
      </c>
      <c r="AG447" t="e">
        <f t="shared" si="274"/>
        <v>#VALUE!</v>
      </c>
      <c r="AH447" t="e">
        <f t="shared" si="275"/>
        <v>#VALUE!</v>
      </c>
      <c r="AI447" t="e">
        <f t="shared" si="276"/>
        <v>#VALUE!</v>
      </c>
      <c r="AJ447" s="19" t="e">
        <f t="shared" si="288"/>
        <v>#VALUE!</v>
      </c>
      <c r="AK447" t="e">
        <f t="shared" si="277"/>
        <v>#VALUE!</v>
      </c>
      <c r="AL447" t="e">
        <f t="shared" si="278"/>
        <v>#VALUE!</v>
      </c>
      <c r="AM447" t="e">
        <f t="shared" si="279"/>
        <v>#VALUE!</v>
      </c>
      <c r="AN447" t="e">
        <f t="shared" si="280"/>
        <v>#VALUE!</v>
      </c>
      <c r="AO447" t="e">
        <f t="shared" si="281"/>
        <v>#VALUE!</v>
      </c>
      <c r="AP447" t="e">
        <f t="shared" si="282"/>
        <v>#VALUE!</v>
      </c>
      <c r="AQ447" t="e">
        <f t="shared" si="283"/>
        <v>#VALUE!</v>
      </c>
      <c r="AR447" s="123" t="e">
        <f t="shared" si="289"/>
        <v>#VALUE!</v>
      </c>
      <c r="AS447" t="e">
        <f t="shared" si="284"/>
        <v>#VALUE!</v>
      </c>
      <c r="AT447" s="181" t="e">
        <f>INDEX('stock fisico '!N:N, MATCH(B447, 'stock fisico '!B:B, 0))</f>
        <v>#N/A</v>
      </c>
      <c r="AU447" s="179" t="e">
        <f>INDEX('stock fisico '!D:D, MATCH(B447, 'stock fisico '!B:B, 0))</f>
        <v>#N/A</v>
      </c>
      <c r="AV447" s="177" t="e">
        <f>INDEX('stock fisico '!L:L, MATCH(B447, 'stock fisico '!B:B, 0))</f>
        <v>#N/A</v>
      </c>
    </row>
    <row r="448" spans="1:48" x14ac:dyDescent="0.25">
      <c r="A448" s="181" t="e">
        <f>INDEX('stock fisico '!M:M, MATCH(B448, 'stock fisico '!B:B, 0))</f>
        <v>#N/A</v>
      </c>
      <c r="C448" s="179" t="e">
        <f>INDEX('stock fisico '!C:C, MATCH(B448, 'stock fisico '!B:B, 0))</f>
        <v>#N/A</v>
      </c>
      <c r="D448" s="178" t="e">
        <f>INDEX('stock fisico '!I:I, MATCH(B448, 'stock fisico '!B:B, 0))</f>
        <v>#N/A</v>
      </c>
      <c r="E448" s="173" t="e">
        <f t="shared" si="290"/>
        <v>#VALUE!</v>
      </c>
      <c r="F448" t="e">
        <f t="shared" si="250"/>
        <v>#VALUE!</v>
      </c>
      <c r="G448" t="e">
        <f t="shared" si="251"/>
        <v>#VALUE!</v>
      </c>
      <c r="H448" t="e">
        <f t="shared" si="252"/>
        <v>#VALUE!</v>
      </c>
      <c r="I448" t="e">
        <f t="shared" si="253"/>
        <v>#VALUE!</v>
      </c>
      <c r="J448" t="e">
        <f t="shared" si="254"/>
        <v>#VALUE!</v>
      </c>
      <c r="K448" t="e">
        <f t="shared" si="255"/>
        <v>#VALUE!</v>
      </c>
      <c r="L448" s="175" t="e">
        <f t="shared" si="285"/>
        <v>#VALUE!</v>
      </c>
      <c r="M448" t="e">
        <f t="shared" si="256"/>
        <v>#VALUE!</v>
      </c>
      <c r="N448" t="e">
        <f t="shared" si="257"/>
        <v>#VALUE!</v>
      </c>
      <c r="O448" t="e">
        <f t="shared" si="258"/>
        <v>#VALUE!</v>
      </c>
      <c r="P448" t="e">
        <f t="shared" si="259"/>
        <v>#VALUE!</v>
      </c>
      <c r="Q448" t="e">
        <f t="shared" si="260"/>
        <v>#VALUE!</v>
      </c>
      <c r="R448" t="e">
        <f t="shared" si="261"/>
        <v>#VALUE!</v>
      </c>
      <c r="S448" t="e">
        <f t="shared" si="262"/>
        <v>#VALUE!</v>
      </c>
      <c r="T448" s="174" t="e">
        <f t="shared" si="286"/>
        <v>#VALUE!</v>
      </c>
      <c r="U448" t="e">
        <f t="shared" si="263"/>
        <v>#VALUE!</v>
      </c>
      <c r="V448" t="e">
        <f t="shared" si="264"/>
        <v>#VALUE!</v>
      </c>
      <c r="W448" t="e">
        <f t="shared" si="265"/>
        <v>#VALUE!</v>
      </c>
      <c r="X448" t="e">
        <f t="shared" si="266"/>
        <v>#VALUE!</v>
      </c>
      <c r="Y448" t="e">
        <f t="shared" si="267"/>
        <v>#VALUE!</v>
      </c>
      <c r="Z448" t="e">
        <f t="shared" si="268"/>
        <v>#VALUE!</v>
      </c>
      <c r="AA448" t="e">
        <f t="shared" si="269"/>
        <v>#VALUE!</v>
      </c>
      <c r="AB448" s="23" t="e">
        <f t="shared" si="287"/>
        <v>#VALUE!</v>
      </c>
      <c r="AC448" t="e">
        <f t="shared" si="270"/>
        <v>#VALUE!</v>
      </c>
      <c r="AD448" t="e">
        <f t="shared" si="271"/>
        <v>#VALUE!</v>
      </c>
      <c r="AE448" t="e">
        <f t="shared" si="272"/>
        <v>#VALUE!</v>
      </c>
      <c r="AF448" t="e">
        <f t="shared" si="273"/>
        <v>#VALUE!</v>
      </c>
      <c r="AG448" t="e">
        <f t="shared" si="274"/>
        <v>#VALUE!</v>
      </c>
      <c r="AH448" t="e">
        <f t="shared" si="275"/>
        <v>#VALUE!</v>
      </c>
      <c r="AI448" t="e">
        <f t="shared" si="276"/>
        <v>#VALUE!</v>
      </c>
      <c r="AJ448" s="19" t="e">
        <f t="shared" si="288"/>
        <v>#VALUE!</v>
      </c>
      <c r="AK448" t="e">
        <f t="shared" si="277"/>
        <v>#VALUE!</v>
      </c>
      <c r="AL448" t="e">
        <f t="shared" si="278"/>
        <v>#VALUE!</v>
      </c>
      <c r="AM448" t="e">
        <f t="shared" si="279"/>
        <v>#VALUE!</v>
      </c>
      <c r="AN448" t="e">
        <f t="shared" si="280"/>
        <v>#VALUE!</v>
      </c>
      <c r="AO448" t="e">
        <f t="shared" si="281"/>
        <v>#VALUE!</v>
      </c>
      <c r="AP448" t="e">
        <f t="shared" si="282"/>
        <v>#VALUE!</v>
      </c>
      <c r="AQ448" t="e">
        <f t="shared" si="283"/>
        <v>#VALUE!</v>
      </c>
      <c r="AR448" s="123" t="e">
        <f t="shared" si="289"/>
        <v>#VALUE!</v>
      </c>
      <c r="AS448" t="e">
        <f t="shared" si="284"/>
        <v>#VALUE!</v>
      </c>
      <c r="AT448" s="181" t="e">
        <f>INDEX('stock fisico '!N:N, MATCH(B448, 'stock fisico '!B:B, 0))</f>
        <v>#N/A</v>
      </c>
      <c r="AU448" s="179" t="e">
        <f>INDEX('stock fisico '!D:D, MATCH(B448, 'stock fisico '!B:B, 0))</f>
        <v>#N/A</v>
      </c>
      <c r="AV448" s="177" t="e">
        <f>INDEX('stock fisico '!L:L, MATCH(B448, 'stock fisico '!B:B, 0))</f>
        <v>#N/A</v>
      </c>
    </row>
    <row r="449" spans="1:48" x14ac:dyDescent="0.25">
      <c r="A449" s="181" t="e">
        <f>INDEX('stock fisico '!M:M, MATCH(B449, 'stock fisico '!B:B, 0))</f>
        <v>#N/A</v>
      </c>
      <c r="C449" s="179" t="e">
        <f>INDEX('stock fisico '!C:C, MATCH(B449, 'stock fisico '!B:B, 0))</f>
        <v>#N/A</v>
      </c>
      <c r="D449" s="178" t="e">
        <f>INDEX('stock fisico '!I:I, MATCH(B449, 'stock fisico '!B:B, 0))</f>
        <v>#N/A</v>
      </c>
      <c r="E449" s="173" t="e">
        <f t="shared" si="290"/>
        <v>#VALUE!</v>
      </c>
      <c r="F449" t="e">
        <f t="shared" si="250"/>
        <v>#VALUE!</v>
      </c>
      <c r="G449" t="e">
        <f t="shared" si="251"/>
        <v>#VALUE!</v>
      </c>
      <c r="H449" t="e">
        <f t="shared" si="252"/>
        <v>#VALUE!</v>
      </c>
      <c r="I449" t="e">
        <f t="shared" si="253"/>
        <v>#VALUE!</v>
      </c>
      <c r="J449" t="e">
        <f t="shared" si="254"/>
        <v>#VALUE!</v>
      </c>
      <c r="K449" t="e">
        <f t="shared" si="255"/>
        <v>#VALUE!</v>
      </c>
      <c r="L449" s="175" t="e">
        <f t="shared" si="285"/>
        <v>#VALUE!</v>
      </c>
      <c r="M449" t="e">
        <f t="shared" si="256"/>
        <v>#VALUE!</v>
      </c>
      <c r="N449" t="e">
        <f t="shared" si="257"/>
        <v>#VALUE!</v>
      </c>
      <c r="O449" t="e">
        <f t="shared" si="258"/>
        <v>#VALUE!</v>
      </c>
      <c r="P449" t="e">
        <f t="shared" si="259"/>
        <v>#VALUE!</v>
      </c>
      <c r="Q449" t="e">
        <f t="shared" si="260"/>
        <v>#VALUE!</v>
      </c>
      <c r="R449" t="e">
        <f t="shared" si="261"/>
        <v>#VALUE!</v>
      </c>
      <c r="S449" t="e">
        <f t="shared" si="262"/>
        <v>#VALUE!</v>
      </c>
      <c r="T449" s="174" t="e">
        <f t="shared" si="286"/>
        <v>#VALUE!</v>
      </c>
      <c r="U449" t="e">
        <f t="shared" si="263"/>
        <v>#VALUE!</v>
      </c>
      <c r="V449" t="e">
        <f t="shared" si="264"/>
        <v>#VALUE!</v>
      </c>
      <c r="W449" t="e">
        <f t="shared" si="265"/>
        <v>#VALUE!</v>
      </c>
      <c r="X449" t="e">
        <f t="shared" si="266"/>
        <v>#VALUE!</v>
      </c>
      <c r="Y449" t="e">
        <f t="shared" si="267"/>
        <v>#VALUE!</v>
      </c>
      <c r="Z449" t="e">
        <f t="shared" si="268"/>
        <v>#VALUE!</v>
      </c>
      <c r="AA449" t="e">
        <f t="shared" si="269"/>
        <v>#VALUE!</v>
      </c>
      <c r="AB449" s="23" t="e">
        <f t="shared" si="287"/>
        <v>#VALUE!</v>
      </c>
      <c r="AC449" t="e">
        <f t="shared" si="270"/>
        <v>#VALUE!</v>
      </c>
      <c r="AD449" t="e">
        <f t="shared" si="271"/>
        <v>#VALUE!</v>
      </c>
      <c r="AE449" t="e">
        <f t="shared" si="272"/>
        <v>#VALUE!</v>
      </c>
      <c r="AF449" t="e">
        <f t="shared" si="273"/>
        <v>#VALUE!</v>
      </c>
      <c r="AG449" t="e">
        <f t="shared" si="274"/>
        <v>#VALUE!</v>
      </c>
      <c r="AH449" t="e">
        <f t="shared" si="275"/>
        <v>#VALUE!</v>
      </c>
      <c r="AI449" t="e">
        <f t="shared" si="276"/>
        <v>#VALUE!</v>
      </c>
      <c r="AJ449" s="19" t="e">
        <f t="shared" si="288"/>
        <v>#VALUE!</v>
      </c>
      <c r="AK449" t="e">
        <f t="shared" si="277"/>
        <v>#VALUE!</v>
      </c>
      <c r="AL449" t="e">
        <f t="shared" si="278"/>
        <v>#VALUE!</v>
      </c>
      <c r="AM449" t="e">
        <f t="shared" si="279"/>
        <v>#VALUE!</v>
      </c>
      <c r="AN449" t="e">
        <f t="shared" si="280"/>
        <v>#VALUE!</v>
      </c>
      <c r="AO449" t="e">
        <f t="shared" si="281"/>
        <v>#VALUE!</v>
      </c>
      <c r="AP449" t="e">
        <f t="shared" si="282"/>
        <v>#VALUE!</v>
      </c>
      <c r="AQ449" t="e">
        <f t="shared" si="283"/>
        <v>#VALUE!</v>
      </c>
      <c r="AR449" s="123" t="e">
        <f t="shared" si="289"/>
        <v>#VALUE!</v>
      </c>
      <c r="AS449" t="e">
        <f t="shared" si="284"/>
        <v>#VALUE!</v>
      </c>
      <c r="AT449" s="181" t="e">
        <f>INDEX('stock fisico '!N:N, MATCH(B449, 'stock fisico '!B:B, 0))</f>
        <v>#N/A</v>
      </c>
      <c r="AU449" s="179" t="e">
        <f>INDEX('stock fisico '!D:D, MATCH(B449, 'stock fisico '!B:B, 0))</f>
        <v>#N/A</v>
      </c>
      <c r="AV449" s="177" t="e">
        <f>INDEX('stock fisico '!L:L, MATCH(B449, 'stock fisico '!B:B, 0))</f>
        <v>#N/A</v>
      </c>
    </row>
    <row r="450" spans="1:48" x14ac:dyDescent="0.25">
      <c r="A450" s="181" t="e">
        <f>INDEX('stock fisico '!M:M, MATCH(B450, 'stock fisico '!B:B, 0))</f>
        <v>#N/A</v>
      </c>
      <c r="C450" s="179" t="e">
        <f>INDEX('stock fisico '!C:C, MATCH(B450, 'stock fisico '!B:B, 0))</f>
        <v>#N/A</v>
      </c>
      <c r="D450" s="178" t="e">
        <f>INDEX('stock fisico '!I:I, MATCH(B450, 'stock fisico '!B:B, 0))</f>
        <v>#N/A</v>
      </c>
      <c r="E450" s="173" t="e">
        <f t="shared" si="290"/>
        <v>#VALUE!</v>
      </c>
      <c r="F450" t="e">
        <f t="shared" si="250"/>
        <v>#VALUE!</v>
      </c>
      <c r="G450" t="e">
        <f t="shared" si="251"/>
        <v>#VALUE!</v>
      </c>
      <c r="H450" t="e">
        <f t="shared" si="252"/>
        <v>#VALUE!</v>
      </c>
      <c r="I450" t="e">
        <f t="shared" si="253"/>
        <v>#VALUE!</v>
      </c>
      <c r="J450" t="e">
        <f t="shared" si="254"/>
        <v>#VALUE!</v>
      </c>
      <c r="K450" t="e">
        <f t="shared" si="255"/>
        <v>#VALUE!</v>
      </c>
      <c r="L450" s="175" t="e">
        <f t="shared" si="285"/>
        <v>#VALUE!</v>
      </c>
      <c r="M450" t="e">
        <f t="shared" si="256"/>
        <v>#VALUE!</v>
      </c>
      <c r="N450" t="e">
        <f t="shared" si="257"/>
        <v>#VALUE!</v>
      </c>
      <c r="O450" t="e">
        <f t="shared" si="258"/>
        <v>#VALUE!</v>
      </c>
      <c r="P450" t="e">
        <f t="shared" si="259"/>
        <v>#VALUE!</v>
      </c>
      <c r="Q450" t="e">
        <f t="shared" si="260"/>
        <v>#VALUE!</v>
      </c>
      <c r="R450" t="e">
        <f t="shared" si="261"/>
        <v>#VALUE!</v>
      </c>
      <c r="S450" t="e">
        <f t="shared" si="262"/>
        <v>#VALUE!</v>
      </c>
      <c r="T450" s="174" t="e">
        <f t="shared" si="286"/>
        <v>#VALUE!</v>
      </c>
      <c r="U450" t="e">
        <f t="shared" si="263"/>
        <v>#VALUE!</v>
      </c>
      <c r="V450" t="e">
        <f t="shared" si="264"/>
        <v>#VALUE!</v>
      </c>
      <c r="W450" t="e">
        <f t="shared" si="265"/>
        <v>#VALUE!</v>
      </c>
      <c r="X450" t="e">
        <f t="shared" si="266"/>
        <v>#VALUE!</v>
      </c>
      <c r="Y450" t="e">
        <f t="shared" si="267"/>
        <v>#VALUE!</v>
      </c>
      <c r="Z450" t="e">
        <f t="shared" si="268"/>
        <v>#VALUE!</v>
      </c>
      <c r="AA450" t="e">
        <f t="shared" si="269"/>
        <v>#VALUE!</v>
      </c>
      <c r="AB450" s="23" t="e">
        <f t="shared" si="287"/>
        <v>#VALUE!</v>
      </c>
      <c r="AC450" t="e">
        <f t="shared" si="270"/>
        <v>#VALUE!</v>
      </c>
      <c r="AD450" t="e">
        <f t="shared" si="271"/>
        <v>#VALUE!</v>
      </c>
      <c r="AE450" t="e">
        <f t="shared" si="272"/>
        <v>#VALUE!</v>
      </c>
      <c r="AF450" t="e">
        <f t="shared" si="273"/>
        <v>#VALUE!</v>
      </c>
      <c r="AG450" t="e">
        <f t="shared" si="274"/>
        <v>#VALUE!</v>
      </c>
      <c r="AH450" t="e">
        <f t="shared" si="275"/>
        <v>#VALUE!</v>
      </c>
      <c r="AI450" t="e">
        <f t="shared" si="276"/>
        <v>#VALUE!</v>
      </c>
      <c r="AJ450" s="19" t="e">
        <f t="shared" si="288"/>
        <v>#VALUE!</v>
      </c>
      <c r="AK450" t="e">
        <f t="shared" si="277"/>
        <v>#VALUE!</v>
      </c>
      <c r="AL450" t="e">
        <f t="shared" si="278"/>
        <v>#VALUE!</v>
      </c>
      <c r="AM450" t="e">
        <f t="shared" si="279"/>
        <v>#VALUE!</v>
      </c>
      <c r="AN450" t="e">
        <f t="shared" si="280"/>
        <v>#VALUE!</v>
      </c>
      <c r="AO450" t="e">
        <f t="shared" si="281"/>
        <v>#VALUE!</v>
      </c>
      <c r="AP450" t="e">
        <f t="shared" si="282"/>
        <v>#VALUE!</v>
      </c>
      <c r="AQ450" t="e">
        <f t="shared" si="283"/>
        <v>#VALUE!</v>
      </c>
      <c r="AR450" s="123" t="e">
        <f t="shared" si="289"/>
        <v>#VALUE!</v>
      </c>
      <c r="AS450" t="e">
        <f t="shared" si="284"/>
        <v>#VALUE!</v>
      </c>
      <c r="AT450" s="181" t="e">
        <f>INDEX('stock fisico '!N:N, MATCH(B450, 'stock fisico '!B:B, 0))</f>
        <v>#N/A</v>
      </c>
      <c r="AU450" s="179" t="e">
        <f>INDEX('stock fisico '!D:D, MATCH(B450, 'stock fisico '!B:B, 0))</f>
        <v>#N/A</v>
      </c>
      <c r="AV450" s="177" t="e">
        <f>INDEX('stock fisico '!L:L, MATCH(B450, 'stock fisico '!B:B, 0))</f>
        <v>#N/A</v>
      </c>
    </row>
    <row r="451" spans="1:48" x14ac:dyDescent="0.25">
      <c r="A451" s="181" t="e">
        <f>INDEX('stock fisico '!M:M, MATCH(B451, 'stock fisico '!B:B, 0))</f>
        <v>#N/A</v>
      </c>
      <c r="C451" s="179" t="e">
        <f>INDEX('stock fisico '!C:C, MATCH(B451, 'stock fisico '!B:B, 0))</f>
        <v>#N/A</v>
      </c>
      <c r="D451" s="178" t="e">
        <f>INDEX('stock fisico '!I:I, MATCH(B451, 'stock fisico '!B:B, 0))</f>
        <v>#N/A</v>
      </c>
      <c r="E451" s="173" t="e">
        <f t="shared" si="290"/>
        <v>#VALUE!</v>
      </c>
      <c r="F451" t="e">
        <f t="shared" si="250"/>
        <v>#VALUE!</v>
      </c>
      <c r="G451" t="e">
        <f t="shared" si="251"/>
        <v>#VALUE!</v>
      </c>
      <c r="H451" t="e">
        <f t="shared" si="252"/>
        <v>#VALUE!</v>
      </c>
      <c r="I451" t="e">
        <f t="shared" si="253"/>
        <v>#VALUE!</v>
      </c>
      <c r="J451" t="e">
        <f t="shared" si="254"/>
        <v>#VALUE!</v>
      </c>
      <c r="K451" t="e">
        <f t="shared" si="255"/>
        <v>#VALUE!</v>
      </c>
      <c r="L451" s="175" t="e">
        <f t="shared" si="285"/>
        <v>#VALUE!</v>
      </c>
      <c r="M451" t="e">
        <f t="shared" si="256"/>
        <v>#VALUE!</v>
      </c>
      <c r="N451" t="e">
        <f t="shared" si="257"/>
        <v>#VALUE!</v>
      </c>
      <c r="O451" t="e">
        <f t="shared" si="258"/>
        <v>#VALUE!</v>
      </c>
      <c r="P451" t="e">
        <f t="shared" si="259"/>
        <v>#VALUE!</v>
      </c>
      <c r="Q451" t="e">
        <f t="shared" si="260"/>
        <v>#VALUE!</v>
      </c>
      <c r="R451" t="e">
        <f t="shared" si="261"/>
        <v>#VALUE!</v>
      </c>
      <c r="S451" t="e">
        <f t="shared" si="262"/>
        <v>#VALUE!</v>
      </c>
      <c r="T451" s="174" t="e">
        <f t="shared" si="286"/>
        <v>#VALUE!</v>
      </c>
      <c r="U451" t="e">
        <f t="shared" si="263"/>
        <v>#VALUE!</v>
      </c>
      <c r="V451" t="e">
        <f t="shared" si="264"/>
        <v>#VALUE!</v>
      </c>
      <c r="W451" t="e">
        <f t="shared" si="265"/>
        <v>#VALUE!</v>
      </c>
      <c r="X451" t="e">
        <f t="shared" si="266"/>
        <v>#VALUE!</v>
      </c>
      <c r="Y451" t="e">
        <f t="shared" si="267"/>
        <v>#VALUE!</v>
      </c>
      <c r="Z451" t="e">
        <f t="shared" si="268"/>
        <v>#VALUE!</v>
      </c>
      <c r="AA451" t="e">
        <f t="shared" si="269"/>
        <v>#VALUE!</v>
      </c>
      <c r="AB451" s="23" t="e">
        <f t="shared" si="287"/>
        <v>#VALUE!</v>
      </c>
      <c r="AC451" t="e">
        <f t="shared" si="270"/>
        <v>#VALUE!</v>
      </c>
      <c r="AD451" t="e">
        <f t="shared" si="271"/>
        <v>#VALUE!</v>
      </c>
      <c r="AE451" t="e">
        <f t="shared" si="272"/>
        <v>#VALUE!</v>
      </c>
      <c r="AF451" t="e">
        <f t="shared" si="273"/>
        <v>#VALUE!</v>
      </c>
      <c r="AG451" t="e">
        <f t="shared" si="274"/>
        <v>#VALUE!</v>
      </c>
      <c r="AH451" t="e">
        <f t="shared" si="275"/>
        <v>#VALUE!</v>
      </c>
      <c r="AI451" t="e">
        <f t="shared" si="276"/>
        <v>#VALUE!</v>
      </c>
      <c r="AJ451" s="19" t="e">
        <f t="shared" si="288"/>
        <v>#VALUE!</v>
      </c>
      <c r="AK451" t="e">
        <f t="shared" si="277"/>
        <v>#VALUE!</v>
      </c>
      <c r="AL451" t="e">
        <f t="shared" si="278"/>
        <v>#VALUE!</v>
      </c>
      <c r="AM451" t="e">
        <f t="shared" si="279"/>
        <v>#VALUE!</v>
      </c>
      <c r="AN451" t="e">
        <f t="shared" si="280"/>
        <v>#VALUE!</v>
      </c>
      <c r="AO451" t="e">
        <f t="shared" si="281"/>
        <v>#VALUE!</v>
      </c>
      <c r="AP451" t="e">
        <f t="shared" si="282"/>
        <v>#VALUE!</v>
      </c>
      <c r="AQ451" t="e">
        <f t="shared" si="283"/>
        <v>#VALUE!</v>
      </c>
      <c r="AR451" s="123" t="e">
        <f t="shared" si="289"/>
        <v>#VALUE!</v>
      </c>
      <c r="AS451" t="e">
        <f t="shared" si="284"/>
        <v>#VALUE!</v>
      </c>
      <c r="AT451" s="181" t="e">
        <f>INDEX('stock fisico '!N:N, MATCH(B451, 'stock fisico '!B:B, 0))</f>
        <v>#N/A</v>
      </c>
      <c r="AU451" s="179" t="e">
        <f>INDEX('stock fisico '!D:D, MATCH(B451, 'stock fisico '!B:B, 0))</f>
        <v>#N/A</v>
      </c>
      <c r="AV451" s="177" t="e">
        <f>INDEX('stock fisico '!L:L, MATCH(B451, 'stock fisico '!B:B, 0))</f>
        <v>#N/A</v>
      </c>
    </row>
    <row r="452" spans="1:48" x14ac:dyDescent="0.25">
      <c r="A452" s="181" t="e">
        <f>INDEX('stock fisico '!M:M, MATCH(B452, 'stock fisico '!B:B, 0))</f>
        <v>#N/A</v>
      </c>
      <c r="C452" s="179" t="e">
        <f>INDEX('stock fisico '!C:C, MATCH(B452, 'stock fisico '!B:B, 0))</f>
        <v>#N/A</v>
      </c>
      <c r="D452" s="178" t="e">
        <f>INDEX('stock fisico '!I:I, MATCH(B452, 'stock fisico '!B:B, 0))</f>
        <v>#N/A</v>
      </c>
      <c r="E452" s="173" t="e">
        <f t="shared" si="290"/>
        <v>#VALUE!</v>
      </c>
      <c r="F452" t="e">
        <f t="shared" si="250"/>
        <v>#VALUE!</v>
      </c>
      <c r="G452" t="e">
        <f t="shared" si="251"/>
        <v>#VALUE!</v>
      </c>
      <c r="H452" t="e">
        <f t="shared" si="252"/>
        <v>#VALUE!</v>
      </c>
      <c r="I452" t="e">
        <f t="shared" si="253"/>
        <v>#VALUE!</v>
      </c>
      <c r="J452" t="e">
        <f t="shared" si="254"/>
        <v>#VALUE!</v>
      </c>
      <c r="K452" t="e">
        <f t="shared" si="255"/>
        <v>#VALUE!</v>
      </c>
      <c r="L452" s="175" t="e">
        <f t="shared" si="285"/>
        <v>#VALUE!</v>
      </c>
      <c r="M452" t="e">
        <f t="shared" si="256"/>
        <v>#VALUE!</v>
      </c>
      <c r="N452" t="e">
        <f t="shared" si="257"/>
        <v>#VALUE!</v>
      </c>
      <c r="O452" t="e">
        <f t="shared" si="258"/>
        <v>#VALUE!</v>
      </c>
      <c r="P452" t="e">
        <f t="shared" si="259"/>
        <v>#VALUE!</v>
      </c>
      <c r="Q452" t="e">
        <f t="shared" si="260"/>
        <v>#VALUE!</v>
      </c>
      <c r="R452" t="e">
        <f t="shared" si="261"/>
        <v>#VALUE!</v>
      </c>
      <c r="S452" t="e">
        <f t="shared" si="262"/>
        <v>#VALUE!</v>
      </c>
      <c r="T452" s="174" t="e">
        <f t="shared" si="286"/>
        <v>#VALUE!</v>
      </c>
      <c r="U452" t="e">
        <f t="shared" si="263"/>
        <v>#VALUE!</v>
      </c>
      <c r="V452" t="e">
        <f t="shared" si="264"/>
        <v>#VALUE!</v>
      </c>
      <c r="W452" t="e">
        <f t="shared" si="265"/>
        <v>#VALUE!</v>
      </c>
      <c r="X452" t="e">
        <f t="shared" si="266"/>
        <v>#VALUE!</v>
      </c>
      <c r="Y452" t="e">
        <f t="shared" si="267"/>
        <v>#VALUE!</v>
      </c>
      <c r="Z452" t="e">
        <f t="shared" si="268"/>
        <v>#VALUE!</v>
      </c>
      <c r="AA452" t="e">
        <f t="shared" si="269"/>
        <v>#VALUE!</v>
      </c>
      <c r="AB452" s="23" t="e">
        <f t="shared" si="287"/>
        <v>#VALUE!</v>
      </c>
      <c r="AC452" t="e">
        <f t="shared" si="270"/>
        <v>#VALUE!</v>
      </c>
      <c r="AD452" t="e">
        <f t="shared" si="271"/>
        <v>#VALUE!</v>
      </c>
      <c r="AE452" t="e">
        <f t="shared" si="272"/>
        <v>#VALUE!</v>
      </c>
      <c r="AF452" t="e">
        <f t="shared" si="273"/>
        <v>#VALUE!</v>
      </c>
      <c r="AG452" t="e">
        <f t="shared" si="274"/>
        <v>#VALUE!</v>
      </c>
      <c r="AH452" t="e">
        <f t="shared" si="275"/>
        <v>#VALUE!</v>
      </c>
      <c r="AI452" t="e">
        <f t="shared" si="276"/>
        <v>#VALUE!</v>
      </c>
      <c r="AJ452" s="19" t="e">
        <f t="shared" si="288"/>
        <v>#VALUE!</v>
      </c>
      <c r="AK452" t="e">
        <f t="shared" si="277"/>
        <v>#VALUE!</v>
      </c>
      <c r="AL452" t="e">
        <f t="shared" si="278"/>
        <v>#VALUE!</v>
      </c>
      <c r="AM452" t="e">
        <f t="shared" si="279"/>
        <v>#VALUE!</v>
      </c>
      <c r="AN452" t="e">
        <f t="shared" si="280"/>
        <v>#VALUE!</v>
      </c>
      <c r="AO452" t="e">
        <f t="shared" si="281"/>
        <v>#VALUE!</v>
      </c>
      <c r="AP452" t="e">
        <f t="shared" si="282"/>
        <v>#VALUE!</v>
      </c>
      <c r="AQ452" t="e">
        <f t="shared" si="283"/>
        <v>#VALUE!</v>
      </c>
      <c r="AR452" s="123" t="e">
        <f t="shared" si="289"/>
        <v>#VALUE!</v>
      </c>
      <c r="AS452" t="e">
        <f t="shared" si="284"/>
        <v>#VALUE!</v>
      </c>
      <c r="AT452" s="181" t="e">
        <f>INDEX('stock fisico '!N:N, MATCH(B452, 'stock fisico '!B:B, 0))</f>
        <v>#N/A</v>
      </c>
      <c r="AU452" s="179" t="e">
        <f>INDEX('stock fisico '!D:D, MATCH(B452, 'stock fisico '!B:B, 0))</f>
        <v>#N/A</v>
      </c>
      <c r="AV452" s="177" t="e">
        <f>INDEX('stock fisico '!L:L, MATCH(B452, 'stock fisico '!B:B, 0))</f>
        <v>#N/A</v>
      </c>
    </row>
    <row r="453" spans="1:48" x14ac:dyDescent="0.25">
      <c r="A453" s="181" t="e">
        <f>INDEX('stock fisico '!M:M, MATCH(B453, 'stock fisico '!B:B, 0))</f>
        <v>#N/A</v>
      </c>
      <c r="C453" s="179" t="e">
        <f>INDEX('stock fisico '!C:C, MATCH(B453, 'stock fisico '!B:B, 0))</f>
        <v>#N/A</v>
      </c>
      <c r="D453" s="178" t="e">
        <f>INDEX('stock fisico '!I:I, MATCH(B453, 'stock fisico '!B:B, 0))</f>
        <v>#N/A</v>
      </c>
      <c r="E453" s="173" t="e">
        <f t="shared" si="290"/>
        <v>#VALUE!</v>
      </c>
      <c r="F453" t="e">
        <f t="shared" ref="F453:F516" si="291">K453*$F$3</f>
        <v>#VALUE!</v>
      </c>
      <c r="G453" t="e">
        <f t="shared" ref="G453:G516" si="292">K453*$G$2</f>
        <v>#VALUE!</v>
      </c>
      <c r="H453" t="e">
        <f t="shared" ref="H453:H516" si="293">K453*$H$2</f>
        <v>#VALUE!</v>
      </c>
      <c r="I453" t="e">
        <f t="shared" ref="I453:I516" si="294">K453*$I$2</f>
        <v>#VALUE!</v>
      </c>
      <c r="J453" t="e">
        <f t="shared" ref="J453:J516" si="295">K453*$J$2</f>
        <v>#VALUE!</v>
      </c>
      <c r="K453" t="e">
        <f t="shared" ref="K453:K516" si="296">E453*$J$1</f>
        <v>#VALUE!</v>
      </c>
      <c r="L453" s="175" t="e">
        <f t="shared" si="285"/>
        <v>#VALUE!</v>
      </c>
      <c r="M453" t="e">
        <f t="shared" ref="M453:M516" si="297">S453*$M$3</f>
        <v>#VALUE!</v>
      </c>
      <c r="N453" t="e">
        <f t="shared" ref="N453:N516" si="298">S453*$N$2</f>
        <v>#VALUE!</v>
      </c>
      <c r="O453" t="e">
        <f t="shared" ref="O453:O516" si="299">S453*$O$2</f>
        <v>#VALUE!</v>
      </c>
      <c r="P453" t="e">
        <f t="shared" ref="P453:P516" si="300">S453*$P$2</f>
        <v>#VALUE!</v>
      </c>
      <c r="Q453" t="e">
        <f t="shared" ref="Q453:Q516" si="301">S453*$Q$2</f>
        <v>#VALUE!</v>
      </c>
      <c r="R453" t="e">
        <f t="shared" ref="R453:R516" si="302">S453*$R$3</f>
        <v>#VALUE!</v>
      </c>
      <c r="S453" t="e">
        <f t="shared" ref="S453:S516" si="303">E453*$S$1</f>
        <v>#VALUE!</v>
      </c>
      <c r="T453" s="174" t="e">
        <f t="shared" si="286"/>
        <v>#VALUE!</v>
      </c>
      <c r="U453" t="e">
        <f t="shared" ref="U453:U516" si="304">AA453*$U$3</f>
        <v>#VALUE!</v>
      </c>
      <c r="V453" t="e">
        <f t="shared" ref="V453:V516" si="305">AA453*$V$3</f>
        <v>#VALUE!</v>
      </c>
      <c r="W453" t="e">
        <f t="shared" ref="W453:W516" si="306">AA453*$W$3</f>
        <v>#VALUE!</v>
      </c>
      <c r="X453" t="e">
        <f t="shared" ref="X453:X516" si="307">AA453*$X$3</f>
        <v>#VALUE!</v>
      </c>
      <c r="Y453" t="e">
        <f t="shared" ref="Y453:Y516" si="308">AA453*$Y$3</f>
        <v>#VALUE!</v>
      </c>
      <c r="Z453" t="e">
        <f t="shared" ref="Z453:Z516" si="309">AA453*$Z$3</f>
        <v>#VALUE!</v>
      </c>
      <c r="AA453" t="e">
        <f t="shared" ref="AA453:AA516" si="310">E453*$AA$1</f>
        <v>#VALUE!</v>
      </c>
      <c r="AB453" s="23" t="e">
        <f t="shared" si="287"/>
        <v>#VALUE!</v>
      </c>
      <c r="AC453" t="e">
        <f t="shared" ref="AC453:AC516" si="311">AI453*$AC$3</f>
        <v>#VALUE!</v>
      </c>
      <c r="AD453" t="e">
        <f t="shared" ref="AD453:AD516" si="312">AI453*$AD$3</f>
        <v>#VALUE!</v>
      </c>
      <c r="AE453" t="e">
        <f t="shared" ref="AE453:AE516" si="313">AI453*$AE$3</f>
        <v>#VALUE!</v>
      </c>
      <c r="AF453" t="e">
        <f t="shared" ref="AF453:AF516" si="314">AI453*$AF$3</f>
        <v>#VALUE!</v>
      </c>
      <c r="AG453" t="e">
        <f t="shared" ref="AG453:AG516" si="315">AI453*$AG$3</f>
        <v>#VALUE!</v>
      </c>
      <c r="AH453" t="e">
        <f t="shared" ref="AH453:AH516" si="316">AI453*$AH$3</f>
        <v>#VALUE!</v>
      </c>
      <c r="AI453" t="e">
        <f t="shared" ref="AI453:AI516" si="317">E453*$AI$1</f>
        <v>#VALUE!</v>
      </c>
      <c r="AJ453" s="19" t="e">
        <f t="shared" si="288"/>
        <v>#VALUE!</v>
      </c>
      <c r="AK453" t="e">
        <f t="shared" ref="AK453:AK516" si="318">AQ453*$AK$3</f>
        <v>#VALUE!</v>
      </c>
      <c r="AL453" t="e">
        <f t="shared" ref="AL453:AL516" si="319">AQ453*$AL$3</f>
        <v>#VALUE!</v>
      </c>
      <c r="AM453" t="e">
        <f t="shared" ref="AM453:AM516" si="320">AQ453*$AM$3</f>
        <v>#VALUE!</v>
      </c>
      <c r="AN453" t="e">
        <f t="shared" ref="AN453:AN516" si="321">AQ453*$AN$3</f>
        <v>#VALUE!</v>
      </c>
      <c r="AO453" t="e">
        <f t="shared" ref="AO453:AO516" si="322">AQ453*$AO$3</f>
        <v>#VALUE!</v>
      </c>
      <c r="AP453" t="e">
        <f t="shared" ref="AP453:AP516" si="323">AQ453*$AP$3</f>
        <v>#VALUE!</v>
      </c>
      <c r="AQ453" t="e">
        <f t="shared" ref="AQ453:AQ516" si="324">E453*$AQ$1</f>
        <v>#VALUE!</v>
      </c>
      <c r="AR453" s="123" t="e">
        <f t="shared" si="289"/>
        <v>#VALUE!</v>
      </c>
      <c r="AS453" t="e">
        <f t="shared" ref="AS453:AS516" si="325">L453/1.21</f>
        <v>#VALUE!</v>
      </c>
      <c r="AT453" s="181" t="e">
        <f>INDEX('stock fisico '!N:N, MATCH(B453, 'stock fisico '!B:B, 0))</f>
        <v>#N/A</v>
      </c>
      <c r="AU453" s="179" t="e">
        <f>INDEX('stock fisico '!D:D, MATCH(B453, 'stock fisico '!B:B, 0))</f>
        <v>#N/A</v>
      </c>
      <c r="AV453" s="177" t="e">
        <f>INDEX('stock fisico '!L:L, MATCH(B453, 'stock fisico '!B:B, 0))</f>
        <v>#N/A</v>
      </c>
    </row>
    <row r="454" spans="1:48" x14ac:dyDescent="0.25">
      <c r="A454" s="181" t="e">
        <f>INDEX('stock fisico '!M:M, MATCH(B454, 'stock fisico '!B:B, 0))</f>
        <v>#N/A</v>
      </c>
      <c r="C454" s="179" t="e">
        <f>INDEX('stock fisico '!C:C, MATCH(B454, 'stock fisico '!B:B, 0))</f>
        <v>#N/A</v>
      </c>
      <c r="D454" s="178" t="e">
        <f>INDEX('stock fisico '!I:I, MATCH(B454, 'stock fisico '!B:B, 0))</f>
        <v>#N/A</v>
      </c>
      <c r="E454" s="173" t="e">
        <f t="shared" si="290"/>
        <v>#VALUE!</v>
      </c>
      <c r="F454" t="e">
        <f t="shared" si="291"/>
        <v>#VALUE!</v>
      </c>
      <c r="G454" t="e">
        <f t="shared" si="292"/>
        <v>#VALUE!</v>
      </c>
      <c r="H454" t="e">
        <f t="shared" si="293"/>
        <v>#VALUE!</v>
      </c>
      <c r="I454" t="e">
        <f t="shared" si="294"/>
        <v>#VALUE!</v>
      </c>
      <c r="J454" t="e">
        <f t="shared" si="295"/>
        <v>#VALUE!</v>
      </c>
      <c r="K454" t="e">
        <f t="shared" si="296"/>
        <v>#VALUE!</v>
      </c>
      <c r="L454" s="175" t="e">
        <f t="shared" ref="L454:L517" si="326">F454+H454+J454+E454</f>
        <v>#VALUE!</v>
      </c>
      <c r="M454" t="e">
        <f t="shared" si="297"/>
        <v>#VALUE!</v>
      </c>
      <c r="N454" t="e">
        <f t="shared" si="298"/>
        <v>#VALUE!</v>
      </c>
      <c r="O454" t="e">
        <f t="shared" si="299"/>
        <v>#VALUE!</v>
      </c>
      <c r="P454" t="e">
        <f t="shared" si="300"/>
        <v>#VALUE!</v>
      </c>
      <c r="Q454" t="e">
        <f t="shared" si="301"/>
        <v>#VALUE!</v>
      </c>
      <c r="R454" t="e">
        <f t="shared" si="302"/>
        <v>#VALUE!</v>
      </c>
      <c r="S454" t="e">
        <f t="shared" si="303"/>
        <v>#VALUE!</v>
      </c>
      <c r="T454" s="174" t="e">
        <f t="shared" ref="T454:T517" si="327">R454+Q454+O454+M454+E454</f>
        <v>#VALUE!</v>
      </c>
      <c r="U454" t="e">
        <f t="shared" si="304"/>
        <v>#VALUE!</v>
      </c>
      <c r="V454" t="e">
        <f t="shared" si="305"/>
        <v>#VALUE!</v>
      </c>
      <c r="W454" t="e">
        <f t="shared" si="306"/>
        <v>#VALUE!</v>
      </c>
      <c r="X454" t="e">
        <f t="shared" si="307"/>
        <v>#VALUE!</v>
      </c>
      <c r="Y454" t="e">
        <f t="shared" si="308"/>
        <v>#VALUE!</v>
      </c>
      <c r="Z454" t="e">
        <f t="shared" si="309"/>
        <v>#VALUE!</v>
      </c>
      <c r="AA454" t="e">
        <f t="shared" si="310"/>
        <v>#VALUE!</v>
      </c>
      <c r="AB454" s="23" t="e">
        <f t="shared" ref="AB454:AB517" si="328">U454+W454+Y454+Z454+E454</f>
        <v>#VALUE!</v>
      </c>
      <c r="AC454" t="e">
        <f t="shared" si="311"/>
        <v>#VALUE!</v>
      </c>
      <c r="AD454" t="e">
        <f t="shared" si="312"/>
        <v>#VALUE!</v>
      </c>
      <c r="AE454" t="e">
        <f t="shared" si="313"/>
        <v>#VALUE!</v>
      </c>
      <c r="AF454" t="e">
        <f t="shared" si="314"/>
        <v>#VALUE!</v>
      </c>
      <c r="AG454" t="e">
        <f t="shared" si="315"/>
        <v>#VALUE!</v>
      </c>
      <c r="AH454" t="e">
        <f t="shared" si="316"/>
        <v>#VALUE!</v>
      </c>
      <c r="AI454" t="e">
        <f t="shared" si="317"/>
        <v>#VALUE!</v>
      </c>
      <c r="AJ454" s="19" t="e">
        <f t="shared" ref="AJ454:AJ517" si="329">AC454+AE454+AG454+AH454+E454</f>
        <v>#VALUE!</v>
      </c>
      <c r="AK454" t="e">
        <f t="shared" si="318"/>
        <v>#VALUE!</v>
      </c>
      <c r="AL454" t="e">
        <f t="shared" si="319"/>
        <v>#VALUE!</v>
      </c>
      <c r="AM454" t="e">
        <f t="shared" si="320"/>
        <v>#VALUE!</v>
      </c>
      <c r="AN454" t="e">
        <f t="shared" si="321"/>
        <v>#VALUE!</v>
      </c>
      <c r="AO454" t="e">
        <f t="shared" si="322"/>
        <v>#VALUE!</v>
      </c>
      <c r="AP454" t="e">
        <f t="shared" si="323"/>
        <v>#VALUE!</v>
      </c>
      <c r="AQ454" t="e">
        <f t="shared" si="324"/>
        <v>#VALUE!</v>
      </c>
      <c r="AR454" s="123" t="e">
        <f t="shared" ref="AR454:AR517" si="330">AK454+AM454+AO454+AP454+E454</f>
        <v>#VALUE!</v>
      </c>
      <c r="AS454" t="e">
        <f t="shared" si="325"/>
        <v>#VALUE!</v>
      </c>
      <c r="AT454" s="181" t="e">
        <f>INDEX('stock fisico '!N:N, MATCH(B454, 'stock fisico '!B:B, 0))</f>
        <v>#N/A</v>
      </c>
      <c r="AU454" s="179" t="e">
        <f>INDEX('stock fisico '!D:D, MATCH(B454, 'stock fisico '!B:B, 0))</f>
        <v>#N/A</v>
      </c>
      <c r="AV454" s="177" t="e">
        <f>INDEX('stock fisico '!L:L, MATCH(B454, 'stock fisico '!B:B, 0))</f>
        <v>#N/A</v>
      </c>
    </row>
    <row r="455" spans="1:48" x14ac:dyDescent="0.25">
      <c r="A455" s="181" t="e">
        <f>INDEX('stock fisico '!M:M, MATCH(B455, 'stock fisico '!B:B, 0))</f>
        <v>#N/A</v>
      </c>
      <c r="C455" s="179" t="e">
        <f>INDEX('stock fisico '!C:C, MATCH(B455, 'stock fisico '!B:B, 0))</f>
        <v>#N/A</v>
      </c>
      <c r="D455" s="178" t="e">
        <f>INDEX('stock fisico '!I:I, MATCH(B455, 'stock fisico '!B:B, 0))</f>
        <v>#N/A</v>
      </c>
      <c r="E455" s="173" t="e">
        <f t="shared" ref="E455:E518" si="331">PrecioConMargen(D455,B455, AV455, AU455, AT455)</f>
        <v>#VALUE!</v>
      </c>
      <c r="F455" t="e">
        <f t="shared" si="291"/>
        <v>#VALUE!</v>
      </c>
      <c r="G455" t="e">
        <f t="shared" si="292"/>
        <v>#VALUE!</v>
      </c>
      <c r="H455" t="e">
        <f t="shared" si="293"/>
        <v>#VALUE!</v>
      </c>
      <c r="I455" t="e">
        <f t="shared" si="294"/>
        <v>#VALUE!</v>
      </c>
      <c r="J455" t="e">
        <f t="shared" si="295"/>
        <v>#VALUE!</v>
      </c>
      <c r="K455" t="e">
        <f t="shared" si="296"/>
        <v>#VALUE!</v>
      </c>
      <c r="L455" s="175" t="e">
        <f t="shared" si="326"/>
        <v>#VALUE!</v>
      </c>
      <c r="M455" t="e">
        <f t="shared" si="297"/>
        <v>#VALUE!</v>
      </c>
      <c r="N455" t="e">
        <f t="shared" si="298"/>
        <v>#VALUE!</v>
      </c>
      <c r="O455" t="e">
        <f t="shared" si="299"/>
        <v>#VALUE!</v>
      </c>
      <c r="P455" t="e">
        <f t="shared" si="300"/>
        <v>#VALUE!</v>
      </c>
      <c r="Q455" t="e">
        <f t="shared" si="301"/>
        <v>#VALUE!</v>
      </c>
      <c r="R455" t="e">
        <f t="shared" si="302"/>
        <v>#VALUE!</v>
      </c>
      <c r="S455" t="e">
        <f t="shared" si="303"/>
        <v>#VALUE!</v>
      </c>
      <c r="T455" s="174" t="e">
        <f t="shared" si="327"/>
        <v>#VALUE!</v>
      </c>
      <c r="U455" t="e">
        <f t="shared" si="304"/>
        <v>#VALUE!</v>
      </c>
      <c r="V455" t="e">
        <f t="shared" si="305"/>
        <v>#VALUE!</v>
      </c>
      <c r="W455" t="e">
        <f t="shared" si="306"/>
        <v>#VALUE!</v>
      </c>
      <c r="X455" t="e">
        <f t="shared" si="307"/>
        <v>#VALUE!</v>
      </c>
      <c r="Y455" t="e">
        <f t="shared" si="308"/>
        <v>#VALUE!</v>
      </c>
      <c r="Z455" t="e">
        <f t="shared" si="309"/>
        <v>#VALUE!</v>
      </c>
      <c r="AA455" t="e">
        <f t="shared" si="310"/>
        <v>#VALUE!</v>
      </c>
      <c r="AB455" s="23" t="e">
        <f t="shared" si="328"/>
        <v>#VALUE!</v>
      </c>
      <c r="AC455" t="e">
        <f t="shared" si="311"/>
        <v>#VALUE!</v>
      </c>
      <c r="AD455" t="e">
        <f t="shared" si="312"/>
        <v>#VALUE!</v>
      </c>
      <c r="AE455" t="e">
        <f t="shared" si="313"/>
        <v>#VALUE!</v>
      </c>
      <c r="AF455" t="e">
        <f t="shared" si="314"/>
        <v>#VALUE!</v>
      </c>
      <c r="AG455" t="e">
        <f t="shared" si="315"/>
        <v>#VALUE!</v>
      </c>
      <c r="AH455" t="e">
        <f t="shared" si="316"/>
        <v>#VALUE!</v>
      </c>
      <c r="AI455" t="e">
        <f t="shared" si="317"/>
        <v>#VALUE!</v>
      </c>
      <c r="AJ455" s="19" t="e">
        <f t="shared" si="329"/>
        <v>#VALUE!</v>
      </c>
      <c r="AK455" t="e">
        <f t="shared" si="318"/>
        <v>#VALUE!</v>
      </c>
      <c r="AL455" t="e">
        <f t="shared" si="319"/>
        <v>#VALUE!</v>
      </c>
      <c r="AM455" t="e">
        <f t="shared" si="320"/>
        <v>#VALUE!</v>
      </c>
      <c r="AN455" t="e">
        <f t="shared" si="321"/>
        <v>#VALUE!</v>
      </c>
      <c r="AO455" t="e">
        <f t="shared" si="322"/>
        <v>#VALUE!</v>
      </c>
      <c r="AP455" t="e">
        <f t="shared" si="323"/>
        <v>#VALUE!</v>
      </c>
      <c r="AQ455" t="e">
        <f t="shared" si="324"/>
        <v>#VALUE!</v>
      </c>
      <c r="AR455" s="123" t="e">
        <f t="shared" si="330"/>
        <v>#VALUE!</v>
      </c>
      <c r="AS455" t="e">
        <f t="shared" si="325"/>
        <v>#VALUE!</v>
      </c>
      <c r="AT455" s="181" t="e">
        <f>INDEX('stock fisico '!N:N, MATCH(B455, 'stock fisico '!B:B, 0))</f>
        <v>#N/A</v>
      </c>
      <c r="AU455" s="179" t="e">
        <f>INDEX('stock fisico '!D:D, MATCH(B455, 'stock fisico '!B:B, 0))</f>
        <v>#N/A</v>
      </c>
      <c r="AV455" s="177" t="e">
        <f>INDEX('stock fisico '!L:L, MATCH(B455, 'stock fisico '!B:B, 0))</f>
        <v>#N/A</v>
      </c>
    </row>
    <row r="456" spans="1:48" x14ac:dyDescent="0.25">
      <c r="A456" s="181" t="e">
        <f>INDEX('stock fisico '!M:M, MATCH(B456, 'stock fisico '!B:B, 0))</f>
        <v>#N/A</v>
      </c>
      <c r="C456" s="179" t="e">
        <f>INDEX('stock fisico '!C:C, MATCH(B456, 'stock fisico '!B:B, 0))</f>
        <v>#N/A</v>
      </c>
      <c r="D456" s="178" t="e">
        <f>INDEX('stock fisico '!I:I, MATCH(B456, 'stock fisico '!B:B, 0))</f>
        <v>#N/A</v>
      </c>
      <c r="E456" s="173" t="e">
        <f t="shared" si="331"/>
        <v>#VALUE!</v>
      </c>
      <c r="F456" t="e">
        <f t="shared" si="291"/>
        <v>#VALUE!</v>
      </c>
      <c r="G456" t="e">
        <f t="shared" si="292"/>
        <v>#VALUE!</v>
      </c>
      <c r="H456" t="e">
        <f t="shared" si="293"/>
        <v>#VALUE!</v>
      </c>
      <c r="I456" t="e">
        <f t="shared" si="294"/>
        <v>#VALUE!</v>
      </c>
      <c r="J456" t="e">
        <f t="shared" si="295"/>
        <v>#VALUE!</v>
      </c>
      <c r="K456" t="e">
        <f t="shared" si="296"/>
        <v>#VALUE!</v>
      </c>
      <c r="L456" s="175" t="e">
        <f t="shared" si="326"/>
        <v>#VALUE!</v>
      </c>
      <c r="M456" t="e">
        <f t="shared" si="297"/>
        <v>#VALUE!</v>
      </c>
      <c r="N456" t="e">
        <f t="shared" si="298"/>
        <v>#VALUE!</v>
      </c>
      <c r="O456" t="e">
        <f t="shared" si="299"/>
        <v>#VALUE!</v>
      </c>
      <c r="P456" t="e">
        <f t="shared" si="300"/>
        <v>#VALUE!</v>
      </c>
      <c r="Q456" t="e">
        <f t="shared" si="301"/>
        <v>#VALUE!</v>
      </c>
      <c r="R456" t="e">
        <f t="shared" si="302"/>
        <v>#VALUE!</v>
      </c>
      <c r="S456" t="e">
        <f t="shared" si="303"/>
        <v>#VALUE!</v>
      </c>
      <c r="T456" s="174" t="e">
        <f t="shared" si="327"/>
        <v>#VALUE!</v>
      </c>
      <c r="U456" t="e">
        <f t="shared" si="304"/>
        <v>#VALUE!</v>
      </c>
      <c r="V456" t="e">
        <f t="shared" si="305"/>
        <v>#VALUE!</v>
      </c>
      <c r="W456" t="e">
        <f t="shared" si="306"/>
        <v>#VALUE!</v>
      </c>
      <c r="X456" t="e">
        <f t="shared" si="307"/>
        <v>#VALUE!</v>
      </c>
      <c r="Y456" t="e">
        <f t="shared" si="308"/>
        <v>#VALUE!</v>
      </c>
      <c r="Z456" t="e">
        <f t="shared" si="309"/>
        <v>#VALUE!</v>
      </c>
      <c r="AA456" t="e">
        <f t="shared" si="310"/>
        <v>#VALUE!</v>
      </c>
      <c r="AB456" s="23" t="e">
        <f t="shared" si="328"/>
        <v>#VALUE!</v>
      </c>
      <c r="AC456" t="e">
        <f t="shared" si="311"/>
        <v>#VALUE!</v>
      </c>
      <c r="AD456" t="e">
        <f t="shared" si="312"/>
        <v>#VALUE!</v>
      </c>
      <c r="AE456" t="e">
        <f t="shared" si="313"/>
        <v>#VALUE!</v>
      </c>
      <c r="AF456" t="e">
        <f t="shared" si="314"/>
        <v>#VALUE!</v>
      </c>
      <c r="AG456" t="e">
        <f t="shared" si="315"/>
        <v>#VALUE!</v>
      </c>
      <c r="AH456" t="e">
        <f t="shared" si="316"/>
        <v>#VALUE!</v>
      </c>
      <c r="AI456" t="e">
        <f t="shared" si="317"/>
        <v>#VALUE!</v>
      </c>
      <c r="AJ456" s="19" t="e">
        <f t="shared" si="329"/>
        <v>#VALUE!</v>
      </c>
      <c r="AK456" t="e">
        <f t="shared" si="318"/>
        <v>#VALUE!</v>
      </c>
      <c r="AL456" t="e">
        <f t="shared" si="319"/>
        <v>#VALUE!</v>
      </c>
      <c r="AM456" t="e">
        <f t="shared" si="320"/>
        <v>#VALUE!</v>
      </c>
      <c r="AN456" t="e">
        <f t="shared" si="321"/>
        <v>#VALUE!</v>
      </c>
      <c r="AO456" t="e">
        <f t="shared" si="322"/>
        <v>#VALUE!</v>
      </c>
      <c r="AP456" t="e">
        <f t="shared" si="323"/>
        <v>#VALUE!</v>
      </c>
      <c r="AQ456" t="e">
        <f t="shared" si="324"/>
        <v>#VALUE!</v>
      </c>
      <c r="AR456" s="123" t="e">
        <f t="shared" si="330"/>
        <v>#VALUE!</v>
      </c>
      <c r="AS456" t="e">
        <f t="shared" si="325"/>
        <v>#VALUE!</v>
      </c>
      <c r="AT456" s="181" t="e">
        <f>INDEX('stock fisico '!N:N, MATCH(B456, 'stock fisico '!B:B, 0))</f>
        <v>#N/A</v>
      </c>
      <c r="AU456" s="179" t="e">
        <f>INDEX('stock fisico '!D:D, MATCH(B456, 'stock fisico '!B:B, 0))</f>
        <v>#N/A</v>
      </c>
      <c r="AV456" s="177" t="e">
        <f>INDEX('stock fisico '!L:L, MATCH(B456, 'stock fisico '!B:B, 0))</f>
        <v>#N/A</v>
      </c>
    </row>
    <row r="457" spans="1:48" x14ac:dyDescent="0.25">
      <c r="A457" s="181" t="e">
        <f>INDEX('stock fisico '!M:M, MATCH(B457, 'stock fisico '!B:B, 0))</f>
        <v>#N/A</v>
      </c>
      <c r="C457" s="179" t="e">
        <f>INDEX('stock fisico '!C:C, MATCH(B457, 'stock fisico '!B:B, 0))</f>
        <v>#N/A</v>
      </c>
      <c r="D457" s="178" t="e">
        <f>INDEX('stock fisico '!I:I, MATCH(B457, 'stock fisico '!B:B, 0))</f>
        <v>#N/A</v>
      </c>
      <c r="E457" s="173" t="e">
        <f t="shared" si="331"/>
        <v>#VALUE!</v>
      </c>
      <c r="F457" t="e">
        <f t="shared" si="291"/>
        <v>#VALUE!</v>
      </c>
      <c r="G457" t="e">
        <f t="shared" si="292"/>
        <v>#VALUE!</v>
      </c>
      <c r="H457" t="e">
        <f t="shared" si="293"/>
        <v>#VALUE!</v>
      </c>
      <c r="I457" t="e">
        <f t="shared" si="294"/>
        <v>#VALUE!</v>
      </c>
      <c r="J457" t="e">
        <f t="shared" si="295"/>
        <v>#VALUE!</v>
      </c>
      <c r="K457" t="e">
        <f t="shared" si="296"/>
        <v>#VALUE!</v>
      </c>
      <c r="L457" s="175" t="e">
        <f t="shared" si="326"/>
        <v>#VALUE!</v>
      </c>
      <c r="M457" t="e">
        <f t="shared" si="297"/>
        <v>#VALUE!</v>
      </c>
      <c r="N457" t="e">
        <f t="shared" si="298"/>
        <v>#VALUE!</v>
      </c>
      <c r="O457" t="e">
        <f t="shared" si="299"/>
        <v>#VALUE!</v>
      </c>
      <c r="P457" t="e">
        <f t="shared" si="300"/>
        <v>#VALUE!</v>
      </c>
      <c r="Q457" t="e">
        <f t="shared" si="301"/>
        <v>#VALUE!</v>
      </c>
      <c r="R457" t="e">
        <f t="shared" si="302"/>
        <v>#VALUE!</v>
      </c>
      <c r="S457" t="e">
        <f t="shared" si="303"/>
        <v>#VALUE!</v>
      </c>
      <c r="T457" s="174" t="e">
        <f t="shared" si="327"/>
        <v>#VALUE!</v>
      </c>
      <c r="U457" t="e">
        <f t="shared" si="304"/>
        <v>#VALUE!</v>
      </c>
      <c r="V457" t="e">
        <f t="shared" si="305"/>
        <v>#VALUE!</v>
      </c>
      <c r="W457" t="e">
        <f t="shared" si="306"/>
        <v>#VALUE!</v>
      </c>
      <c r="X457" t="e">
        <f t="shared" si="307"/>
        <v>#VALUE!</v>
      </c>
      <c r="Y457" t="e">
        <f t="shared" si="308"/>
        <v>#VALUE!</v>
      </c>
      <c r="Z457" t="e">
        <f t="shared" si="309"/>
        <v>#VALUE!</v>
      </c>
      <c r="AA457" t="e">
        <f t="shared" si="310"/>
        <v>#VALUE!</v>
      </c>
      <c r="AB457" s="23" t="e">
        <f t="shared" si="328"/>
        <v>#VALUE!</v>
      </c>
      <c r="AC457" t="e">
        <f t="shared" si="311"/>
        <v>#VALUE!</v>
      </c>
      <c r="AD457" t="e">
        <f t="shared" si="312"/>
        <v>#VALUE!</v>
      </c>
      <c r="AE457" t="e">
        <f t="shared" si="313"/>
        <v>#VALUE!</v>
      </c>
      <c r="AF457" t="e">
        <f t="shared" si="314"/>
        <v>#VALUE!</v>
      </c>
      <c r="AG457" t="e">
        <f t="shared" si="315"/>
        <v>#VALUE!</v>
      </c>
      <c r="AH457" t="e">
        <f t="shared" si="316"/>
        <v>#VALUE!</v>
      </c>
      <c r="AI457" t="e">
        <f t="shared" si="317"/>
        <v>#VALUE!</v>
      </c>
      <c r="AJ457" s="19" t="e">
        <f t="shared" si="329"/>
        <v>#VALUE!</v>
      </c>
      <c r="AK457" t="e">
        <f t="shared" si="318"/>
        <v>#VALUE!</v>
      </c>
      <c r="AL457" t="e">
        <f t="shared" si="319"/>
        <v>#VALUE!</v>
      </c>
      <c r="AM457" t="e">
        <f t="shared" si="320"/>
        <v>#VALUE!</v>
      </c>
      <c r="AN457" t="e">
        <f t="shared" si="321"/>
        <v>#VALUE!</v>
      </c>
      <c r="AO457" t="e">
        <f t="shared" si="322"/>
        <v>#VALUE!</v>
      </c>
      <c r="AP457" t="e">
        <f t="shared" si="323"/>
        <v>#VALUE!</v>
      </c>
      <c r="AQ457" t="e">
        <f t="shared" si="324"/>
        <v>#VALUE!</v>
      </c>
      <c r="AR457" s="123" t="e">
        <f t="shared" si="330"/>
        <v>#VALUE!</v>
      </c>
      <c r="AS457" t="e">
        <f t="shared" si="325"/>
        <v>#VALUE!</v>
      </c>
      <c r="AT457" s="181" t="e">
        <f>INDEX('stock fisico '!N:N, MATCH(B457, 'stock fisico '!B:B, 0))</f>
        <v>#N/A</v>
      </c>
      <c r="AU457" s="179" t="e">
        <f>INDEX('stock fisico '!D:D, MATCH(B457, 'stock fisico '!B:B, 0))</f>
        <v>#N/A</v>
      </c>
      <c r="AV457" s="177" t="e">
        <f>INDEX('stock fisico '!L:L, MATCH(B457, 'stock fisico '!B:B, 0))</f>
        <v>#N/A</v>
      </c>
    </row>
    <row r="458" spans="1:48" x14ac:dyDescent="0.25">
      <c r="A458" s="181" t="e">
        <f>INDEX('stock fisico '!M:M, MATCH(B458, 'stock fisico '!B:B, 0))</f>
        <v>#N/A</v>
      </c>
      <c r="C458" s="179" t="e">
        <f>INDEX('stock fisico '!C:C, MATCH(B458, 'stock fisico '!B:B, 0))</f>
        <v>#N/A</v>
      </c>
      <c r="D458" s="178" t="e">
        <f>INDEX('stock fisico '!I:I, MATCH(B458, 'stock fisico '!B:B, 0))</f>
        <v>#N/A</v>
      </c>
      <c r="E458" s="173" t="e">
        <f t="shared" si="331"/>
        <v>#VALUE!</v>
      </c>
      <c r="F458" t="e">
        <f t="shared" si="291"/>
        <v>#VALUE!</v>
      </c>
      <c r="G458" t="e">
        <f t="shared" si="292"/>
        <v>#VALUE!</v>
      </c>
      <c r="H458" t="e">
        <f t="shared" si="293"/>
        <v>#VALUE!</v>
      </c>
      <c r="I458" t="e">
        <f t="shared" si="294"/>
        <v>#VALUE!</v>
      </c>
      <c r="J458" t="e">
        <f t="shared" si="295"/>
        <v>#VALUE!</v>
      </c>
      <c r="K458" t="e">
        <f t="shared" si="296"/>
        <v>#VALUE!</v>
      </c>
      <c r="L458" s="175" t="e">
        <f t="shared" si="326"/>
        <v>#VALUE!</v>
      </c>
      <c r="M458" t="e">
        <f t="shared" si="297"/>
        <v>#VALUE!</v>
      </c>
      <c r="N458" t="e">
        <f t="shared" si="298"/>
        <v>#VALUE!</v>
      </c>
      <c r="O458" t="e">
        <f t="shared" si="299"/>
        <v>#VALUE!</v>
      </c>
      <c r="P458" t="e">
        <f t="shared" si="300"/>
        <v>#VALUE!</v>
      </c>
      <c r="Q458" t="e">
        <f t="shared" si="301"/>
        <v>#VALUE!</v>
      </c>
      <c r="R458" t="e">
        <f t="shared" si="302"/>
        <v>#VALUE!</v>
      </c>
      <c r="S458" t="e">
        <f t="shared" si="303"/>
        <v>#VALUE!</v>
      </c>
      <c r="T458" s="174" t="e">
        <f t="shared" si="327"/>
        <v>#VALUE!</v>
      </c>
      <c r="U458" t="e">
        <f t="shared" si="304"/>
        <v>#VALUE!</v>
      </c>
      <c r="V458" t="e">
        <f t="shared" si="305"/>
        <v>#VALUE!</v>
      </c>
      <c r="W458" t="e">
        <f t="shared" si="306"/>
        <v>#VALUE!</v>
      </c>
      <c r="X458" t="e">
        <f t="shared" si="307"/>
        <v>#VALUE!</v>
      </c>
      <c r="Y458" t="e">
        <f t="shared" si="308"/>
        <v>#VALUE!</v>
      </c>
      <c r="Z458" t="e">
        <f t="shared" si="309"/>
        <v>#VALUE!</v>
      </c>
      <c r="AA458" t="e">
        <f t="shared" si="310"/>
        <v>#VALUE!</v>
      </c>
      <c r="AB458" s="23" t="e">
        <f t="shared" si="328"/>
        <v>#VALUE!</v>
      </c>
      <c r="AC458" t="e">
        <f t="shared" si="311"/>
        <v>#VALUE!</v>
      </c>
      <c r="AD458" t="e">
        <f t="shared" si="312"/>
        <v>#VALUE!</v>
      </c>
      <c r="AE458" t="e">
        <f t="shared" si="313"/>
        <v>#VALUE!</v>
      </c>
      <c r="AF458" t="e">
        <f t="shared" si="314"/>
        <v>#VALUE!</v>
      </c>
      <c r="AG458" t="e">
        <f t="shared" si="315"/>
        <v>#VALUE!</v>
      </c>
      <c r="AH458" t="e">
        <f t="shared" si="316"/>
        <v>#VALUE!</v>
      </c>
      <c r="AI458" t="e">
        <f t="shared" si="317"/>
        <v>#VALUE!</v>
      </c>
      <c r="AJ458" s="19" t="e">
        <f t="shared" si="329"/>
        <v>#VALUE!</v>
      </c>
      <c r="AK458" t="e">
        <f t="shared" si="318"/>
        <v>#VALUE!</v>
      </c>
      <c r="AL458" t="e">
        <f t="shared" si="319"/>
        <v>#VALUE!</v>
      </c>
      <c r="AM458" t="e">
        <f t="shared" si="320"/>
        <v>#VALUE!</v>
      </c>
      <c r="AN458" t="e">
        <f t="shared" si="321"/>
        <v>#VALUE!</v>
      </c>
      <c r="AO458" t="e">
        <f t="shared" si="322"/>
        <v>#VALUE!</v>
      </c>
      <c r="AP458" t="e">
        <f t="shared" si="323"/>
        <v>#VALUE!</v>
      </c>
      <c r="AQ458" t="e">
        <f t="shared" si="324"/>
        <v>#VALUE!</v>
      </c>
      <c r="AR458" s="123" t="e">
        <f t="shared" si="330"/>
        <v>#VALUE!</v>
      </c>
      <c r="AS458" t="e">
        <f t="shared" si="325"/>
        <v>#VALUE!</v>
      </c>
      <c r="AT458" s="181" t="e">
        <f>INDEX('stock fisico '!N:N, MATCH(B458, 'stock fisico '!B:B, 0))</f>
        <v>#N/A</v>
      </c>
      <c r="AU458" s="179" t="e">
        <f>INDEX('stock fisico '!D:D, MATCH(B458, 'stock fisico '!B:B, 0))</f>
        <v>#N/A</v>
      </c>
      <c r="AV458" s="177" t="e">
        <f>INDEX('stock fisico '!L:L, MATCH(B458, 'stock fisico '!B:B, 0))</f>
        <v>#N/A</v>
      </c>
    </row>
    <row r="459" spans="1:48" x14ac:dyDescent="0.25">
      <c r="A459" s="181" t="e">
        <f>INDEX('stock fisico '!M:M, MATCH(B459, 'stock fisico '!B:B, 0))</f>
        <v>#N/A</v>
      </c>
      <c r="C459" s="179" t="e">
        <f>INDEX('stock fisico '!C:C, MATCH(B459, 'stock fisico '!B:B, 0))</f>
        <v>#N/A</v>
      </c>
      <c r="D459" s="178" t="e">
        <f>INDEX('stock fisico '!I:I, MATCH(B459, 'stock fisico '!B:B, 0))</f>
        <v>#N/A</v>
      </c>
      <c r="E459" s="173" t="e">
        <f t="shared" si="331"/>
        <v>#VALUE!</v>
      </c>
      <c r="F459" t="e">
        <f t="shared" si="291"/>
        <v>#VALUE!</v>
      </c>
      <c r="G459" t="e">
        <f t="shared" si="292"/>
        <v>#VALUE!</v>
      </c>
      <c r="H459" t="e">
        <f t="shared" si="293"/>
        <v>#VALUE!</v>
      </c>
      <c r="I459" t="e">
        <f t="shared" si="294"/>
        <v>#VALUE!</v>
      </c>
      <c r="J459" t="e">
        <f t="shared" si="295"/>
        <v>#VALUE!</v>
      </c>
      <c r="K459" t="e">
        <f t="shared" si="296"/>
        <v>#VALUE!</v>
      </c>
      <c r="L459" s="175" t="e">
        <f t="shared" si="326"/>
        <v>#VALUE!</v>
      </c>
      <c r="M459" t="e">
        <f t="shared" si="297"/>
        <v>#VALUE!</v>
      </c>
      <c r="N459" t="e">
        <f t="shared" si="298"/>
        <v>#VALUE!</v>
      </c>
      <c r="O459" t="e">
        <f t="shared" si="299"/>
        <v>#VALUE!</v>
      </c>
      <c r="P459" t="e">
        <f t="shared" si="300"/>
        <v>#VALUE!</v>
      </c>
      <c r="Q459" t="e">
        <f t="shared" si="301"/>
        <v>#VALUE!</v>
      </c>
      <c r="R459" t="e">
        <f t="shared" si="302"/>
        <v>#VALUE!</v>
      </c>
      <c r="S459" t="e">
        <f t="shared" si="303"/>
        <v>#VALUE!</v>
      </c>
      <c r="T459" s="174" t="e">
        <f t="shared" si="327"/>
        <v>#VALUE!</v>
      </c>
      <c r="U459" t="e">
        <f t="shared" si="304"/>
        <v>#VALUE!</v>
      </c>
      <c r="V459" t="e">
        <f t="shared" si="305"/>
        <v>#VALUE!</v>
      </c>
      <c r="W459" t="e">
        <f t="shared" si="306"/>
        <v>#VALUE!</v>
      </c>
      <c r="X459" t="e">
        <f t="shared" si="307"/>
        <v>#VALUE!</v>
      </c>
      <c r="Y459" t="e">
        <f t="shared" si="308"/>
        <v>#VALUE!</v>
      </c>
      <c r="Z459" t="e">
        <f t="shared" si="309"/>
        <v>#VALUE!</v>
      </c>
      <c r="AA459" t="e">
        <f t="shared" si="310"/>
        <v>#VALUE!</v>
      </c>
      <c r="AB459" s="23" t="e">
        <f t="shared" si="328"/>
        <v>#VALUE!</v>
      </c>
      <c r="AC459" t="e">
        <f t="shared" si="311"/>
        <v>#VALUE!</v>
      </c>
      <c r="AD459" t="e">
        <f t="shared" si="312"/>
        <v>#VALUE!</v>
      </c>
      <c r="AE459" t="e">
        <f t="shared" si="313"/>
        <v>#VALUE!</v>
      </c>
      <c r="AF459" t="e">
        <f t="shared" si="314"/>
        <v>#VALUE!</v>
      </c>
      <c r="AG459" t="e">
        <f t="shared" si="315"/>
        <v>#VALUE!</v>
      </c>
      <c r="AH459" t="e">
        <f t="shared" si="316"/>
        <v>#VALUE!</v>
      </c>
      <c r="AI459" t="e">
        <f t="shared" si="317"/>
        <v>#VALUE!</v>
      </c>
      <c r="AJ459" s="19" t="e">
        <f t="shared" si="329"/>
        <v>#VALUE!</v>
      </c>
      <c r="AK459" t="e">
        <f t="shared" si="318"/>
        <v>#VALUE!</v>
      </c>
      <c r="AL459" t="e">
        <f t="shared" si="319"/>
        <v>#VALUE!</v>
      </c>
      <c r="AM459" t="e">
        <f t="shared" si="320"/>
        <v>#VALUE!</v>
      </c>
      <c r="AN459" t="e">
        <f t="shared" si="321"/>
        <v>#VALUE!</v>
      </c>
      <c r="AO459" t="e">
        <f t="shared" si="322"/>
        <v>#VALUE!</v>
      </c>
      <c r="AP459" t="e">
        <f t="shared" si="323"/>
        <v>#VALUE!</v>
      </c>
      <c r="AQ459" t="e">
        <f t="shared" si="324"/>
        <v>#VALUE!</v>
      </c>
      <c r="AR459" s="123" t="e">
        <f t="shared" si="330"/>
        <v>#VALUE!</v>
      </c>
      <c r="AS459" t="e">
        <f t="shared" si="325"/>
        <v>#VALUE!</v>
      </c>
      <c r="AT459" s="181" t="e">
        <f>INDEX('stock fisico '!N:N, MATCH(B459, 'stock fisico '!B:B, 0))</f>
        <v>#N/A</v>
      </c>
      <c r="AU459" s="179" t="e">
        <f>INDEX('stock fisico '!D:D, MATCH(B459, 'stock fisico '!B:B, 0))</f>
        <v>#N/A</v>
      </c>
      <c r="AV459" s="177" t="e">
        <f>INDEX('stock fisico '!L:L, MATCH(B459, 'stock fisico '!B:B, 0))</f>
        <v>#N/A</v>
      </c>
    </row>
    <row r="460" spans="1:48" x14ac:dyDescent="0.25">
      <c r="A460" s="181" t="e">
        <f>INDEX('stock fisico '!M:M, MATCH(B460, 'stock fisico '!B:B, 0))</f>
        <v>#N/A</v>
      </c>
      <c r="C460" s="179" t="e">
        <f>INDEX('stock fisico '!C:C, MATCH(B460, 'stock fisico '!B:B, 0))</f>
        <v>#N/A</v>
      </c>
      <c r="D460" s="178" t="e">
        <f>INDEX('stock fisico '!I:I, MATCH(B460, 'stock fisico '!B:B, 0))</f>
        <v>#N/A</v>
      </c>
      <c r="E460" s="173" t="e">
        <f t="shared" si="331"/>
        <v>#VALUE!</v>
      </c>
      <c r="F460" t="e">
        <f t="shared" si="291"/>
        <v>#VALUE!</v>
      </c>
      <c r="G460" t="e">
        <f t="shared" si="292"/>
        <v>#VALUE!</v>
      </c>
      <c r="H460" t="e">
        <f t="shared" si="293"/>
        <v>#VALUE!</v>
      </c>
      <c r="I460" t="e">
        <f t="shared" si="294"/>
        <v>#VALUE!</v>
      </c>
      <c r="J460" t="e">
        <f t="shared" si="295"/>
        <v>#VALUE!</v>
      </c>
      <c r="K460" t="e">
        <f t="shared" si="296"/>
        <v>#VALUE!</v>
      </c>
      <c r="L460" s="175" t="e">
        <f t="shared" si="326"/>
        <v>#VALUE!</v>
      </c>
      <c r="M460" t="e">
        <f t="shared" si="297"/>
        <v>#VALUE!</v>
      </c>
      <c r="N460" t="e">
        <f t="shared" si="298"/>
        <v>#VALUE!</v>
      </c>
      <c r="O460" t="e">
        <f t="shared" si="299"/>
        <v>#VALUE!</v>
      </c>
      <c r="P460" t="e">
        <f t="shared" si="300"/>
        <v>#VALUE!</v>
      </c>
      <c r="Q460" t="e">
        <f t="shared" si="301"/>
        <v>#VALUE!</v>
      </c>
      <c r="R460" t="e">
        <f t="shared" si="302"/>
        <v>#VALUE!</v>
      </c>
      <c r="S460" t="e">
        <f t="shared" si="303"/>
        <v>#VALUE!</v>
      </c>
      <c r="T460" s="174" t="e">
        <f t="shared" si="327"/>
        <v>#VALUE!</v>
      </c>
      <c r="U460" t="e">
        <f t="shared" si="304"/>
        <v>#VALUE!</v>
      </c>
      <c r="V460" t="e">
        <f t="shared" si="305"/>
        <v>#VALUE!</v>
      </c>
      <c r="W460" t="e">
        <f t="shared" si="306"/>
        <v>#VALUE!</v>
      </c>
      <c r="X460" t="e">
        <f t="shared" si="307"/>
        <v>#VALUE!</v>
      </c>
      <c r="Y460" t="e">
        <f t="shared" si="308"/>
        <v>#VALUE!</v>
      </c>
      <c r="Z460" t="e">
        <f t="shared" si="309"/>
        <v>#VALUE!</v>
      </c>
      <c r="AA460" t="e">
        <f t="shared" si="310"/>
        <v>#VALUE!</v>
      </c>
      <c r="AB460" s="23" t="e">
        <f t="shared" si="328"/>
        <v>#VALUE!</v>
      </c>
      <c r="AC460" t="e">
        <f t="shared" si="311"/>
        <v>#VALUE!</v>
      </c>
      <c r="AD460" t="e">
        <f t="shared" si="312"/>
        <v>#VALUE!</v>
      </c>
      <c r="AE460" t="e">
        <f t="shared" si="313"/>
        <v>#VALUE!</v>
      </c>
      <c r="AF460" t="e">
        <f t="shared" si="314"/>
        <v>#VALUE!</v>
      </c>
      <c r="AG460" t="e">
        <f t="shared" si="315"/>
        <v>#VALUE!</v>
      </c>
      <c r="AH460" t="e">
        <f t="shared" si="316"/>
        <v>#VALUE!</v>
      </c>
      <c r="AI460" t="e">
        <f t="shared" si="317"/>
        <v>#VALUE!</v>
      </c>
      <c r="AJ460" s="19" t="e">
        <f t="shared" si="329"/>
        <v>#VALUE!</v>
      </c>
      <c r="AK460" t="e">
        <f t="shared" si="318"/>
        <v>#VALUE!</v>
      </c>
      <c r="AL460" t="e">
        <f t="shared" si="319"/>
        <v>#VALUE!</v>
      </c>
      <c r="AM460" t="e">
        <f t="shared" si="320"/>
        <v>#VALUE!</v>
      </c>
      <c r="AN460" t="e">
        <f t="shared" si="321"/>
        <v>#VALUE!</v>
      </c>
      <c r="AO460" t="e">
        <f t="shared" si="322"/>
        <v>#VALUE!</v>
      </c>
      <c r="AP460" t="e">
        <f t="shared" si="323"/>
        <v>#VALUE!</v>
      </c>
      <c r="AQ460" t="e">
        <f t="shared" si="324"/>
        <v>#VALUE!</v>
      </c>
      <c r="AR460" s="123" t="e">
        <f t="shared" si="330"/>
        <v>#VALUE!</v>
      </c>
      <c r="AS460" t="e">
        <f t="shared" si="325"/>
        <v>#VALUE!</v>
      </c>
      <c r="AT460" s="181" t="e">
        <f>INDEX('stock fisico '!N:N, MATCH(B460, 'stock fisico '!B:B, 0))</f>
        <v>#N/A</v>
      </c>
      <c r="AU460" s="179" t="e">
        <f>INDEX('stock fisico '!D:D, MATCH(B460, 'stock fisico '!B:B, 0))</f>
        <v>#N/A</v>
      </c>
      <c r="AV460" s="177" t="e">
        <f>INDEX('stock fisico '!L:L, MATCH(B460, 'stock fisico '!B:B, 0))</f>
        <v>#N/A</v>
      </c>
    </row>
    <row r="461" spans="1:48" x14ac:dyDescent="0.25">
      <c r="A461" s="181" t="e">
        <f>INDEX('stock fisico '!M:M, MATCH(B461, 'stock fisico '!B:B, 0))</f>
        <v>#N/A</v>
      </c>
      <c r="C461" s="179" t="e">
        <f>INDEX('stock fisico '!C:C, MATCH(B461, 'stock fisico '!B:B, 0))</f>
        <v>#N/A</v>
      </c>
      <c r="D461" s="178" t="e">
        <f>INDEX('stock fisico '!I:I, MATCH(B461, 'stock fisico '!B:B, 0))</f>
        <v>#N/A</v>
      </c>
      <c r="E461" s="173" t="e">
        <f t="shared" si="331"/>
        <v>#VALUE!</v>
      </c>
      <c r="F461" t="e">
        <f t="shared" si="291"/>
        <v>#VALUE!</v>
      </c>
      <c r="G461" t="e">
        <f t="shared" si="292"/>
        <v>#VALUE!</v>
      </c>
      <c r="H461" t="e">
        <f t="shared" si="293"/>
        <v>#VALUE!</v>
      </c>
      <c r="I461" t="e">
        <f t="shared" si="294"/>
        <v>#VALUE!</v>
      </c>
      <c r="J461" t="e">
        <f t="shared" si="295"/>
        <v>#VALUE!</v>
      </c>
      <c r="K461" t="e">
        <f t="shared" si="296"/>
        <v>#VALUE!</v>
      </c>
      <c r="L461" s="175" t="e">
        <f t="shared" si="326"/>
        <v>#VALUE!</v>
      </c>
      <c r="M461" t="e">
        <f t="shared" si="297"/>
        <v>#VALUE!</v>
      </c>
      <c r="N461" t="e">
        <f t="shared" si="298"/>
        <v>#VALUE!</v>
      </c>
      <c r="O461" t="e">
        <f t="shared" si="299"/>
        <v>#VALUE!</v>
      </c>
      <c r="P461" t="e">
        <f t="shared" si="300"/>
        <v>#VALUE!</v>
      </c>
      <c r="Q461" t="e">
        <f t="shared" si="301"/>
        <v>#VALUE!</v>
      </c>
      <c r="R461" t="e">
        <f t="shared" si="302"/>
        <v>#VALUE!</v>
      </c>
      <c r="S461" t="e">
        <f t="shared" si="303"/>
        <v>#VALUE!</v>
      </c>
      <c r="T461" s="174" t="e">
        <f t="shared" si="327"/>
        <v>#VALUE!</v>
      </c>
      <c r="U461" t="e">
        <f t="shared" si="304"/>
        <v>#VALUE!</v>
      </c>
      <c r="V461" t="e">
        <f t="shared" si="305"/>
        <v>#VALUE!</v>
      </c>
      <c r="W461" t="e">
        <f t="shared" si="306"/>
        <v>#VALUE!</v>
      </c>
      <c r="X461" t="e">
        <f t="shared" si="307"/>
        <v>#VALUE!</v>
      </c>
      <c r="Y461" t="e">
        <f t="shared" si="308"/>
        <v>#VALUE!</v>
      </c>
      <c r="Z461" t="e">
        <f t="shared" si="309"/>
        <v>#VALUE!</v>
      </c>
      <c r="AA461" t="e">
        <f t="shared" si="310"/>
        <v>#VALUE!</v>
      </c>
      <c r="AB461" s="23" t="e">
        <f t="shared" si="328"/>
        <v>#VALUE!</v>
      </c>
      <c r="AC461" t="e">
        <f t="shared" si="311"/>
        <v>#VALUE!</v>
      </c>
      <c r="AD461" t="e">
        <f t="shared" si="312"/>
        <v>#VALUE!</v>
      </c>
      <c r="AE461" t="e">
        <f t="shared" si="313"/>
        <v>#VALUE!</v>
      </c>
      <c r="AF461" t="e">
        <f t="shared" si="314"/>
        <v>#VALUE!</v>
      </c>
      <c r="AG461" t="e">
        <f t="shared" si="315"/>
        <v>#VALUE!</v>
      </c>
      <c r="AH461" t="e">
        <f t="shared" si="316"/>
        <v>#VALUE!</v>
      </c>
      <c r="AI461" t="e">
        <f t="shared" si="317"/>
        <v>#VALUE!</v>
      </c>
      <c r="AJ461" s="19" t="e">
        <f t="shared" si="329"/>
        <v>#VALUE!</v>
      </c>
      <c r="AK461" t="e">
        <f t="shared" si="318"/>
        <v>#VALUE!</v>
      </c>
      <c r="AL461" t="e">
        <f t="shared" si="319"/>
        <v>#VALUE!</v>
      </c>
      <c r="AM461" t="e">
        <f t="shared" si="320"/>
        <v>#VALUE!</v>
      </c>
      <c r="AN461" t="e">
        <f t="shared" si="321"/>
        <v>#VALUE!</v>
      </c>
      <c r="AO461" t="e">
        <f t="shared" si="322"/>
        <v>#VALUE!</v>
      </c>
      <c r="AP461" t="e">
        <f t="shared" si="323"/>
        <v>#VALUE!</v>
      </c>
      <c r="AQ461" t="e">
        <f t="shared" si="324"/>
        <v>#VALUE!</v>
      </c>
      <c r="AR461" s="123" t="e">
        <f t="shared" si="330"/>
        <v>#VALUE!</v>
      </c>
      <c r="AS461" t="e">
        <f t="shared" si="325"/>
        <v>#VALUE!</v>
      </c>
      <c r="AT461" s="181" t="e">
        <f>INDEX('stock fisico '!N:N, MATCH(B461, 'stock fisico '!B:B, 0))</f>
        <v>#N/A</v>
      </c>
      <c r="AU461" s="179" t="e">
        <f>INDEX('stock fisico '!D:D, MATCH(B461, 'stock fisico '!B:B, 0))</f>
        <v>#N/A</v>
      </c>
      <c r="AV461" s="177" t="e">
        <f>INDEX('stock fisico '!L:L, MATCH(B461, 'stock fisico '!B:B, 0))</f>
        <v>#N/A</v>
      </c>
    </row>
    <row r="462" spans="1:48" x14ac:dyDescent="0.25">
      <c r="A462" s="181" t="e">
        <f>INDEX('stock fisico '!M:M, MATCH(B462, 'stock fisico '!B:B, 0))</f>
        <v>#N/A</v>
      </c>
      <c r="C462" s="179" t="e">
        <f>INDEX('stock fisico '!C:C, MATCH(B462, 'stock fisico '!B:B, 0))</f>
        <v>#N/A</v>
      </c>
      <c r="D462" s="178" t="e">
        <f>INDEX('stock fisico '!I:I, MATCH(B462, 'stock fisico '!B:B, 0))</f>
        <v>#N/A</v>
      </c>
      <c r="E462" s="173" t="e">
        <f t="shared" si="331"/>
        <v>#VALUE!</v>
      </c>
      <c r="F462" t="e">
        <f t="shared" si="291"/>
        <v>#VALUE!</v>
      </c>
      <c r="G462" t="e">
        <f t="shared" si="292"/>
        <v>#VALUE!</v>
      </c>
      <c r="H462" t="e">
        <f t="shared" si="293"/>
        <v>#VALUE!</v>
      </c>
      <c r="I462" t="e">
        <f t="shared" si="294"/>
        <v>#VALUE!</v>
      </c>
      <c r="J462" t="e">
        <f t="shared" si="295"/>
        <v>#VALUE!</v>
      </c>
      <c r="K462" t="e">
        <f t="shared" si="296"/>
        <v>#VALUE!</v>
      </c>
      <c r="L462" s="175" t="e">
        <f t="shared" si="326"/>
        <v>#VALUE!</v>
      </c>
      <c r="M462" t="e">
        <f t="shared" si="297"/>
        <v>#VALUE!</v>
      </c>
      <c r="N462" t="e">
        <f t="shared" si="298"/>
        <v>#VALUE!</v>
      </c>
      <c r="O462" t="e">
        <f t="shared" si="299"/>
        <v>#VALUE!</v>
      </c>
      <c r="P462" t="e">
        <f t="shared" si="300"/>
        <v>#VALUE!</v>
      </c>
      <c r="Q462" t="e">
        <f t="shared" si="301"/>
        <v>#VALUE!</v>
      </c>
      <c r="R462" t="e">
        <f t="shared" si="302"/>
        <v>#VALUE!</v>
      </c>
      <c r="S462" t="e">
        <f t="shared" si="303"/>
        <v>#VALUE!</v>
      </c>
      <c r="T462" s="174" t="e">
        <f t="shared" si="327"/>
        <v>#VALUE!</v>
      </c>
      <c r="U462" t="e">
        <f t="shared" si="304"/>
        <v>#VALUE!</v>
      </c>
      <c r="V462" t="e">
        <f t="shared" si="305"/>
        <v>#VALUE!</v>
      </c>
      <c r="W462" t="e">
        <f t="shared" si="306"/>
        <v>#VALUE!</v>
      </c>
      <c r="X462" t="e">
        <f t="shared" si="307"/>
        <v>#VALUE!</v>
      </c>
      <c r="Y462" t="e">
        <f t="shared" si="308"/>
        <v>#VALUE!</v>
      </c>
      <c r="Z462" t="e">
        <f t="shared" si="309"/>
        <v>#VALUE!</v>
      </c>
      <c r="AA462" t="e">
        <f t="shared" si="310"/>
        <v>#VALUE!</v>
      </c>
      <c r="AB462" s="23" t="e">
        <f t="shared" si="328"/>
        <v>#VALUE!</v>
      </c>
      <c r="AC462" t="e">
        <f t="shared" si="311"/>
        <v>#VALUE!</v>
      </c>
      <c r="AD462" t="e">
        <f t="shared" si="312"/>
        <v>#VALUE!</v>
      </c>
      <c r="AE462" t="e">
        <f t="shared" si="313"/>
        <v>#VALUE!</v>
      </c>
      <c r="AF462" t="e">
        <f t="shared" si="314"/>
        <v>#VALUE!</v>
      </c>
      <c r="AG462" t="e">
        <f t="shared" si="315"/>
        <v>#VALUE!</v>
      </c>
      <c r="AH462" t="e">
        <f t="shared" si="316"/>
        <v>#VALUE!</v>
      </c>
      <c r="AI462" t="e">
        <f t="shared" si="317"/>
        <v>#VALUE!</v>
      </c>
      <c r="AJ462" s="19" t="e">
        <f t="shared" si="329"/>
        <v>#VALUE!</v>
      </c>
      <c r="AK462" t="e">
        <f t="shared" si="318"/>
        <v>#VALUE!</v>
      </c>
      <c r="AL462" t="e">
        <f t="shared" si="319"/>
        <v>#VALUE!</v>
      </c>
      <c r="AM462" t="e">
        <f t="shared" si="320"/>
        <v>#VALUE!</v>
      </c>
      <c r="AN462" t="e">
        <f t="shared" si="321"/>
        <v>#VALUE!</v>
      </c>
      <c r="AO462" t="e">
        <f t="shared" si="322"/>
        <v>#VALUE!</v>
      </c>
      <c r="AP462" t="e">
        <f t="shared" si="323"/>
        <v>#VALUE!</v>
      </c>
      <c r="AQ462" t="e">
        <f t="shared" si="324"/>
        <v>#VALUE!</v>
      </c>
      <c r="AR462" s="123" t="e">
        <f t="shared" si="330"/>
        <v>#VALUE!</v>
      </c>
      <c r="AS462" t="e">
        <f t="shared" si="325"/>
        <v>#VALUE!</v>
      </c>
      <c r="AT462" s="181" t="e">
        <f>INDEX('stock fisico '!N:N, MATCH(B462, 'stock fisico '!B:B, 0))</f>
        <v>#N/A</v>
      </c>
      <c r="AU462" s="179" t="e">
        <f>INDEX('stock fisico '!D:D, MATCH(B462, 'stock fisico '!B:B, 0))</f>
        <v>#N/A</v>
      </c>
      <c r="AV462" s="177" t="e">
        <f>INDEX('stock fisico '!L:L, MATCH(B462, 'stock fisico '!B:B, 0))</f>
        <v>#N/A</v>
      </c>
    </row>
    <row r="463" spans="1:48" x14ac:dyDescent="0.25">
      <c r="A463" s="181" t="e">
        <f>INDEX('stock fisico '!M:M, MATCH(B463, 'stock fisico '!B:B, 0))</f>
        <v>#N/A</v>
      </c>
      <c r="C463" s="179" t="e">
        <f>INDEX('stock fisico '!C:C, MATCH(B463, 'stock fisico '!B:B, 0))</f>
        <v>#N/A</v>
      </c>
      <c r="D463" s="178" t="e">
        <f>INDEX('stock fisico '!I:I, MATCH(B463, 'stock fisico '!B:B, 0))</f>
        <v>#N/A</v>
      </c>
      <c r="E463" s="173" t="e">
        <f t="shared" si="331"/>
        <v>#VALUE!</v>
      </c>
      <c r="F463" t="e">
        <f t="shared" si="291"/>
        <v>#VALUE!</v>
      </c>
      <c r="G463" t="e">
        <f t="shared" si="292"/>
        <v>#VALUE!</v>
      </c>
      <c r="H463" t="e">
        <f t="shared" si="293"/>
        <v>#VALUE!</v>
      </c>
      <c r="I463" t="e">
        <f t="shared" si="294"/>
        <v>#VALUE!</v>
      </c>
      <c r="J463" t="e">
        <f t="shared" si="295"/>
        <v>#VALUE!</v>
      </c>
      <c r="K463" t="e">
        <f t="shared" si="296"/>
        <v>#VALUE!</v>
      </c>
      <c r="L463" s="175" t="e">
        <f t="shared" si="326"/>
        <v>#VALUE!</v>
      </c>
      <c r="M463" t="e">
        <f t="shared" si="297"/>
        <v>#VALUE!</v>
      </c>
      <c r="N463" t="e">
        <f t="shared" si="298"/>
        <v>#VALUE!</v>
      </c>
      <c r="O463" t="e">
        <f t="shared" si="299"/>
        <v>#VALUE!</v>
      </c>
      <c r="P463" t="e">
        <f t="shared" si="300"/>
        <v>#VALUE!</v>
      </c>
      <c r="Q463" t="e">
        <f t="shared" si="301"/>
        <v>#VALUE!</v>
      </c>
      <c r="R463" t="e">
        <f t="shared" si="302"/>
        <v>#VALUE!</v>
      </c>
      <c r="S463" t="e">
        <f t="shared" si="303"/>
        <v>#VALUE!</v>
      </c>
      <c r="T463" s="174" t="e">
        <f t="shared" si="327"/>
        <v>#VALUE!</v>
      </c>
      <c r="U463" t="e">
        <f t="shared" si="304"/>
        <v>#VALUE!</v>
      </c>
      <c r="V463" t="e">
        <f t="shared" si="305"/>
        <v>#VALUE!</v>
      </c>
      <c r="W463" t="e">
        <f t="shared" si="306"/>
        <v>#VALUE!</v>
      </c>
      <c r="X463" t="e">
        <f t="shared" si="307"/>
        <v>#VALUE!</v>
      </c>
      <c r="Y463" t="e">
        <f t="shared" si="308"/>
        <v>#VALUE!</v>
      </c>
      <c r="Z463" t="e">
        <f t="shared" si="309"/>
        <v>#VALUE!</v>
      </c>
      <c r="AA463" t="e">
        <f t="shared" si="310"/>
        <v>#VALUE!</v>
      </c>
      <c r="AB463" s="23" t="e">
        <f t="shared" si="328"/>
        <v>#VALUE!</v>
      </c>
      <c r="AC463" t="e">
        <f t="shared" si="311"/>
        <v>#VALUE!</v>
      </c>
      <c r="AD463" t="e">
        <f t="shared" si="312"/>
        <v>#VALUE!</v>
      </c>
      <c r="AE463" t="e">
        <f t="shared" si="313"/>
        <v>#VALUE!</v>
      </c>
      <c r="AF463" t="e">
        <f t="shared" si="314"/>
        <v>#VALUE!</v>
      </c>
      <c r="AG463" t="e">
        <f t="shared" si="315"/>
        <v>#VALUE!</v>
      </c>
      <c r="AH463" t="e">
        <f t="shared" si="316"/>
        <v>#VALUE!</v>
      </c>
      <c r="AI463" t="e">
        <f t="shared" si="317"/>
        <v>#VALUE!</v>
      </c>
      <c r="AJ463" s="19" t="e">
        <f t="shared" si="329"/>
        <v>#VALUE!</v>
      </c>
      <c r="AK463" t="e">
        <f t="shared" si="318"/>
        <v>#VALUE!</v>
      </c>
      <c r="AL463" t="e">
        <f t="shared" si="319"/>
        <v>#VALUE!</v>
      </c>
      <c r="AM463" t="e">
        <f t="shared" si="320"/>
        <v>#VALUE!</v>
      </c>
      <c r="AN463" t="e">
        <f t="shared" si="321"/>
        <v>#VALUE!</v>
      </c>
      <c r="AO463" t="e">
        <f t="shared" si="322"/>
        <v>#VALUE!</v>
      </c>
      <c r="AP463" t="e">
        <f t="shared" si="323"/>
        <v>#VALUE!</v>
      </c>
      <c r="AQ463" t="e">
        <f t="shared" si="324"/>
        <v>#VALUE!</v>
      </c>
      <c r="AR463" s="123" t="e">
        <f t="shared" si="330"/>
        <v>#VALUE!</v>
      </c>
      <c r="AS463" t="e">
        <f t="shared" si="325"/>
        <v>#VALUE!</v>
      </c>
      <c r="AT463" s="181" t="e">
        <f>INDEX('stock fisico '!N:N, MATCH(B463, 'stock fisico '!B:B, 0))</f>
        <v>#N/A</v>
      </c>
      <c r="AU463" s="179" t="e">
        <f>INDEX('stock fisico '!D:D, MATCH(B463, 'stock fisico '!B:B, 0))</f>
        <v>#N/A</v>
      </c>
      <c r="AV463" s="177" t="e">
        <f>INDEX('stock fisico '!L:L, MATCH(B463, 'stock fisico '!B:B, 0))</f>
        <v>#N/A</v>
      </c>
    </row>
    <row r="464" spans="1:48" x14ac:dyDescent="0.25">
      <c r="A464" s="181" t="e">
        <f>INDEX('stock fisico '!M:M, MATCH(B464, 'stock fisico '!B:B, 0))</f>
        <v>#N/A</v>
      </c>
      <c r="C464" s="179" t="e">
        <f>INDEX('stock fisico '!C:C, MATCH(B464, 'stock fisico '!B:B, 0))</f>
        <v>#N/A</v>
      </c>
      <c r="D464" s="178" t="e">
        <f>INDEX('stock fisico '!I:I, MATCH(B464, 'stock fisico '!B:B, 0))</f>
        <v>#N/A</v>
      </c>
      <c r="E464" s="173" t="e">
        <f t="shared" si="331"/>
        <v>#VALUE!</v>
      </c>
      <c r="F464" t="e">
        <f t="shared" si="291"/>
        <v>#VALUE!</v>
      </c>
      <c r="G464" t="e">
        <f t="shared" si="292"/>
        <v>#VALUE!</v>
      </c>
      <c r="H464" t="e">
        <f t="shared" si="293"/>
        <v>#VALUE!</v>
      </c>
      <c r="I464" t="e">
        <f t="shared" si="294"/>
        <v>#VALUE!</v>
      </c>
      <c r="J464" t="e">
        <f t="shared" si="295"/>
        <v>#VALUE!</v>
      </c>
      <c r="K464" t="e">
        <f t="shared" si="296"/>
        <v>#VALUE!</v>
      </c>
      <c r="L464" s="175" t="e">
        <f t="shared" si="326"/>
        <v>#VALUE!</v>
      </c>
      <c r="M464" t="e">
        <f t="shared" si="297"/>
        <v>#VALUE!</v>
      </c>
      <c r="N464" t="e">
        <f t="shared" si="298"/>
        <v>#VALUE!</v>
      </c>
      <c r="O464" t="e">
        <f t="shared" si="299"/>
        <v>#VALUE!</v>
      </c>
      <c r="P464" t="e">
        <f t="shared" si="300"/>
        <v>#VALUE!</v>
      </c>
      <c r="Q464" t="e">
        <f t="shared" si="301"/>
        <v>#VALUE!</v>
      </c>
      <c r="R464" t="e">
        <f t="shared" si="302"/>
        <v>#VALUE!</v>
      </c>
      <c r="S464" t="e">
        <f t="shared" si="303"/>
        <v>#VALUE!</v>
      </c>
      <c r="T464" s="174" t="e">
        <f t="shared" si="327"/>
        <v>#VALUE!</v>
      </c>
      <c r="U464" t="e">
        <f t="shared" si="304"/>
        <v>#VALUE!</v>
      </c>
      <c r="V464" t="e">
        <f t="shared" si="305"/>
        <v>#VALUE!</v>
      </c>
      <c r="W464" t="e">
        <f t="shared" si="306"/>
        <v>#VALUE!</v>
      </c>
      <c r="X464" t="e">
        <f t="shared" si="307"/>
        <v>#VALUE!</v>
      </c>
      <c r="Y464" t="e">
        <f t="shared" si="308"/>
        <v>#VALUE!</v>
      </c>
      <c r="Z464" t="e">
        <f t="shared" si="309"/>
        <v>#VALUE!</v>
      </c>
      <c r="AA464" t="e">
        <f t="shared" si="310"/>
        <v>#VALUE!</v>
      </c>
      <c r="AB464" s="23" t="e">
        <f t="shared" si="328"/>
        <v>#VALUE!</v>
      </c>
      <c r="AC464" t="e">
        <f t="shared" si="311"/>
        <v>#VALUE!</v>
      </c>
      <c r="AD464" t="e">
        <f t="shared" si="312"/>
        <v>#VALUE!</v>
      </c>
      <c r="AE464" t="e">
        <f t="shared" si="313"/>
        <v>#VALUE!</v>
      </c>
      <c r="AF464" t="e">
        <f t="shared" si="314"/>
        <v>#VALUE!</v>
      </c>
      <c r="AG464" t="e">
        <f t="shared" si="315"/>
        <v>#VALUE!</v>
      </c>
      <c r="AH464" t="e">
        <f t="shared" si="316"/>
        <v>#VALUE!</v>
      </c>
      <c r="AI464" t="e">
        <f t="shared" si="317"/>
        <v>#VALUE!</v>
      </c>
      <c r="AJ464" s="19" t="e">
        <f t="shared" si="329"/>
        <v>#VALUE!</v>
      </c>
      <c r="AK464" t="e">
        <f t="shared" si="318"/>
        <v>#VALUE!</v>
      </c>
      <c r="AL464" t="e">
        <f t="shared" si="319"/>
        <v>#VALUE!</v>
      </c>
      <c r="AM464" t="e">
        <f t="shared" si="320"/>
        <v>#VALUE!</v>
      </c>
      <c r="AN464" t="e">
        <f t="shared" si="321"/>
        <v>#VALUE!</v>
      </c>
      <c r="AO464" t="e">
        <f t="shared" si="322"/>
        <v>#VALUE!</v>
      </c>
      <c r="AP464" t="e">
        <f t="shared" si="323"/>
        <v>#VALUE!</v>
      </c>
      <c r="AQ464" t="e">
        <f t="shared" si="324"/>
        <v>#VALUE!</v>
      </c>
      <c r="AR464" s="123" t="e">
        <f t="shared" si="330"/>
        <v>#VALUE!</v>
      </c>
      <c r="AS464" t="e">
        <f t="shared" si="325"/>
        <v>#VALUE!</v>
      </c>
      <c r="AT464" s="181" t="e">
        <f>INDEX('stock fisico '!N:N, MATCH(B464, 'stock fisico '!B:B, 0))</f>
        <v>#N/A</v>
      </c>
      <c r="AU464" s="179" t="e">
        <f>INDEX('stock fisico '!D:D, MATCH(B464, 'stock fisico '!B:B, 0))</f>
        <v>#N/A</v>
      </c>
      <c r="AV464" s="177" t="e">
        <f>INDEX('stock fisico '!L:L, MATCH(B464, 'stock fisico '!B:B, 0))</f>
        <v>#N/A</v>
      </c>
    </row>
    <row r="465" spans="1:48" x14ac:dyDescent="0.25">
      <c r="A465" s="181" t="e">
        <f>INDEX('stock fisico '!M:M, MATCH(B465, 'stock fisico '!B:B, 0))</f>
        <v>#N/A</v>
      </c>
      <c r="C465" s="179" t="e">
        <f>INDEX('stock fisico '!C:C, MATCH(B465, 'stock fisico '!B:B, 0))</f>
        <v>#N/A</v>
      </c>
      <c r="D465" s="178" t="e">
        <f>INDEX('stock fisico '!I:I, MATCH(B465, 'stock fisico '!B:B, 0))</f>
        <v>#N/A</v>
      </c>
      <c r="E465" s="173" t="e">
        <f t="shared" si="331"/>
        <v>#VALUE!</v>
      </c>
      <c r="F465" t="e">
        <f t="shared" si="291"/>
        <v>#VALUE!</v>
      </c>
      <c r="G465" t="e">
        <f t="shared" si="292"/>
        <v>#VALUE!</v>
      </c>
      <c r="H465" t="e">
        <f t="shared" si="293"/>
        <v>#VALUE!</v>
      </c>
      <c r="I465" t="e">
        <f t="shared" si="294"/>
        <v>#VALUE!</v>
      </c>
      <c r="J465" t="e">
        <f t="shared" si="295"/>
        <v>#VALUE!</v>
      </c>
      <c r="K465" t="e">
        <f t="shared" si="296"/>
        <v>#VALUE!</v>
      </c>
      <c r="L465" s="175" t="e">
        <f t="shared" si="326"/>
        <v>#VALUE!</v>
      </c>
      <c r="M465" t="e">
        <f t="shared" si="297"/>
        <v>#VALUE!</v>
      </c>
      <c r="N465" t="e">
        <f t="shared" si="298"/>
        <v>#VALUE!</v>
      </c>
      <c r="O465" t="e">
        <f t="shared" si="299"/>
        <v>#VALUE!</v>
      </c>
      <c r="P465" t="e">
        <f t="shared" si="300"/>
        <v>#VALUE!</v>
      </c>
      <c r="Q465" t="e">
        <f t="shared" si="301"/>
        <v>#VALUE!</v>
      </c>
      <c r="R465" t="e">
        <f t="shared" si="302"/>
        <v>#VALUE!</v>
      </c>
      <c r="S465" t="e">
        <f t="shared" si="303"/>
        <v>#VALUE!</v>
      </c>
      <c r="T465" s="174" t="e">
        <f t="shared" si="327"/>
        <v>#VALUE!</v>
      </c>
      <c r="U465" t="e">
        <f t="shared" si="304"/>
        <v>#VALUE!</v>
      </c>
      <c r="V465" t="e">
        <f t="shared" si="305"/>
        <v>#VALUE!</v>
      </c>
      <c r="W465" t="e">
        <f t="shared" si="306"/>
        <v>#VALUE!</v>
      </c>
      <c r="X465" t="e">
        <f t="shared" si="307"/>
        <v>#VALUE!</v>
      </c>
      <c r="Y465" t="e">
        <f t="shared" si="308"/>
        <v>#VALUE!</v>
      </c>
      <c r="Z465" t="e">
        <f t="shared" si="309"/>
        <v>#VALUE!</v>
      </c>
      <c r="AA465" t="e">
        <f t="shared" si="310"/>
        <v>#VALUE!</v>
      </c>
      <c r="AB465" s="23" t="e">
        <f t="shared" si="328"/>
        <v>#VALUE!</v>
      </c>
      <c r="AC465" t="e">
        <f t="shared" si="311"/>
        <v>#VALUE!</v>
      </c>
      <c r="AD465" t="e">
        <f t="shared" si="312"/>
        <v>#VALUE!</v>
      </c>
      <c r="AE465" t="e">
        <f t="shared" si="313"/>
        <v>#VALUE!</v>
      </c>
      <c r="AF465" t="e">
        <f t="shared" si="314"/>
        <v>#VALUE!</v>
      </c>
      <c r="AG465" t="e">
        <f t="shared" si="315"/>
        <v>#VALUE!</v>
      </c>
      <c r="AH465" t="e">
        <f t="shared" si="316"/>
        <v>#VALUE!</v>
      </c>
      <c r="AI465" t="e">
        <f t="shared" si="317"/>
        <v>#VALUE!</v>
      </c>
      <c r="AJ465" s="19" t="e">
        <f t="shared" si="329"/>
        <v>#VALUE!</v>
      </c>
      <c r="AK465" t="e">
        <f t="shared" si="318"/>
        <v>#VALUE!</v>
      </c>
      <c r="AL465" t="e">
        <f t="shared" si="319"/>
        <v>#VALUE!</v>
      </c>
      <c r="AM465" t="e">
        <f t="shared" si="320"/>
        <v>#VALUE!</v>
      </c>
      <c r="AN465" t="e">
        <f t="shared" si="321"/>
        <v>#VALUE!</v>
      </c>
      <c r="AO465" t="e">
        <f t="shared" si="322"/>
        <v>#VALUE!</v>
      </c>
      <c r="AP465" t="e">
        <f t="shared" si="323"/>
        <v>#VALUE!</v>
      </c>
      <c r="AQ465" t="e">
        <f t="shared" si="324"/>
        <v>#VALUE!</v>
      </c>
      <c r="AR465" s="123" t="e">
        <f t="shared" si="330"/>
        <v>#VALUE!</v>
      </c>
      <c r="AS465" t="e">
        <f t="shared" si="325"/>
        <v>#VALUE!</v>
      </c>
      <c r="AT465" s="181" t="e">
        <f>INDEX('stock fisico '!N:N, MATCH(B465, 'stock fisico '!B:B, 0))</f>
        <v>#N/A</v>
      </c>
      <c r="AU465" s="179" t="e">
        <f>INDEX('stock fisico '!D:D, MATCH(B465, 'stock fisico '!B:B, 0))</f>
        <v>#N/A</v>
      </c>
      <c r="AV465" s="177" t="e">
        <f>INDEX('stock fisico '!L:L, MATCH(B465, 'stock fisico '!B:B, 0))</f>
        <v>#N/A</v>
      </c>
    </row>
    <row r="466" spans="1:48" x14ac:dyDescent="0.25">
      <c r="A466" s="181" t="e">
        <f>INDEX('stock fisico '!M:M, MATCH(B466, 'stock fisico '!B:B, 0))</f>
        <v>#N/A</v>
      </c>
      <c r="C466" s="179" t="e">
        <f>INDEX('stock fisico '!C:C, MATCH(B466, 'stock fisico '!B:B, 0))</f>
        <v>#N/A</v>
      </c>
      <c r="D466" s="178" t="e">
        <f>INDEX('stock fisico '!I:I, MATCH(B466, 'stock fisico '!B:B, 0))</f>
        <v>#N/A</v>
      </c>
      <c r="E466" s="173" t="e">
        <f t="shared" si="331"/>
        <v>#VALUE!</v>
      </c>
      <c r="F466" t="e">
        <f t="shared" si="291"/>
        <v>#VALUE!</v>
      </c>
      <c r="G466" t="e">
        <f t="shared" si="292"/>
        <v>#VALUE!</v>
      </c>
      <c r="H466" t="e">
        <f t="shared" si="293"/>
        <v>#VALUE!</v>
      </c>
      <c r="I466" t="e">
        <f t="shared" si="294"/>
        <v>#VALUE!</v>
      </c>
      <c r="J466" t="e">
        <f t="shared" si="295"/>
        <v>#VALUE!</v>
      </c>
      <c r="K466" t="e">
        <f t="shared" si="296"/>
        <v>#VALUE!</v>
      </c>
      <c r="L466" s="175" t="e">
        <f t="shared" si="326"/>
        <v>#VALUE!</v>
      </c>
      <c r="M466" t="e">
        <f t="shared" si="297"/>
        <v>#VALUE!</v>
      </c>
      <c r="N466" t="e">
        <f t="shared" si="298"/>
        <v>#VALUE!</v>
      </c>
      <c r="O466" t="e">
        <f t="shared" si="299"/>
        <v>#VALUE!</v>
      </c>
      <c r="P466" t="e">
        <f t="shared" si="300"/>
        <v>#VALUE!</v>
      </c>
      <c r="Q466" t="e">
        <f t="shared" si="301"/>
        <v>#VALUE!</v>
      </c>
      <c r="R466" t="e">
        <f t="shared" si="302"/>
        <v>#VALUE!</v>
      </c>
      <c r="S466" t="e">
        <f t="shared" si="303"/>
        <v>#VALUE!</v>
      </c>
      <c r="T466" s="174" t="e">
        <f t="shared" si="327"/>
        <v>#VALUE!</v>
      </c>
      <c r="U466" t="e">
        <f t="shared" si="304"/>
        <v>#VALUE!</v>
      </c>
      <c r="V466" t="e">
        <f t="shared" si="305"/>
        <v>#VALUE!</v>
      </c>
      <c r="W466" t="e">
        <f t="shared" si="306"/>
        <v>#VALUE!</v>
      </c>
      <c r="X466" t="e">
        <f t="shared" si="307"/>
        <v>#VALUE!</v>
      </c>
      <c r="Y466" t="e">
        <f t="shared" si="308"/>
        <v>#VALUE!</v>
      </c>
      <c r="Z466" t="e">
        <f t="shared" si="309"/>
        <v>#VALUE!</v>
      </c>
      <c r="AA466" t="e">
        <f t="shared" si="310"/>
        <v>#VALUE!</v>
      </c>
      <c r="AB466" s="23" t="e">
        <f t="shared" si="328"/>
        <v>#VALUE!</v>
      </c>
      <c r="AC466" t="e">
        <f t="shared" si="311"/>
        <v>#VALUE!</v>
      </c>
      <c r="AD466" t="e">
        <f t="shared" si="312"/>
        <v>#VALUE!</v>
      </c>
      <c r="AE466" t="e">
        <f t="shared" si="313"/>
        <v>#VALUE!</v>
      </c>
      <c r="AF466" t="e">
        <f t="shared" si="314"/>
        <v>#VALUE!</v>
      </c>
      <c r="AG466" t="e">
        <f t="shared" si="315"/>
        <v>#VALUE!</v>
      </c>
      <c r="AH466" t="e">
        <f t="shared" si="316"/>
        <v>#VALUE!</v>
      </c>
      <c r="AI466" t="e">
        <f t="shared" si="317"/>
        <v>#VALUE!</v>
      </c>
      <c r="AJ466" s="19" t="e">
        <f t="shared" si="329"/>
        <v>#VALUE!</v>
      </c>
      <c r="AK466" t="e">
        <f t="shared" si="318"/>
        <v>#VALUE!</v>
      </c>
      <c r="AL466" t="e">
        <f t="shared" si="319"/>
        <v>#VALUE!</v>
      </c>
      <c r="AM466" t="e">
        <f t="shared" si="320"/>
        <v>#VALUE!</v>
      </c>
      <c r="AN466" t="e">
        <f t="shared" si="321"/>
        <v>#VALUE!</v>
      </c>
      <c r="AO466" t="e">
        <f t="shared" si="322"/>
        <v>#VALUE!</v>
      </c>
      <c r="AP466" t="e">
        <f t="shared" si="323"/>
        <v>#VALUE!</v>
      </c>
      <c r="AQ466" t="e">
        <f t="shared" si="324"/>
        <v>#VALUE!</v>
      </c>
      <c r="AR466" s="123" t="e">
        <f t="shared" si="330"/>
        <v>#VALUE!</v>
      </c>
      <c r="AS466" t="e">
        <f t="shared" si="325"/>
        <v>#VALUE!</v>
      </c>
      <c r="AT466" s="181" t="e">
        <f>INDEX('stock fisico '!N:N, MATCH(B466, 'stock fisico '!B:B, 0))</f>
        <v>#N/A</v>
      </c>
      <c r="AU466" s="179" t="e">
        <f>INDEX('stock fisico '!D:D, MATCH(B466, 'stock fisico '!B:B, 0))</f>
        <v>#N/A</v>
      </c>
      <c r="AV466" s="177" t="e">
        <f>INDEX('stock fisico '!L:L, MATCH(B466, 'stock fisico '!B:B, 0))</f>
        <v>#N/A</v>
      </c>
    </row>
    <row r="467" spans="1:48" x14ac:dyDescent="0.25">
      <c r="A467" s="181" t="e">
        <f>INDEX('stock fisico '!M:M, MATCH(B467, 'stock fisico '!B:B, 0))</f>
        <v>#N/A</v>
      </c>
      <c r="C467" s="179" t="e">
        <f>INDEX('stock fisico '!C:C, MATCH(B467, 'stock fisico '!B:B, 0))</f>
        <v>#N/A</v>
      </c>
      <c r="D467" s="178" t="e">
        <f>INDEX('stock fisico '!I:I, MATCH(B467, 'stock fisico '!B:B, 0))</f>
        <v>#N/A</v>
      </c>
      <c r="E467" s="173" t="e">
        <f t="shared" si="331"/>
        <v>#VALUE!</v>
      </c>
      <c r="F467" t="e">
        <f t="shared" si="291"/>
        <v>#VALUE!</v>
      </c>
      <c r="G467" t="e">
        <f t="shared" si="292"/>
        <v>#VALUE!</v>
      </c>
      <c r="H467" t="e">
        <f t="shared" si="293"/>
        <v>#VALUE!</v>
      </c>
      <c r="I467" t="e">
        <f t="shared" si="294"/>
        <v>#VALUE!</v>
      </c>
      <c r="J467" t="e">
        <f t="shared" si="295"/>
        <v>#VALUE!</v>
      </c>
      <c r="K467" t="e">
        <f t="shared" si="296"/>
        <v>#VALUE!</v>
      </c>
      <c r="L467" s="175" t="e">
        <f t="shared" si="326"/>
        <v>#VALUE!</v>
      </c>
      <c r="M467" t="e">
        <f t="shared" si="297"/>
        <v>#VALUE!</v>
      </c>
      <c r="N467" t="e">
        <f t="shared" si="298"/>
        <v>#VALUE!</v>
      </c>
      <c r="O467" t="e">
        <f t="shared" si="299"/>
        <v>#VALUE!</v>
      </c>
      <c r="P467" t="e">
        <f t="shared" si="300"/>
        <v>#VALUE!</v>
      </c>
      <c r="Q467" t="e">
        <f t="shared" si="301"/>
        <v>#VALUE!</v>
      </c>
      <c r="R467" t="e">
        <f t="shared" si="302"/>
        <v>#VALUE!</v>
      </c>
      <c r="S467" t="e">
        <f t="shared" si="303"/>
        <v>#VALUE!</v>
      </c>
      <c r="T467" s="174" t="e">
        <f t="shared" si="327"/>
        <v>#VALUE!</v>
      </c>
      <c r="U467" t="e">
        <f t="shared" si="304"/>
        <v>#VALUE!</v>
      </c>
      <c r="V467" t="e">
        <f t="shared" si="305"/>
        <v>#VALUE!</v>
      </c>
      <c r="W467" t="e">
        <f t="shared" si="306"/>
        <v>#VALUE!</v>
      </c>
      <c r="X467" t="e">
        <f t="shared" si="307"/>
        <v>#VALUE!</v>
      </c>
      <c r="Y467" t="e">
        <f t="shared" si="308"/>
        <v>#VALUE!</v>
      </c>
      <c r="Z467" t="e">
        <f t="shared" si="309"/>
        <v>#VALUE!</v>
      </c>
      <c r="AA467" t="e">
        <f t="shared" si="310"/>
        <v>#VALUE!</v>
      </c>
      <c r="AB467" s="23" t="e">
        <f t="shared" si="328"/>
        <v>#VALUE!</v>
      </c>
      <c r="AC467" t="e">
        <f t="shared" si="311"/>
        <v>#VALUE!</v>
      </c>
      <c r="AD467" t="e">
        <f t="shared" si="312"/>
        <v>#VALUE!</v>
      </c>
      <c r="AE467" t="e">
        <f t="shared" si="313"/>
        <v>#VALUE!</v>
      </c>
      <c r="AF467" t="e">
        <f t="shared" si="314"/>
        <v>#VALUE!</v>
      </c>
      <c r="AG467" t="e">
        <f t="shared" si="315"/>
        <v>#VALUE!</v>
      </c>
      <c r="AH467" t="e">
        <f t="shared" si="316"/>
        <v>#VALUE!</v>
      </c>
      <c r="AI467" t="e">
        <f t="shared" si="317"/>
        <v>#VALUE!</v>
      </c>
      <c r="AJ467" s="19" t="e">
        <f t="shared" si="329"/>
        <v>#VALUE!</v>
      </c>
      <c r="AK467" t="e">
        <f t="shared" si="318"/>
        <v>#VALUE!</v>
      </c>
      <c r="AL467" t="e">
        <f t="shared" si="319"/>
        <v>#VALUE!</v>
      </c>
      <c r="AM467" t="e">
        <f t="shared" si="320"/>
        <v>#VALUE!</v>
      </c>
      <c r="AN467" t="e">
        <f t="shared" si="321"/>
        <v>#VALUE!</v>
      </c>
      <c r="AO467" t="e">
        <f t="shared" si="322"/>
        <v>#VALUE!</v>
      </c>
      <c r="AP467" t="e">
        <f t="shared" si="323"/>
        <v>#VALUE!</v>
      </c>
      <c r="AQ467" t="e">
        <f t="shared" si="324"/>
        <v>#VALUE!</v>
      </c>
      <c r="AR467" s="123" t="e">
        <f t="shared" si="330"/>
        <v>#VALUE!</v>
      </c>
      <c r="AS467" t="e">
        <f t="shared" si="325"/>
        <v>#VALUE!</v>
      </c>
      <c r="AT467" s="181" t="e">
        <f>INDEX('stock fisico '!N:N, MATCH(B467, 'stock fisico '!B:B, 0))</f>
        <v>#N/A</v>
      </c>
      <c r="AU467" s="179" t="e">
        <f>INDEX('stock fisico '!D:D, MATCH(B467, 'stock fisico '!B:B, 0))</f>
        <v>#N/A</v>
      </c>
      <c r="AV467" s="177" t="e">
        <f>INDEX('stock fisico '!L:L, MATCH(B467, 'stock fisico '!B:B, 0))</f>
        <v>#N/A</v>
      </c>
    </row>
    <row r="468" spans="1:48" x14ac:dyDescent="0.25">
      <c r="A468" s="181" t="e">
        <f>INDEX('stock fisico '!M:M, MATCH(B468, 'stock fisico '!B:B, 0))</f>
        <v>#N/A</v>
      </c>
      <c r="C468" s="179" t="e">
        <f>INDEX('stock fisico '!C:C, MATCH(B468, 'stock fisico '!B:B, 0))</f>
        <v>#N/A</v>
      </c>
      <c r="D468" s="178" t="e">
        <f>INDEX('stock fisico '!I:I, MATCH(B468, 'stock fisico '!B:B, 0))</f>
        <v>#N/A</v>
      </c>
      <c r="E468" s="173" t="e">
        <f t="shared" si="331"/>
        <v>#VALUE!</v>
      </c>
      <c r="F468" t="e">
        <f t="shared" si="291"/>
        <v>#VALUE!</v>
      </c>
      <c r="G468" t="e">
        <f t="shared" si="292"/>
        <v>#VALUE!</v>
      </c>
      <c r="H468" t="e">
        <f t="shared" si="293"/>
        <v>#VALUE!</v>
      </c>
      <c r="I468" t="e">
        <f t="shared" si="294"/>
        <v>#VALUE!</v>
      </c>
      <c r="J468" t="e">
        <f t="shared" si="295"/>
        <v>#VALUE!</v>
      </c>
      <c r="K468" t="e">
        <f t="shared" si="296"/>
        <v>#VALUE!</v>
      </c>
      <c r="L468" s="175" t="e">
        <f t="shared" si="326"/>
        <v>#VALUE!</v>
      </c>
      <c r="M468" t="e">
        <f t="shared" si="297"/>
        <v>#VALUE!</v>
      </c>
      <c r="N468" t="e">
        <f t="shared" si="298"/>
        <v>#VALUE!</v>
      </c>
      <c r="O468" t="e">
        <f t="shared" si="299"/>
        <v>#VALUE!</v>
      </c>
      <c r="P468" t="e">
        <f t="shared" si="300"/>
        <v>#VALUE!</v>
      </c>
      <c r="Q468" t="e">
        <f t="shared" si="301"/>
        <v>#VALUE!</v>
      </c>
      <c r="R468" t="e">
        <f t="shared" si="302"/>
        <v>#VALUE!</v>
      </c>
      <c r="S468" t="e">
        <f t="shared" si="303"/>
        <v>#VALUE!</v>
      </c>
      <c r="T468" s="174" t="e">
        <f t="shared" si="327"/>
        <v>#VALUE!</v>
      </c>
      <c r="U468" t="e">
        <f t="shared" si="304"/>
        <v>#VALUE!</v>
      </c>
      <c r="V468" t="e">
        <f t="shared" si="305"/>
        <v>#VALUE!</v>
      </c>
      <c r="W468" t="e">
        <f t="shared" si="306"/>
        <v>#VALUE!</v>
      </c>
      <c r="X468" t="e">
        <f t="shared" si="307"/>
        <v>#VALUE!</v>
      </c>
      <c r="Y468" t="e">
        <f t="shared" si="308"/>
        <v>#VALUE!</v>
      </c>
      <c r="Z468" t="e">
        <f t="shared" si="309"/>
        <v>#VALUE!</v>
      </c>
      <c r="AA468" t="e">
        <f t="shared" si="310"/>
        <v>#VALUE!</v>
      </c>
      <c r="AB468" s="23" t="e">
        <f t="shared" si="328"/>
        <v>#VALUE!</v>
      </c>
      <c r="AC468" t="e">
        <f t="shared" si="311"/>
        <v>#VALUE!</v>
      </c>
      <c r="AD468" t="e">
        <f t="shared" si="312"/>
        <v>#VALUE!</v>
      </c>
      <c r="AE468" t="e">
        <f t="shared" si="313"/>
        <v>#VALUE!</v>
      </c>
      <c r="AF468" t="e">
        <f t="shared" si="314"/>
        <v>#VALUE!</v>
      </c>
      <c r="AG468" t="e">
        <f t="shared" si="315"/>
        <v>#VALUE!</v>
      </c>
      <c r="AH468" t="e">
        <f t="shared" si="316"/>
        <v>#VALUE!</v>
      </c>
      <c r="AI468" t="e">
        <f t="shared" si="317"/>
        <v>#VALUE!</v>
      </c>
      <c r="AJ468" s="19" t="e">
        <f t="shared" si="329"/>
        <v>#VALUE!</v>
      </c>
      <c r="AK468" t="e">
        <f t="shared" si="318"/>
        <v>#VALUE!</v>
      </c>
      <c r="AL468" t="e">
        <f t="shared" si="319"/>
        <v>#VALUE!</v>
      </c>
      <c r="AM468" t="e">
        <f t="shared" si="320"/>
        <v>#VALUE!</v>
      </c>
      <c r="AN468" t="e">
        <f t="shared" si="321"/>
        <v>#VALUE!</v>
      </c>
      <c r="AO468" t="e">
        <f t="shared" si="322"/>
        <v>#VALUE!</v>
      </c>
      <c r="AP468" t="e">
        <f t="shared" si="323"/>
        <v>#VALUE!</v>
      </c>
      <c r="AQ468" t="e">
        <f t="shared" si="324"/>
        <v>#VALUE!</v>
      </c>
      <c r="AR468" s="123" t="e">
        <f t="shared" si="330"/>
        <v>#VALUE!</v>
      </c>
      <c r="AS468" t="e">
        <f t="shared" si="325"/>
        <v>#VALUE!</v>
      </c>
      <c r="AT468" s="181" t="e">
        <f>INDEX('stock fisico '!N:N, MATCH(B468, 'stock fisico '!B:B, 0))</f>
        <v>#N/A</v>
      </c>
      <c r="AU468" s="179" t="e">
        <f>INDEX('stock fisico '!D:D, MATCH(B468, 'stock fisico '!B:B, 0))</f>
        <v>#N/A</v>
      </c>
      <c r="AV468" s="177" t="e">
        <f>INDEX('stock fisico '!L:L, MATCH(B468, 'stock fisico '!B:B, 0))</f>
        <v>#N/A</v>
      </c>
    </row>
    <row r="469" spans="1:48" x14ac:dyDescent="0.25">
      <c r="A469" s="181" t="e">
        <f>INDEX('stock fisico '!M:M, MATCH(B469, 'stock fisico '!B:B, 0))</f>
        <v>#N/A</v>
      </c>
      <c r="C469" s="179" t="e">
        <f>INDEX('stock fisico '!C:C, MATCH(B469, 'stock fisico '!B:B, 0))</f>
        <v>#N/A</v>
      </c>
      <c r="D469" s="178" t="e">
        <f>INDEX('stock fisico '!I:I, MATCH(B469, 'stock fisico '!B:B, 0))</f>
        <v>#N/A</v>
      </c>
      <c r="E469" s="173" t="e">
        <f t="shared" si="331"/>
        <v>#VALUE!</v>
      </c>
      <c r="F469" t="e">
        <f t="shared" si="291"/>
        <v>#VALUE!</v>
      </c>
      <c r="G469" t="e">
        <f t="shared" si="292"/>
        <v>#VALUE!</v>
      </c>
      <c r="H469" t="e">
        <f t="shared" si="293"/>
        <v>#VALUE!</v>
      </c>
      <c r="I469" t="e">
        <f t="shared" si="294"/>
        <v>#VALUE!</v>
      </c>
      <c r="J469" t="e">
        <f t="shared" si="295"/>
        <v>#VALUE!</v>
      </c>
      <c r="K469" t="e">
        <f t="shared" si="296"/>
        <v>#VALUE!</v>
      </c>
      <c r="L469" s="175" t="e">
        <f t="shared" si="326"/>
        <v>#VALUE!</v>
      </c>
      <c r="M469" t="e">
        <f t="shared" si="297"/>
        <v>#VALUE!</v>
      </c>
      <c r="N469" t="e">
        <f t="shared" si="298"/>
        <v>#VALUE!</v>
      </c>
      <c r="O469" t="e">
        <f t="shared" si="299"/>
        <v>#VALUE!</v>
      </c>
      <c r="P469" t="e">
        <f t="shared" si="300"/>
        <v>#VALUE!</v>
      </c>
      <c r="Q469" t="e">
        <f t="shared" si="301"/>
        <v>#VALUE!</v>
      </c>
      <c r="R469" t="e">
        <f t="shared" si="302"/>
        <v>#VALUE!</v>
      </c>
      <c r="S469" t="e">
        <f t="shared" si="303"/>
        <v>#VALUE!</v>
      </c>
      <c r="T469" s="174" t="e">
        <f t="shared" si="327"/>
        <v>#VALUE!</v>
      </c>
      <c r="U469" t="e">
        <f t="shared" si="304"/>
        <v>#VALUE!</v>
      </c>
      <c r="V469" t="e">
        <f t="shared" si="305"/>
        <v>#VALUE!</v>
      </c>
      <c r="W469" t="e">
        <f t="shared" si="306"/>
        <v>#VALUE!</v>
      </c>
      <c r="X469" t="e">
        <f t="shared" si="307"/>
        <v>#VALUE!</v>
      </c>
      <c r="Y469" t="e">
        <f t="shared" si="308"/>
        <v>#VALUE!</v>
      </c>
      <c r="Z469" t="e">
        <f t="shared" si="309"/>
        <v>#VALUE!</v>
      </c>
      <c r="AA469" t="e">
        <f t="shared" si="310"/>
        <v>#VALUE!</v>
      </c>
      <c r="AB469" s="23" t="e">
        <f t="shared" si="328"/>
        <v>#VALUE!</v>
      </c>
      <c r="AC469" t="e">
        <f t="shared" si="311"/>
        <v>#VALUE!</v>
      </c>
      <c r="AD469" t="e">
        <f t="shared" si="312"/>
        <v>#VALUE!</v>
      </c>
      <c r="AE469" t="e">
        <f t="shared" si="313"/>
        <v>#VALUE!</v>
      </c>
      <c r="AF469" t="e">
        <f t="shared" si="314"/>
        <v>#VALUE!</v>
      </c>
      <c r="AG469" t="e">
        <f t="shared" si="315"/>
        <v>#VALUE!</v>
      </c>
      <c r="AH469" t="e">
        <f t="shared" si="316"/>
        <v>#VALUE!</v>
      </c>
      <c r="AI469" t="e">
        <f t="shared" si="317"/>
        <v>#VALUE!</v>
      </c>
      <c r="AJ469" s="19" t="e">
        <f t="shared" si="329"/>
        <v>#VALUE!</v>
      </c>
      <c r="AK469" t="e">
        <f t="shared" si="318"/>
        <v>#VALUE!</v>
      </c>
      <c r="AL469" t="e">
        <f t="shared" si="319"/>
        <v>#VALUE!</v>
      </c>
      <c r="AM469" t="e">
        <f t="shared" si="320"/>
        <v>#VALUE!</v>
      </c>
      <c r="AN469" t="e">
        <f t="shared" si="321"/>
        <v>#VALUE!</v>
      </c>
      <c r="AO469" t="e">
        <f t="shared" si="322"/>
        <v>#VALUE!</v>
      </c>
      <c r="AP469" t="e">
        <f t="shared" si="323"/>
        <v>#VALUE!</v>
      </c>
      <c r="AQ469" t="e">
        <f t="shared" si="324"/>
        <v>#VALUE!</v>
      </c>
      <c r="AR469" s="123" t="e">
        <f t="shared" si="330"/>
        <v>#VALUE!</v>
      </c>
      <c r="AS469" t="e">
        <f t="shared" si="325"/>
        <v>#VALUE!</v>
      </c>
      <c r="AT469" s="181" t="e">
        <f>INDEX('stock fisico '!N:N, MATCH(B469, 'stock fisico '!B:B, 0))</f>
        <v>#N/A</v>
      </c>
      <c r="AU469" s="179" t="e">
        <f>INDEX('stock fisico '!D:D, MATCH(B469, 'stock fisico '!B:B, 0))</f>
        <v>#N/A</v>
      </c>
      <c r="AV469" s="177" t="e">
        <f>INDEX('stock fisico '!L:L, MATCH(B469, 'stock fisico '!B:B, 0))</f>
        <v>#N/A</v>
      </c>
    </row>
    <row r="470" spans="1:48" x14ac:dyDescent="0.25">
      <c r="A470" s="181" t="e">
        <f>INDEX('stock fisico '!M:M, MATCH(B470, 'stock fisico '!B:B, 0))</f>
        <v>#N/A</v>
      </c>
      <c r="C470" s="179" t="e">
        <f>INDEX('stock fisico '!C:C, MATCH(B470, 'stock fisico '!B:B, 0))</f>
        <v>#N/A</v>
      </c>
      <c r="D470" s="178" t="e">
        <f>INDEX('stock fisico '!I:I, MATCH(B470, 'stock fisico '!B:B, 0))</f>
        <v>#N/A</v>
      </c>
      <c r="E470" s="173" t="e">
        <f t="shared" si="331"/>
        <v>#VALUE!</v>
      </c>
      <c r="F470" t="e">
        <f t="shared" si="291"/>
        <v>#VALUE!</v>
      </c>
      <c r="G470" t="e">
        <f t="shared" si="292"/>
        <v>#VALUE!</v>
      </c>
      <c r="H470" t="e">
        <f t="shared" si="293"/>
        <v>#VALUE!</v>
      </c>
      <c r="I470" t="e">
        <f t="shared" si="294"/>
        <v>#VALUE!</v>
      </c>
      <c r="J470" t="e">
        <f t="shared" si="295"/>
        <v>#VALUE!</v>
      </c>
      <c r="K470" t="e">
        <f t="shared" si="296"/>
        <v>#VALUE!</v>
      </c>
      <c r="L470" s="175" t="e">
        <f t="shared" si="326"/>
        <v>#VALUE!</v>
      </c>
      <c r="M470" t="e">
        <f t="shared" si="297"/>
        <v>#VALUE!</v>
      </c>
      <c r="N470" t="e">
        <f t="shared" si="298"/>
        <v>#VALUE!</v>
      </c>
      <c r="O470" t="e">
        <f t="shared" si="299"/>
        <v>#VALUE!</v>
      </c>
      <c r="P470" t="e">
        <f t="shared" si="300"/>
        <v>#VALUE!</v>
      </c>
      <c r="Q470" t="e">
        <f t="shared" si="301"/>
        <v>#VALUE!</v>
      </c>
      <c r="R470" t="e">
        <f t="shared" si="302"/>
        <v>#VALUE!</v>
      </c>
      <c r="S470" t="e">
        <f t="shared" si="303"/>
        <v>#VALUE!</v>
      </c>
      <c r="T470" s="174" t="e">
        <f t="shared" si="327"/>
        <v>#VALUE!</v>
      </c>
      <c r="U470" t="e">
        <f t="shared" si="304"/>
        <v>#VALUE!</v>
      </c>
      <c r="V470" t="e">
        <f t="shared" si="305"/>
        <v>#VALUE!</v>
      </c>
      <c r="W470" t="e">
        <f t="shared" si="306"/>
        <v>#VALUE!</v>
      </c>
      <c r="X470" t="e">
        <f t="shared" si="307"/>
        <v>#VALUE!</v>
      </c>
      <c r="Y470" t="e">
        <f t="shared" si="308"/>
        <v>#VALUE!</v>
      </c>
      <c r="Z470" t="e">
        <f t="shared" si="309"/>
        <v>#VALUE!</v>
      </c>
      <c r="AA470" t="e">
        <f t="shared" si="310"/>
        <v>#VALUE!</v>
      </c>
      <c r="AB470" s="23" t="e">
        <f t="shared" si="328"/>
        <v>#VALUE!</v>
      </c>
      <c r="AC470" t="e">
        <f t="shared" si="311"/>
        <v>#VALUE!</v>
      </c>
      <c r="AD470" t="e">
        <f t="shared" si="312"/>
        <v>#VALUE!</v>
      </c>
      <c r="AE470" t="e">
        <f t="shared" si="313"/>
        <v>#VALUE!</v>
      </c>
      <c r="AF470" t="e">
        <f t="shared" si="314"/>
        <v>#VALUE!</v>
      </c>
      <c r="AG470" t="e">
        <f t="shared" si="315"/>
        <v>#VALUE!</v>
      </c>
      <c r="AH470" t="e">
        <f t="shared" si="316"/>
        <v>#VALUE!</v>
      </c>
      <c r="AI470" t="e">
        <f t="shared" si="317"/>
        <v>#VALUE!</v>
      </c>
      <c r="AJ470" s="19" t="e">
        <f t="shared" si="329"/>
        <v>#VALUE!</v>
      </c>
      <c r="AK470" t="e">
        <f t="shared" si="318"/>
        <v>#VALUE!</v>
      </c>
      <c r="AL470" t="e">
        <f t="shared" si="319"/>
        <v>#VALUE!</v>
      </c>
      <c r="AM470" t="e">
        <f t="shared" si="320"/>
        <v>#VALUE!</v>
      </c>
      <c r="AN470" t="e">
        <f t="shared" si="321"/>
        <v>#VALUE!</v>
      </c>
      <c r="AO470" t="e">
        <f t="shared" si="322"/>
        <v>#VALUE!</v>
      </c>
      <c r="AP470" t="e">
        <f t="shared" si="323"/>
        <v>#VALUE!</v>
      </c>
      <c r="AQ470" t="e">
        <f t="shared" si="324"/>
        <v>#VALUE!</v>
      </c>
      <c r="AR470" s="123" t="e">
        <f t="shared" si="330"/>
        <v>#VALUE!</v>
      </c>
      <c r="AS470" t="e">
        <f t="shared" si="325"/>
        <v>#VALUE!</v>
      </c>
      <c r="AT470" s="181" t="e">
        <f>INDEX('stock fisico '!N:N, MATCH(B470, 'stock fisico '!B:B, 0))</f>
        <v>#N/A</v>
      </c>
      <c r="AU470" s="179" t="e">
        <f>INDEX('stock fisico '!D:D, MATCH(B470, 'stock fisico '!B:B, 0))</f>
        <v>#N/A</v>
      </c>
      <c r="AV470" s="177" t="e">
        <f>INDEX('stock fisico '!L:L, MATCH(B470, 'stock fisico '!B:B, 0))</f>
        <v>#N/A</v>
      </c>
    </row>
    <row r="471" spans="1:48" x14ac:dyDescent="0.25">
      <c r="A471" s="181" t="e">
        <f>INDEX('stock fisico '!M:M, MATCH(B471, 'stock fisico '!B:B, 0))</f>
        <v>#N/A</v>
      </c>
      <c r="C471" s="179" t="e">
        <f>INDEX('stock fisico '!C:C, MATCH(B471, 'stock fisico '!B:B, 0))</f>
        <v>#N/A</v>
      </c>
      <c r="D471" s="178" t="e">
        <f>INDEX('stock fisico '!I:I, MATCH(B471, 'stock fisico '!B:B, 0))</f>
        <v>#N/A</v>
      </c>
      <c r="E471" s="173" t="e">
        <f t="shared" si="331"/>
        <v>#VALUE!</v>
      </c>
      <c r="F471" t="e">
        <f t="shared" si="291"/>
        <v>#VALUE!</v>
      </c>
      <c r="G471" t="e">
        <f t="shared" si="292"/>
        <v>#VALUE!</v>
      </c>
      <c r="H471" t="e">
        <f t="shared" si="293"/>
        <v>#VALUE!</v>
      </c>
      <c r="I471" t="e">
        <f t="shared" si="294"/>
        <v>#VALUE!</v>
      </c>
      <c r="J471" t="e">
        <f t="shared" si="295"/>
        <v>#VALUE!</v>
      </c>
      <c r="K471" t="e">
        <f t="shared" si="296"/>
        <v>#VALUE!</v>
      </c>
      <c r="L471" s="175" t="e">
        <f t="shared" si="326"/>
        <v>#VALUE!</v>
      </c>
      <c r="M471" t="e">
        <f t="shared" si="297"/>
        <v>#VALUE!</v>
      </c>
      <c r="N471" t="e">
        <f t="shared" si="298"/>
        <v>#VALUE!</v>
      </c>
      <c r="O471" t="e">
        <f t="shared" si="299"/>
        <v>#VALUE!</v>
      </c>
      <c r="P471" t="e">
        <f t="shared" si="300"/>
        <v>#VALUE!</v>
      </c>
      <c r="Q471" t="e">
        <f t="shared" si="301"/>
        <v>#VALUE!</v>
      </c>
      <c r="R471" t="e">
        <f t="shared" si="302"/>
        <v>#VALUE!</v>
      </c>
      <c r="S471" t="e">
        <f t="shared" si="303"/>
        <v>#VALUE!</v>
      </c>
      <c r="T471" s="174" t="e">
        <f t="shared" si="327"/>
        <v>#VALUE!</v>
      </c>
      <c r="U471" t="e">
        <f t="shared" si="304"/>
        <v>#VALUE!</v>
      </c>
      <c r="V471" t="e">
        <f t="shared" si="305"/>
        <v>#VALUE!</v>
      </c>
      <c r="W471" t="e">
        <f t="shared" si="306"/>
        <v>#VALUE!</v>
      </c>
      <c r="X471" t="e">
        <f t="shared" si="307"/>
        <v>#VALUE!</v>
      </c>
      <c r="Y471" t="e">
        <f t="shared" si="308"/>
        <v>#VALUE!</v>
      </c>
      <c r="Z471" t="e">
        <f t="shared" si="309"/>
        <v>#VALUE!</v>
      </c>
      <c r="AA471" t="e">
        <f t="shared" si="310"/>
        <v>#VALUE!</v>
      </c>
      <c r="AB471" s="23" t="e">
        <f t="shared" si="328"/>
        <v>#VALUE!</v>
      </c>
      <c r="AC471" t="e">
        <f t="shared" si="311"/>
        <v>#VALUE!</v>
      </c>
      <c r="AD471" t="e">
        <f t="shared" si="312"/>
        <v>#VALUE!</v>
      </c>
      <c r="AE471" t="e">
        <f t="shared" si="313"/>
        <v>#VALUE!</v>
      </c>
      <c r="AF471" t="e">
        <f t="shared" si="314"/>
        <v>#VALUE!</v>
      </c>
      <c r="AG471" t="e">
        <f t="shared" si="315"/>
        <v>#VALUE!</v>
      </c>
      <c r="AH471" t="e">
        <f t="shared" si="316"/>
        <v>#VALUE!</v>
      </c>
      <c r="AI471" t="e">
        <f t="shared" si="317"/>
        <v>#VALUE!</v>
      </c>
      <c r="AJ471" s="19" t="e">
        <f t="shared" si="329"/>
        <v>#VALUE!</v>
      </c>
      <c r="AK471" t="e">
        <f t="shared" si="318"/>
        <v>#VALUE!</v>
      </c>
      <c r="AL471" t="e">
        <f t="shared" si="319"/>
        <v>#VALUE!</v>
      </c>
      <c r="AM471" t="e">
        <f t="shared" si="320"/>
        <v>#VALUE!</v>
      </c>
      <c r="AN471" t="e">
        <f t="shared" si="321"/>
        <v>#VALUE!</v>
      </c>
      <c r="AO471" t="e">
        <f t="shared" si="322"/>
        <v>#VALUE!</v>
      </c>
      <c r="AP471" t="e">
        <f t="shared" si="323"/>
        <v>#VALUE!</v>
      </c>
      <c r="AQ471" t="e">
        <f t="shared" si="324"/>
        <v>#VALUE!</v>
      </c>
      <c r="AR471" s="123" t="e">
        <f t="shared" si="330"/>
        <v>#VALUE!</v>
      </c>
      <c r="AS471" t="e">
        <f t="shared" si="325"/>
        <v>#VALUE!</v>
      </c>
      <c r="AT471" s="181" t="e">
        <f>INDEX('stock fisico '!N:N, MATCH(B471, 'stock fisico '!B:B, 0))</f>
        <v>#N/A</v>
      </c>
      <c r="AU471" s="179" t="e">
        <f>INDEX('stock fisico '!D:D, MATCH(B471, 'stock fisico '!B:B, 0))</f>
        <v>#N/A</v>
      </c>
      <c r="AV471" s="177" t="e">
        <f>INDEX('stock fisico '!L:L, MATCH(B471, 'stock fisico '!B:B, 0))</f>
        <v>#N/A</v>
      </c>
    </row>
    <row r="472" spans="1:48" x14ac:dyDescent="0.25">
      <c r="A472" s="181" t="e">
        <f>INDEX('stock fisico '!M:M, MATCH(B472, 'stock fisico '!B:B, 0))</f>
        <v>#N/A</v>
      </c>
      <c r="C472" s="179" t="e">
        <f>INDEX('stock fisico '!C:C, MATCH(B472, 'stock fisico '!B:B, 0))</f>
        <v>#N/A</v>
      </c>
      <c r="D472" s="178" t="e">
        <f>INDEX('stock fisico '!I:I, MATCH(B472, 'stock fisico '!B:B, 0))</f>
        <v>#N/A</v>
      </c>
      <c r="E472" s="173" t="e">
        <f t="shared" si="331"/>
        <v>#VALUE!</v>
      </c>
      <c r="F472" t="e">
        <f t="shared" si="291"/>
        <v>#VALUE!</v>
      </c>
      <c r="G472" t="e">
        <f t="shared" si="292"/>
        <v>#VALUE!</v>
      </c>
      <c r="H472" t="e">
        <f t="shared" si="293"/>
        <v>#VALUE!</v>
      </c>
      <c r="I472" t="e">
        <f t="shared" si="294"/>
        <v>#VALUE!</v>
      </c>
      <c r="J472" t="e">
        <f t="shared" si="295"/>
        <v>#VALUE!</v>
      </c>
      <c r="K472" t="e">
        <f t="shared" si="296"/>
        <v>#VALUE!</v>
      </c>
      <c r="L472" s="175" t="e">
        <f t="shared" si="326"/>
        <v>#VALUE!</v>
      </c>
      <c r="M472" t="e">
        <f t="shared" si="297"/>
        <v>#VALUE!</v>
      </c>
      <c r="N472" t="e">
        <f t="shared" si="298"/>
        <v>#VALUE!</v>
      </c>
      <c r="O472" t="e">
        <f t="shared" si="299"/>
        <v>#VALUE!</v>
      </c>
      <c r="P472" t="e">
        <f t="shared" si="300"/>
        <v>#VALUE!</v>
      </c>
      <c r="Q472" t="e">
        <f t="shared" si="301"/>
        <v>#VALUE!</v>
      </c>
      <c r="R472" t="e">
        <f t="shared" si="302"/>
        <v>#VALUE!</v>
      </c>
      <c r="S472" t="e">
        <f t="shared" si="303"/>
        <v>#VALUE!</v>
      </c>
      <c r="T472" s="174" t="e">
        <f t="shared" si="327"/>
        <v>#VALUE!</v>
      </c>
      <c r="U472" t="e">
        <f t="shared" si="304"/>
        <v>#VALUE!</v>
      </c>
      <c r="V472" t="e">
        <f t="shared" si="305"/>
        <v>#VALUE!</v>
      </c>
      <c r="W472" t="e">
        <f t="shared" si="306"/>
        <v>#VALUE!</v>
      </c>
      <c r="X472" t="e">
        <f t="shared" si="307"/>
        <v>#VALUE!</v>
      </c>
      <c r="Y472" t="e">
        <f t="shared" si="308"/>
        <v>#VALUE!</v>
      </c>
      <c r="Z472" t="e">
        <f t="shared" si="309"/>
        <v>#VALUE!</v>
      </c>
      <c r="AA472" t="e">
        <f t="shared" si="310"/>
        <v>#VALUE!</v>
      </c>
      <c r="AB472" s="23" t="e">
        <f t="shared" si="328"/>
        <v>#VALUE!</v>
      </c>
      <c r="AC472" t="e">
        <f t="shared" si="311"/>
        <v>#VALUE!</v>
      </c>
      <c r="AD472" t="e">
        <f t="shared" si="312"/>
        <v>#VALUE!</v>
      </c>
      <c r="AE472" t="e">
        <f t="shared" si="313"/>
        <v>#VALUE!</v>
      </c>
      <c r="AF472" t="e">
        <f t="shared" si="314"/>
        <v>#VALUE!</v>
      </c>
      <c r="AG472" t="e">
        <f t="shared" si="315"/>
        <v>#VALUE!</v>
      </c>
      <c r="AH472" t="e">
        <f t="shared" si="316"/>
        <v>#VALUE!</v>
      </c>
      <c r="AI472" t="e">
        <f t="shared" si="317"/>
        <v>#VALUE!</v>
      </c>
      <c r="AJ472" s="19" t="e">
        <f t="shared" si="329"/>
        <v>#VALUE!</v>
      </c>
      <c r="AK472" t="e">
        <f t="shared" si="318"/>
        <v>#VALUE!</v>
      </c>
      <c r="AL472" t="e">
        <f t="shared" si="319"/>
        <v>#VALUE!</v>
      </c>
      <c r="AM472" t="e">
        <f t="shared" si="320"/>
        <v>#VALUE!</v>
      </c>
      <c r="AN472" t="e">
        <f t="shared" si="321"/>
        <v>#VALUE!</v>
      </c>
      <c r="AO472" t="e">
        <f t="shared" si="322"/>
        <v>#VALUE!</v>
      </c>
      <c r="AP472" t="e">
        <f t="shared" si="323"/>
        <v>#VALUE!</v>
      </c>
      <c r="AQ472" t="e">
        <f t="shared" si="324"/>
        <v>#VALUE!</v>
      </c>
      <c r="AR472" s="123" t="e">
        <f t="shared" si="330"/>
        <v>#VALUE!</v>
      </c>
      <c r="AS472" t="e">
        <f t="shared" si="325"/>
        <v>#VALUE!</v>
      </c>
      <c r="AT472" s="181" t="e">
        <f>INDEX('stock fisico '!N:N, MATCH(B472, 'stock fisico '!B:B, 0))</f>
        <v>#N/A</v>
      </c>
      <c r="AU472" s="179" t="e">
        <f>INDEX('stock fisico '!D:D, MATCH(B472, 'stock fisico '!B:B, 0))</f>
        <v>#N/A</v>
      </c>
      <c r="AV472" s="177" t="e">
        <f>INDEX('stock fisico '!L:L, MATCH(B472, 'stock fisico '!B:B, 0))</f>
        <v>#N/A</v>
      </c>
    </row>
    <row r="473" spans="1:48" x14ac:dyDescent="0.25">
      <c r="A473" s="181" t="e">
        <f>INDEX('stock fisico '!M:M, MATCH(B473, 'stock fisico '!B:B, 0))</f>
        <v>#N/A</v>
      </c>
      <c r="C473" s="179" t="e">
        <f>INDEX('stock fisico '!C:C, MATCH(B473, 'stock fisico '!B:B, 0))</f>
        <v>#N/A</v>
      </c>
      <c r="D473" s="178" t="e">
        <f>INDEX('stock fisico '!I:I, MATCH(B473, 'stock fisico '!B:B, 0))</f>
        <v>#N/A</v>
      </c>
      <c r="E473" s="173" t="e">
        <f t="shared" si="331"/>
        <v>#VALUE!</v>
      </c>
      <c r="F473" t="e">
        <f t="shared" si="291"/>
        <v>#VALUE!</v>
      </c>
      <c r="G473" t="e">
        <f t="shared" si="292"/>
        <v>#VALUE!</v>
      </c>
      <c r="H473" t="e">
        <f t="shared" si="293"/>
        <v>#VALUE!</v>
      </c>
      <c r="I473" t="e">
        <f t="shared" si="294"/>
        <v>#VALUE!</v>
      </c>
      <c r="J473" t="e">
        <f t="shared" si="295"/>
        <v>#VALUE!</v>
      </c>
      <c r="K473" t="e">
        <f t="shared" si="296"/>
        <v>#VALUE!</v>
      </c>
      <c r="L473" s="175" t="e">
        <f t="shared" si="326"/>
        <v>#VALUE!</v>
      </c>
      <c r="M473" t="e">
        <f t="shared" si="297"/>
        <v>#VALUE!</v>
      </c>
      <c r="N473" t="e">
        <f t="shared" si="298"/>
        <v>#VALUE!</v>
      </c>
      <c r="O473" t="e">
        <f t="shared" si="299"/>
        <v>#VALUE!</v>
      </c>
      <c r="P473" t="e">
        <f t="shared" si="300"/>
        <v>#VALUE!</v>
      </c>
      <c r="Q473" t="e">
        <f t="shared" si="301"/>
        <v>#VALUE!</v>
      </c>
      <c r="R473" t="e">
        <f t="shared" si="302"/>
        <v>#VALUE!</v>
      </c>
      <c r="S473" t="e">
        <f t="shared" si="303"/>
        <v>#VALUE!</v>
      </c>
      <c r="T473" s="174" t="e">
        <f t="shared" si="327"/>
        <v>#VALUE!</v>
      </c>
      <c r="U473" t="e">
        <f t="shared" si="304"/>
        <v>#VALUE!</v>
      </c>
      <c r="V473" t="e">
        <f t="shared" si="305"/>
        <v>#VALUE!</v>
      </c>
      <c r="W473" t="e">
        <f t="shared" si="306"/>
        <v>#VALUE!</v>
      </c>
      <c r="X473" t="e">
        <f t="shared" si="307"/>
        <v>#VALUE!</v>
      </c>
      <c r="Y473" t="e">
        <f t="shared" si="308"/>
        <v>#VALUE!</v>
      </c>
      <c r="Z473" t="e">
        <f t="shared" si="309"/>
        <v>#VALUE!</v>
      </c>
      <c r="AA473" t="e">
        <f t="shared" si="310"/>
        <v>#VALUE!</v>
      </c>
      <c r="AB473" s="23" t="e">
        <f t="shared" si="328"/>
        <v>#VALUE!</v>
      </c>
      <c r="AC473" t="e">
        <f t="shared" si="311"/>
        <v>#VALUE!</v>
      </c>
      <c r="AD473" t="e">
        <f t="shared" si="312"/>
        <v>#VALUE!</v>
      </c>
      <c r="AE473" t="e">
        <f t="shared" si="313"/>
        <v>#VALUE!</v>
      </c>
      <c r="AF473" t="e">
        <f t="shared" si="314"/>
        <v>#VALUE!</v>
      </c>
      <c r="AG473" t="e">
        <f t="shared" si="315"/>
        <v>#VALUE!</v>
      </c>
      <c r="AH473" t="e">
        <f t="shared" si="316"/>
        <v>#VALUE!</v>
      </c>
      <c r="AI473" t="e">
        <f t="shared" si="317"/>
        <v>#VALUE!</v>
      </c>
      <c r="AJ473" s="19" t="e">
        <f t="shared" si="329"/>
        <v>#VALUE!</v>
      </c>
      <c r="AK473" t="e">
        <f t="shared" si="318"/>
        <v>#VALUE!</v>
      </c>
      <c r="AL473" t="e">
        <f t="shared" si="319"/>
        <v>#VALUE!</v>
      </c>
      <c r="AM473" t="e">
        <f t="shared" si="320"/>
        <v>#VALUE!</v>
      </c>
      <c r="AN473" t="e">
        <f t="shared" si="321"/>
        <v>#VALUE!</v>
      </c>
      <c r="AO473" t="e">
        <f t="shared" si="322"/>
        <v>#VALUE!</v>
      </c>
      <c r="AP473" t="e">
        <f t="shared" si="323"/>
        <v>#VALUE!</v>
      </c>
      <c r="AQ473" t="e">
        <f t="shared" si="324"/>
        <v>#VALUE!</v>
      </c>
      <c r="AR473" s="123" t="e">
        <f t="shared" si="330"/>
        <v>#VALUE!</v>
      </c>
      <c r="AS473" t="e">
        <f t="shared" si="325"/>
        <v>#VALUE!</v>
      </c>
      <c r="AT473" s="181" t="e">
        <f>INDEX('stock fisico '!N:N, MATCH(B473, 'stock fisico '!B:B, 0))</f>
        <v>#N/A</v>
      </c>
      <c r="AU473" s="179" t="e">
        <f>INDEX('stock fisico '!D:D, MATCH(B473, 'stock fisico '!B:B, 0))</f>
        <v>#N/A</v>
      </c>
      <c r="AV473" s="177" t="e">
        <f>INDEX('stock fisico '!L:L, MATCH(B473, 'stock fisico '!B:B, 0))</f>
        <v>#N/A</v>
      </c>
    </row>
    <row r="474" spans="1:48" x14ac:dyDescent="0.25">
      <c r="A474" s="181" t="e">
        <f>INDEX('stock fisico '!M:M, MATCH(B474, 'stock fisico '!B:B, 0))</f>
        <v>#N/A</v>
      </c>
      <c r="C474" s="179" t="e">
        <f>INDEX('stock fisico '!C:C, MATCH(B474, 'stock fisico '!B:B, 0))</f>
        <v>#N/A</v>
      </c>
      <c r="D474" s="178" t="e">
        <f>INDEX('stock fisico '!I:I, MATCH(B474, 'stock fisico '!B:B, 0))</f>
        <v>#N/A</v>
      </c>
      <c r="E474" s="173" t="e">
        <f t="shared" si="331"/>
        <v>#VALUE!</v>
      </c>
      <c r="F474" t="e">
        <f t="shared" si="291"/>
        <v>#VALUE!</v>
      </c>
      <c r="G474" t="e">
        <f t="shared" si="292"/>
        <v>#VALUE!</v>
      </c>
      <c r="H474" t="e">
        <f t="shared" si="293"/>
        <v>#VALUE!</v>
      </c>
      <c r="I474" t="e">
        <f t="shared" si="294"/>
        <v>#VALUE!</v>
      </c>
      <c r="J474" t="e">
        <f t="shared" si="295"/>
        <v>#VALUE!</v>
      </c>
      <c r="K474" t="e">
        <f t="shared" si="296"/>
        <v>#VALUE!</v>
      </c>
      <c r="L474" s="175" t="e">
        <f t="shared" si="326"/>
        <v>#VALUE!</v>
      </c>
      <c r="M474" t="e">
        <f t="shared" si="297"/>
        <v>#VALUE!</v>
      </c>
      <c r="N474" t="e">
        <f t="shared" si="298"/>
        <v>#VALUE!</v>
      </c>
      <c r="O474" t="e">
        <f t="shared" si="299"/>
        <v>#VALUE!</v>
      </c>
      <c r="P474" t="e">
        <f t="shared" si="300"/>
        <v>#VALUE!</v>
      </c>
      <c r="Q474" t="e">
        <f t="shared" si="301"/>
        <v>#VALUE!</v>
      </c>
      <c r="R474" t="e">
        <f t="shared" si="302"/>
        <v>#VALUE!</v>
      </c>
      <c r="S474" t="e">
        <f t="shared" si="303"/>
        <v>#VALUE!</v>
      </c>
      <c r="T474" s="174" t="e">
        <f t="shared" si="327"/>
        <v>#VALUE!</v>
      </c>
      <c r="U474" t="e">
        <f t="shared" si="304"/>
        <v>#VALUE!</v>
      </c>
      <c r="V474" t="e">
        <f t="shared" si="305"/>
        <v>#VALUE!</v>
      </c>
      <c r="W474" t="e">
        <f t="shared" si="306"/>
        <v>#VALUE!</v>
      </c>
      <c r="X474" t="e">
        <f t="shared" si="307"/>
        <v>#VALUE!</v>
      </c>
      <c r="Y474" t="e">
        <f t="shared" si="308"/>
        <v>#VALUE!</v>
      </c>
      <c r="Z474" t="e">
        <f t="shared" si="309"/>
        <v>#VALUE!</v>
      </c>
      <c r="AA474" t="e">
        <f t="shared" si="310"/>
        <v>#VALUE!</v>
      </c>
      <c r="AB474" s="23" t="e">
        <f t="shared" si="328"/>
        <v>#VALUE!</v>
      </c>
      <c r="AC474" t="e">
        <f t="shared" si="311"/>
        <v>#VALUE!</v>
      </c>
      <c r="AD474" t="e">
        <f t="shared" si="312"/>
        <v>#VALUE!</v>
      </c>
      <c r="AE474" t="e">
        <f t="shared" si="313"/>
        <v>#VALUE!</v>
      </c>
      <c r="AF474" t="e">
        <f t="shared" si="314"/>
        <v>#VALUE!</v>
      </c>
      <c r="AG474" t="e">
        <f t="shared" si="315"/>
        <v>#VALUE!</v>
      </c>
      <c r="AH474" t="e">
        <f t="shared" si="316"/>
        <v>#VALUE!</v>
      </c>
      <c r="AI474" t="e">
        <f t="shared" si="317"/>
        <v>#VALUE!</v>
      </c>
      <c r="AJ474" s="19" t="e">
        <f t="shared" si="329"/>
        <v>#VALUE!</v>
      </c>
      <c r="AK474" t="e">
        <f t="shared" si="318"/>
        <v>#VALUE!</v>
      </c>
      <c r="AL474" t="e">
        <f t="shared" si="319"/>
        <v>#VALUE!</v>
      </c>
      <c r="AM474" t="e">
        <f t="shared" si="320"/>
        <v>#VALUE!</v>
      </c>
      <c r="AN474" t="e">
        <f t="shared" si="321"/>
        <v>#VALUE!</v>
      </c>
      <c r="AO474" t="e">
        <f t="shared" si="322"/>
        <v>#VALUE!</v>
      </c>
      <c r="AP474" t="e">
        <f t="shared" si="323"/>
        <v>#VALUE!</v>
      </c>
      <c r="AQ474" t="e">
        <f t="shared" si="324"/>
        <v>#VALUE!</v>
      </c>
      <c r="AR474" s="123" t="e">
        <f t="shared" si="330"/>
        <v>#VALUE!</v>
      </c>
      <c r="AS474" t="e">
        <f t="shared" si="325"/>
        <v>#VALUE!</v>
      </c>
      <c r="AT474" s="181" t="e">
        <f>INDEX('stock fisico '!N:N, MATCH(B474, 'stock fisico '!B:B, 0))</f>
        <v>#N/A</v>
      </c>
      <c r="AU474" s="179" t="e">
        <f>INDEX('stock fisico '!D:D, MATCH(B474, 'stock fisico '!B:B, 0))</f>
        <v>#N/A</v>
      </c>
      <c r="AV474" s="177" t="e">
        <f>INDEX('stock fisico '!L:L, MATCH(B474, 'stock fisico '!B:B, 0))</f>
        <v>#N/A</v>
      </c>
    </row>
    <row r="475" spans="1:48" x14ac:dyDescent="0.25">
      <c r="A475" s="181" t="e">
        <f>INDEX('stock fisico '!M:M, MATCH(B475, 'stock fisico '!B:B, 0))</f>
        <v>#N/A</v>
      </c>
      <c r="C475" s="179" t="e">
        <f>INDEX('stock fisico '!C:C, MATCH(B475, 'stock fisico '!B:B, 0))</f>
        <v>#N/A</v>
      </c>
      <c r="D475" s="178" t="e">
        <f>INDEX('stock fisico '!I:I, MATCH(B475, 'stock fisico '!B:B, 0))</f>
        <v>#N/A</v>
      </c>
      <c r="E475" s="173" t="e">
        <f t="shared" si="331"/>
        <v>#VALUE!</v>
      </c>
      <c r="F475" t="e">
        <f t="shared" si="291"/>
        <v>#VALUE!</v>
      </c>
      <c r="G475" t="e">
        <f t="shared" si="292"/>
        <v>#VALUE!</v>
      </c>
      <c r="H475" t="e">
        <f t="shared" si="293"/>
        <v>#VALUE!</v>
      </c>
      <c r="I475" t="e">
        <f t="shared" si="294"/>
        <v>#VALUE!</v>
      </c>
      <c r="J475" t="e">
        <f t="shared" si="295"/>
        <v>#VALUE!</v>
      </c>
      <c r="K475" t="e">
        <f t="shared" si="296"/>
        <v>#VALUE!</v>
      </c>
      <c r="L475" s="175" t="e">
        <f t="shared" si="326"/>
        <v>#VALUE!</v>
      </c>
      <c r="M475" t="e">
        <f t="shared" si="297"/>
        <v>#VALUE!</v>
      </c>
      <c r="N475" t="e">
        <f t="shared" si="298"/>
        <v>#VALUE!</v>
      </c>
      <c r="O475" t="e">
        <f t="shared" si="299"/>
        <v>#VALUE!</v>
      </c>
      <c r="P475" t="e">
        <f t="shared" si="300"/>
        <v>#VALUE!</v>
      </c>
      <c r="Q475" t="e">
        <f t="shared" si="301"/>
        <v>#VALUE!</v>
      </c>
      <c r="R475" t="e">
        <f t="shared" si="302"/>
        <v>#VALUE!</v>
      </c>
      <c r="S475" t="e">
        <f t="shared" si="303"/>
        <v>#VALUE!</v>
      </c>
      <c r="T475" s="174" t="e">
        <f t="shared" si="327"/>
        <v>#VALUE!</v>
      </c>
      <c r="U475" t="e">
        <f t="shared" si="304"/>
        <v>#VALUE!</v>
      </c>
      <c r="V475" t="e">
        <f t="shared" si="305"/>
        <v>#VALUE!</v>
      </c>
      <c r="W475" t="e">
        <f t="shared" si="306"/>
        <v>#VALUE!</v>
      </c>
      <c r="X475" t="e">
        <f t="shared" si="307"/>
        <v>#VALUE!</v>
      </c>
      <c r="Y475" t="e">
        <f t="shared" si="308"/>
        <v>#VALUE!</v>
      </c>
      <c r="Z475" t="e">
        <f t="shared" si="309"/>
        <v>#VALUE!</v>
      </c>
      <c r="AA475" t="e">
        <f t="shared" si="310"/>
        <v>#VALUE!</v>
      </c>
      <c r="AB475" s="23" t="e">
        <f t="shared" si="328"/>
        <v>#VALUE!</v>
      </c>
      <c r="AC475" t="e">
        <f t="shared" si="311"/>
        <v>#VALUE!</v>
      </c>
      <c r="AD475" t="e">
        <f t="shared" si="312"/>
        <v>#VALUE!</v>
      </c>
      <c r="AE475" t="e">
        <f t="shared" si="313"/>
        <v>#VALUE!</v>
      </c>
      <c r="AF475" t="e">
        <f t="shared" si="314"/>
        <v>#VALUE!</v>
      </c>
      <c r="AG475" t="e">
        <f t="shared" si="315"/>
        <v>#VALUE!</v>
      </c>
      <c r="AH475" t="e">
        <f t="shared" si="316"/>
        <v>#VALUE!</v>
      </c>
      <c r="AI475" t="e">
        <f t="shared" si="317"/>
        <v>#VALUE!</v>
      </c>
      <c r="AJ475" s="19" t="e">
        <f t="shared" si="329"/>
        <v>#VALUE!</v>
      </c>
      <c r="AK475" t="e">
        <f t="shared" si="318"/>
        <v>#VALUE!</v>
      </c>
      <c r="AL475" t="e">
        <f t="shared" si="319"/>
        <v>#VALUE!</v>
      </c>
      <c r="AM475" t="e">
        <f t="shared" si="320"/>
        <v>#VALUE!</v>
      </c>
      <c r="AN475" t="e">
        <f t="shared" si="321"/>
        <v>#VALUE!</v>
      </c>
      <c r="AO475" t="e">
        <f t="shared" si="322"/>
        <v>#VALUE!</v>
      </c>
      <c r="AP475" t="e">
        <f t="shared" si="323"/>
        <v>#VALUE!</v>
      </c>
      <c r="AQ475" t="e">
        <f t="shared" si="324"/>
        <v>#VALUE!</v>
      </c>
      <c r="AR475" s="123" t="e">
        <f t="shared" si="330"/>
        <v>#VALUE!</v>
      </c>
      <c r="AS475" t="e">
        <f t="shared" si="325"/>
        <v>#VALUE!</v>
      </c>
      <c r="AT475" s="181" t="e">
        <f>INDEX('stock fisico '!N:N, MATCH(B475, 'stock fisico '!B:B, 0))</f>
        <v>#N/A</v>
      </c>
      <c r="AU475" s="179" t="e">
        <f>INDEX('stock fisico '!D:D, MATCH(B475, 'stock fisico '!B:B, 0))</f>
        <v>#N/A</v>
      </c>
      <c r="AV475" s="177" t="e">
        <f>INDEX('stock fisico '!L:L, MATCH(B475, 'stock fisico '!B:B, 0))</f>
        <v>#N/A</v>
      </c>
    </row>
    <row r="476" spans="1:48" x14ac:dyDescent="0.25">
      <c r="A476" s="181" t="e">
        <f>INDEX('stock fisico '!M:M, MATCH(B476, 'stock fisico '!B:B, 0))</f>
        <v>#N/A</v>
      </c>
      <c r="C476" s="179" t="e">
        <f>INDEX('stock fisico '!C:C, MATCH(B476, 'stock fisico '!B:B, 0))</f>
        <v>#N/A</v>
      </c>
      <c r="D476" s="178" t="e">
        <f>INDEX('stock fisico '!I:I, MATCH(B476, 'stock fisico '!B:B, 0))</f>
        <v>#N/A</v>
      </c>
      <c r="E476" s="173" t="e">
        <f t="shared" si="331"/>
        <v>#VALUE!</v>
      </c>
      <c r="F476" t="e">
        <f t="shared" si="291"/>
        <v>#VALUE!</v>
      </c>
      <c r="G476" t="e">
        <f t="shared" si="292"/>
        <v>#VALUE!</v>
      </c>
      <c r="H476" t="e">
        <f t="shared" si="293"/>
        <v>#VALUE!</v>
      </c>
      <c r="I476" t="e">
        <f t="shared" si="294"/>
        <v>#VALUE!</v>
      </c>
      <c r="J476" t="e">
        <f t="shared" si="295"/>
        <v>#VALUE!</v>
      </c>
      <c r="K476" t="e">
        <f t="shared" si="296"/>
        <v>#VALUE!</v>
      </c>
      <c r="L476" s="175" t="e">
        <f t="shared" si="326"/>
        <v>#VALUE!</v>
      </c>
      <c r="M476" t="e">
        <f t="shared" si="297"/>
        <v>#VALUE!</v>
      </c>
      <c r="N476" t="e">
        <f t="shared" si="298"/>
        <v>#VALUE!</v>
      </c>
      <c r="O476" t="e">
        <f t="shared" si="299"/>
        <v>#VALUE!</v>
      </c>
      <c r="P476" t="e">
        <f t="shared" si="300"/>
        <v>#VALUE!</v>
      </c>
      <c r="Q476" t="e">
        <f t="shared" si="301"/>
        <v>#VALUE!</v>
      </c>
      <c r="R476" t="e">
        <f t="shared" si="302"/>
        <v>#VALUE!</v>
      </c>
      <c r="S476" t="e">
        <f t="shared" si="303"/>
        <v>#VALUE!</v>
      </c>
      <c r="T476" s="174" t="e">
        <f t="shared" si="327"/>
        <v>#VALUE!</v>
      </c>
      <c r="U476" t="e">
        <f t="shared" si="304"/>
        <v>#VALUE!</v>
      </c>
      <c r="V476" t="e">
        <f t="shared" si="305"/>
        <v>#VALUE!</v>
      </c>
      <c r="W476" t="e">
        <f t="shared" si="306"/>
        <v>#VALUE!</v>
      </c>
      <c r="X476" t="e">
        <f t="shared" si="307"/>
        <v>#VALUE!</v>
      </c>
      <c r="Y476" t="e">
        <f t="shared" si="308"/>
        <v>#VALUE!</v>
      </c>
      <c r="Z476" t="e">
        <f t="shared" si="309"/>
        <v>#VALUE!</v>
      </c>
      <c r="AA476" t="e">
        <f t="shared" si="310"/>
        <v>#VALUE!</v>
      </c>
      <c r="AB476" s="23" t="e">
        <f t="shared" si="328"/>
        <v>#VALUE!</v>
      </c>
      <c r="AC476" t="e">
        <f t="shared" si="311"/>
        <v>#VALUE!</v>
      </c>
      <c r="AD476" t="e">
        <f t="shared" si="312"/>
        <v>#VALUE!</v>
      </c>
      <c r="AE476" t="e">
        <f t="shared" si="313"/>
        <v>#VALUE!</v>
      </c>
      <c r="AF476" t="e">
        <f t="shared" si="314"/>
        <v>#VALUE!</v>
      </c>
      <c r="AG476" t="e">
        <f t="shared" si="315"/>
        <v>#VALUE!</v>
      </c>
      <c r="AH476" t="e">
        <f t="shared" si="316"/>
        <v>#VALUE!</v>
      </c>
      <c r="AI476" t="e">
        <f t="shared" si="317"/>
        <v>#VALUE!</v>
      </c>
      <c r="AJ476" s="19" t="e">
        <f t="shared" si="329"/>
        <v>#VALUE!</v>
      </c>
      <c r="AK476" t="e">
        <f t="shared" si="318"/>
        <v>#VALUE!</v>
      </c>
      <c r="AL476" t="e">
        <f t="shared" si="319"/>
        <v>#VALUE!</v>
      </c>
      <c r="AM476" t="e">
        <f t="shared" si="320"/>
        <v>#VALUE!</v>
      </c>
      <c r="AN476" t="e">
        <f t="shared" si="321"/>
        <v>#VALUE!</v>
      </c>
      <c r="AO476" t="e">
        <f t="shared" si="322"/>
        <v>#VALUE!</v>
      </c>
      <c r="AP476" t="e">
        <f t="shared" si="323"/>
        <v>#VALUE!</v>
      </c>
      <c r="AQ476" t="e">
        <f t="shared" si="324"/>
        <v>#VALUE!</v>
      </c>
      <c r="AR476" s="123" t="e">
        <f t="shared" si="330"/>
        <v>#VALUE!</v>
      </c>
      <c r="AS476" t="e">
        <f t="shared" si="325"/>
        <v>#VALUE!</v>
      </c>
      <c r="AT476" s="181" t="e">
        <f>INDEX('stock fisico '!N:N, MATCH(B476, 'stock fisico '!B:B, 0))</f>
        <v>#N/A</v>
      </c>
      <c r="AU476" s="179" t="e">
        <f>INDEX('stock fisico '!D:D, MATCH(B476, 'stock fisico '!B:B, 0))</f>
        <v>#N/A</v>
      </c>
      <c r="AV476" s="177" t="e">
        <f>INDEX('stock fisico '!L:L, MATCH(B476, 'stock fisico '!B:B, 0))</f>
        <v>#N/A</v>
      </c>
    </row>
    <row r="477" spans="1:48" x14ac:dyDescent="0.25">
      <c r="A477" s="181" t="e">
        <f>INDEX('stock fisico '!M:M, MATCH(B477, 'stock fisico '!B:B, 0))</f>
        <v>#N/A</v>
      </c>
      <c r="C477" s="179" t="e">
        <f>INDEX('stock fisico '!C:C, MATCH(B477, 'stock fisico '!B:B, 0))</f>
        <v>#N/A</v>
      </c>
      <c r="D477" s="178" t="e">
        <f>INDEX('stock fisico '!I:I, MATCH(B477, 'stock fisico '!B:B, 0))</f>
        <v>#N/A</v>
      </c>
      <c r="E477" s="173" t="e">
        <f t="shared" si="331"/>
        <v>#VALUE!</v>
      </c>
      <c r="F477" t="e">
        <f t="shared" si="291"/>
        <v>#VALUE!</v>
      </c>
      <c r="G477" t="e">
        <f t="shared" si="292"/>
        <v>#VALUE!</v>
      </c>
      <c r="H477" t="e">
        <f t="shared" si="293"/>
        <v>#VALUE!</v>
      </c>
      <c r="I477" t="e">
        <f t="shared" si="294"/>
        <v>#VALUE!</v>
      </c>
      <c r="J477" t="e">
        <f t="shared" si="295"/>
        <v>#VALUE!</v>
      </c>
      <c r="K477" t="e">
        <f t="shared" si="296"/>
        <v>#VALUE!</v>
      </c>
      <c r="L477" s="175" t="e">
        <f t="shared" si="326"/>
        <v>#VALUE!</v>
      </c>
      <c r="M477" t="e">
        <f t="shared" si="297"/>
        <v>#VALUE!</v>
      </c>
      <c r="N477" t="e">
        <f t="shared" si="298"/>
        <v>#VALUE!</v>
      </c>
      <c r="O477" t="e">
        <f t="shared" si="299"/>
        <v>#VALUE!</v>
      </c>
      <c r="P477" t="e">
        <f t="shared" si="300"/>
        <v>#VALUE!</v>
      </c>
      <c r="Q477" t="e">
        <f t="shared" si="301"/>
        <v>#VALUE!</v>
      </c>
      <c r="R477" t="e">
        <f t="shared" si="302"/>
        <v>#VALUE!</v>
      </c>
      <c r="S477" t="e">
        <f t="shared" si="303"/>
        <v>#VALUE!</v>
      </c>
      <c r="T477" s="174" t="e">
        <f t="shared" si="327"/>
        <v>#VALUE!</v>
      </c>
      <c r="U477" t="e">
        <f t="shared" si="304"/>
        <v>#VALUE!</v>
      </c>
      <c r="V477" t="e">
        <f t="shared" si="305"/>
        <v>#VALUE!</v>
      </c>
      <c r="W477" t="e">
        <f t="shared" si="306"/>
        <v>#VALUE!</v>
      </c>
      <c r="X477" t="e">
        <f t="shared" si="307"/>
        <v>#VALUE!</v>
      </c>
      <c r="Y477" t="e">
        <f t="shared" si="308"/>
        <v>#VALUE!</v>
      </c>
      <c r="Z477" t="e">
        <f t="shared" si="309"/>
        <v>#VALUE!</v>
      </c>
      <c r="AA477" t="e">
        <f t="shared" si="310"/>
        <v>#VALUE!</v>
      </c>
      <c r="AB477" s="23" t="e">
        <f t="shared" si="328"/>
        <v>#VALUE!</v>
      </c>
      <c r="AC477" t="e">
        <f t="shared" si="311"/>
        <v>#VALUE!</v>
      </c>
      <c r="AD477" t="e">
        <f t="shared" si="312"/>
        <v>#VALUE!</v>
      </c>
      <c r="AE477" t="e">
        <f t="shared" si="313"/>
        <v>#VALUE!</v>
      </c>
      <c r="AF477" t="e">
        <f t="shared" si="314"/>
        <v>#VALUE!</v>
      </c>
      <c r="AG477" t="e">
        <f t="shared" si="315"/>
        <v>#VALUE!</v>
      </c>
      <c r="AH477" t="e">
        <f t="shared" si="316"/>
        <v>#VALUE!</v>
      </c>
      <c r="AI477" t="e">
        <f t="shared" si="317"/>
        <v>#VALUE!</v>
      </c>
      <c r="AJ477" s="19" t="e">
        <f t="shared" si="329"/>
        <v>#VALUE!</v>
      </c>
      <c r="AK477" t="e">
        <f t="shared" si="318"/>
        <v>#VALUE!</v>
      </c>
      <c r="AL477" t="e">
        <f t="shared" si="319"/>
        <v>#VALUE!</v>
      </c>
      <c r="AM477" t="e">
        <f t="shared" si="320"/>
        <v>#VALUE!</v>
      </c>
      <c r="AN477" t="e">
        <f t="shared" si="321"/>
        <v>#VALUE!</v>
      </c>
      <c r="AO477" t="e">
        <f t="shared" si="322"/>
        <v>#VALUE!</v>
      </c>
      <c r="AP477" t="e">
        <f t="shared" si="323"/>
        <v>#VALUE!</v>
      </c>
      <c r="AQ477" t="e">
        <f t="shared" si="324"/>
        <v>#VALUE!</v>
      </c>
      <c r="AR477" s="123" t="e">
        <f t="shared" si="330"/>
        <v>#VALUE!</v>
      </c>
      <c r="AS477" t="e">
        <f t="shared" si="325"/>
        <v>#VALUE!</v>
      </c>
      <c r="AT477" s="181" t="e">
        <f>INDEX('stock fisico '!N:N, MATCH(B477, 'stock fisico '!B:B, 0))</f>
        <v>#N/A</v>
      </c>
      <c r="AU477" s="179" t="e">
        <f>INDEX('stock fisico '!D:D, MATCH(B477, 'stock fisico '!B:B, 0))</f>
        <v>#N/A</v>
      </c>
      <c r="AV477" s="177" t="e">
        <f>INDEX('stock fisico '!L:L, MATCH(B477, 'stock fisico '!B:B, 0))</f>
        <v>#N/A</v>
      </c>
    </row>
    <row r="478" spans="1:48" x14ac:dyDescent="0.25">
      <c r="A478" s="181" t="e">
        <f>INDEX('stock fisico '!M:M, MATCH(B478, 'stock fisico '!B:B, 0))</f>
        <v>#N/A</v>
      </c>
      <c r="C478" s="179" t="e">
        <f>INDEX('stock fisico '!C:C, MATCH(B478, 'stock fisico '!B:B, 0))</f>
        <v>#N/A</v>
      </c>
      <c r="D478" s="178" t="e">
        <f>INDEX('stock fisico '!I:I, MATCH(B478, 'stock fisico '!B:B, 0))</f>
        <v>#N/A</v>
      </c>
      <c r="E478" s="173" t="e">
        <f t="shared" si="331"/>
        <v>#VALUE!</v>
      </c>
      <c r="F478" t="e">
        <f t="shared" si="291"/>
        <v>#VALUE!</v>
      </c>
      <c r="G478" t="e">
        <f t="shared" si="292"/>
        <v>#VALUE!</v>
      </c>
      <c r="H478" t="e">
        <f t="shared" si="293"/>
        <v>#VALUE!</v>
      </c>
      <c r="I478" t="e">
        <f t="shared" si="294"/>
        <v>#VALUE!</v>
      </c>
      <c r="J478" t="e">
        <f t="shared" si="295"/>
        <v>#VALUE!</v>
      </c>
      <c r="K478" t="e">
        <f t="shared" si="296"/>
        <v>#VALUE!</v>
      </c>
      <c r="L478" s="175" t="e">
        <f t="shared" si="326"/>
        <v>#VALUE!</v>
      </c>
      <c r="M478" t="e">
        <f t="shared" si="297"/>
        <v>#VALUE!</v>
      </c>
      <c r="N478" t="e">
        <f t="shared" si="298"/>
        <v>#VALUE!</v>
      </c>
      <c r="O478" t="e">
        <f t="shared" si="299"/>
        <v>#VALUE!</v>
      </c>
      <c r="P478" t="e">
        <f t="shared" si="300"/>
        <v>#VALUE!</v>
      </c>
      <c r="Q478" t="e">
        <f t="shared" si="301"/>
        <v>#VALUE!</v>
      </c>
      <c r="R478" t="e">
        <f t="shared" si="302"/>
        <v>#VALUE!</v>
      </c>
      <c r="S478" t="e">
        <f t="shared" si="303"/>
        <v>#VALUE!</v>
      </c>
      <c r="T478" s="174" t="e">
        <f t="shared" si="327"/>
        <v>#VALUE!</v>
      </c>
      <c r="U478" t="e">
        <f t="shared" si="304"/>
        <v>#VALUE!</v>
      </c>
      <c r="V478" t="e">
        <f t="shared" si="305"/>
        <v>#VALUE!</v>
      </c>
      <c r="W478" t="e">
        <f t="shared" si="306"/>
        <v>#VALUE!</v>
      </c>
      <c r="X478" t="e">
        <f t="shared" si="307"/>
        <v>#VALUE!</v>
      </c>
      <c r="Y478" t="e">
        <f t="shared" si="308"/>
        <v>#VALUE!</v>
      </c>
      <c r="Z478" t="e">
        <f t="shared" si="309"/>
        <v>#VALUE!</v>
      </c>
      <c r="AA478" t="e">
        <f t="shared" si="310"/>
        <v>#VALUE!</v>
      </c>
      <c r="AB478" s="23" t="e">
        <f t="shared" si="328"/>
        <v>#VALUE!</v>
      </c>
      <c r="AC478" t="e">
        <f t="shared" si="311"/>
        <v>#VALUE!</v>
      </c>
      <c r="AD478" t="e">
        <f t="shared" si="312"/>
        <v>#VALUE!</v>
      </c>
      <c r="AE478" t="e">
        <f t="shared" si="313"/>
        <v>#VALUE!</v>
      </c>
      <c r="AF478" t="e">
        <f t="shared" si="314"/>
        <v>#VALUE!</v>
      </c>
      <c r="AG478" t="e">
        <f t="shared" si="315"/>
        <v>#VALUE!</v>
      </c>
      <c r="AH478" t="e">
        <f t="shared" si="316"/>
        <v>#VALUE!</v>
      </c>
      <c r="AI478" t="e">
        <f t="shared" si="317"/>
        <v>#VALUE!</v>
      </c>
      <c r="AJ478" s="19" t="e">
        <f t="shared" si="329"/>
        <v>#VALUE!</v>
      </c>
      <c r="AK478" t="e">
        <f t="shared" si="318"/>
        <v>#VALUE!</v>
      </c>
      <c r="AL478" t="e">
        <f t="shared" si="319"/>
        <v>#VALUE!</v>
      </c>
      <c r="AM478" t="e">
        <f t="shared" si="320"/>
        <v>#VALUE!</v>
      </c>
      <c r="AN478" t="e">
        <f t="shared" si="321"/>
        <v>#VALUE!</v>
      </c>
      <c r="AO478" t="e">
        <f t="shared" si="322"/>
        <v>#VALUE!</v>
      </c>
      <c r="AP478" t="e">
        <f t="shared" si="323"/>
        <v>#VALUE!</v>
      </c>
      <c r="AQ478" t="e">
        <f t="shared" si="324"/>
        <v>#VALUE!</v>
      </c>
      <c r="AR478" s="123" t="e">
        <f t="shared" si="330"/>
        <v>#VALUE!</v>
      </c>
      <c r="AS478" t="e">
        <f t="shared" si="325"/>
        <v>#VALUE!</v>
      </c>
      <c r="AT478" s="181" t="e">
        <f>INDEX('stock fisico '!N:N, MATCH(B478, 'stock fisico '!B:B, 0))</f>
        <v>#N/A</v>
      </c>
      <c r="AU478" s="179" t="e">
        <f>INDEX('stock fisico '!D:D, MATCH(B478, 'stock fisico '!B:B, 0))</f>
        <v>#N/A</v>
      </c>
      <c r="AV478" s="177" t="e">
        <f>INDEX('stock fisico '!L:L, MATCH(B478, 'stock fisico '!B:B, 0))</f>
        <v>#N/A</v>
      </c>
    </row>
    <row r="479" spans="1:48" x14ac:dyDescent="0.25">
      <c r="A479" s="181" t="e">
        <f>INDEX('stock fisico '!M:M, MATCH(B479, 'stock fisico '!B:B, 0))</f>
        <v>#N/A</v>
      </c>
      <c r="C479" s="179" t="e">
        <f>INDEX('stock fisico '!C:C, MATCH(B479, 'stock fisico '!B:B, 0))</f>
        <v>#N/A</v>
      </c>
      <c r="D479" s="178" t="e">
        <f>INDEX('stock fisico '!I:I, MATCH(B479, 'stock fisico '!B:B, 0))</f>
        <v>#N/A</v>
      </c>
      <c r="E479" s="173" t="e">
        <f t="shared" si="331"/>
        <v>#VALUE!</v>
      </c>
      <c r="F479" t="e">
        <f t="shared" si="291"/>
        <v>#VALUE!</v>
      </c>
      <c r="G479" t="e">
        <f t="shared" si="292"/>
        <v>#VALUE!</v>
      </c>
      <c r="H479" t="e">
        <f t="shared" si="293"/>
        <v>#VALUE!</v>
      </c>
      <c r="I479" t="e">
        <f t="shared" si="294"/>
        <v>#VALUE!</v>
      </c>
      <c r="J479" t="e">
        <f t="shared" si="295"/>
        <v>#VALUE!</v>
      </c>
      <c r="K479" t="e">
        <f t="shared" si="296"/>
        <v>#VALUE!</v>
      </c>
      <c r="L479" s="175" t="e">
        <f t="shared" si="326"/>
        <v>#VALUE!</v>
      </c>
      <c r="M479" t="e">
        <f t="shared" si="297"/>
        <v>#VALUE!</v>
      </c>
      <c r="N479" t="e">
        <f t="shared" si="298"/>
        <v>#VALUE!</v>
      </c>
      <c r="O479" t="e">
        <f t="shared" si="299"/>
        <v>#VALUE!</v>
      </c>
      <c r="P479" t="e">
        <f t="shared" si="300"/>
        <v>#VALUE!</v>
      </c>
      <c r="Q479" t="e">
        <f t="shared" si="301"/>
        <v>#VALUE!</v>
      </c>
      <c r="R479" t="e">
        <f t="shared" si="302"/>
        <v>#VALUE!</v>
      </c>
      <c r="S479" t="e">
        <f t="shared" si="303"/>
        <v>#VALUE!</v>
      </c>
      <c r="T479" s="174" t="e">
        <f t="shared" si="327"/>
        <v>#VALUE!</v>
      </c>
      <c r="U479" t="e">
        <f t="shared" si="304"/>
        <v>#VALUE!</v>
      </c>
      <c r="V479" t="e">
        <f t="shared" si="305"/>
        <v>#VALUE!</v>
      </c>
      <c r="W479" t="e">
        <f t="shared" si="306"/>
        <v>#VALUE!</v>
      </c>
      <c r="X479" t="e">
        <f t="shared" si="307"/>
        <v>#VALUE!</v>
      </c>
      <c r="Y479" t="e">
        <f t="shared" si="308"/>
        <v>#VALUE!</v>
      </c>
      <c r="Z479" t="e">
        <f t="shared" si="309"/>
        <v>#VALUE!</v>
      </c>
      <c r="AA479" t="e">
        <f t="shared" si="310"/>
        <v>#VALUE!</v>
      </c>
      <c r="AB479" s="23" t="e">
        <f t="shared" si="328"/>
        <v>#VALUE!</v>
      </c>
      <c r="AC479" t="e">
        <f t="shared" si="311"/>
        <v>#VALUE!</v>
      </c>
      <c r="AD479" t="e">
        <f t="shared" si="312"/>
        <v>#VALUE!</v>
      </c>
      <c r="AE479" t="e">
        <f t="shared" si="313"/>
        <v>#VALUE!</v>
      </c>
      <c r="AF479" t="e">
        <f t="shared" si="314"/>
        <v>#VALUE!</v>
      </c>
      <c r="AG479" t="e">
        <f t="shared" si="315"/>
        <v>#VALUE!</v>
      </c>
      <c r="AH479" t="e">
        <f t="shared" si="316"/>
        <v>#VALUE!</v>
      </c>
      <c r="AI479" t="e">
        <f t="shared" si="317"/>
        <v>#VALUE!</v>
      </c>
      <c r="AJ479" s="19" t="e">
        <f t="shared" si="329"/>
        <v>#VALUE!</v>
      </c>
      <c r="AK479" t="e">
        <f t="shared" si="318"/>
        <v>#VALUE!</v>
      </c>
      <c r="AL479" t="e">
        <f t="shared" si="319"/>
        <v>#VALUE!</v>
      </c>
      <c r="AM479" t="e">
        <f t="shared" si="320"/>
        <v>#VALUE!</v>
      </c>
      <c r="AN479" t="e">
        <f t="shared" si="321"/>
        <v>#VALUE!</v>
      </c>
      <c r="AO479" t="e">
        <f t="shared" si="322"/>
        <v>#VALUE!</v>
      </c>
      <c r="AP479" t="e">
        <f t="shared" si="323"/>
        <v>#VALUE!</v>
      </c>
      <c r="AQ479" t="e">
        <f t="shared" si="324"/>
        <v>#VALUE!</v>
      </c>
      <c r="AR479" s="123" t="e">
        <f t="shared" si="330"/>
        <v>#VALUE!</v>
      </c>
      <c r="AS479" t="e">
        <f t="shared" si="325"/>
        <v>#VALUE!</v>
      </c>
      <c r="AT479" s="181" t="e">
        <f>INDEX('stock fisico '!N:N, MATCH(B479, 'stock fisico '!B:B, 0))</f>
        <v>#N/A</v>
      </c>
      <c r="AU479" s="179" t="e">
        <f>INDEX('stock fisico '!D:D, MATCH(B479, 'stock fisico '!B:B, 0))</f>
        <v>#N/A</v>
      </c>
      <c r="AV479" s="177" t="e">
        <f>INDEX('stock fisico '!L:L, MATCH(B479, 'stock fisico '!B:B, 0))</f>
        <v>#N/A</v>
      </c>
    </row>
    <row r="480" spans="1:48" x14ac:dyDescent="0.25">
      <c r="A480" s="181" t="e">
        <f>INDEX('stock fisico '!M:M, MATCH(B480, 'stock fisico '!B:B, 0))</f>
        <v>#N/A</v>
      </c>
      <c r="C480" s="179" t="e">
        <f>INDEX('stock fisico '!C:C, MATCH(B480, 'stock fisico '!B:B, 0))</f>
        <v>#N/A</v>
      </c>
      <c r="D480" s="178" t="e">
        <f>INDEX('stock fisico '!I:I, MATCH(B480, 'stock fisico '!B:B, 0))</f>
        <v>#N/A</v>
      </c>
      <c r="E480" s="173" t="e">
        <f t="shared" si="331"/>
        <v>#VALUE!</v>
      </c>
      <c r="F480" t="e">
        <f t="shared" si="291"/>
        <v>#VALUE!</v>
      </c>
      <c r="G480" t="e">
        <f t="shared" si="292"/>
        <v>#VALUE!</v>
      </c>
      <c r="H480" t="e">
        <f t="shared" si="293"/>
        <v>#VALUE!</v>
      </c>
      <c r="I480" t="e">
        <f t="shared" si="294"/>
        <v>#VALUE!</v>
      </c>
      <c r="J480" t="e">
        <f t="shared" si="295"/>
        <v>#VALUE!</v>
      </c>
      <c r="K480" t="e">
        <f t="shared" si="296"/>
        <v>#VALUE!</v>
      </c>
      <c r="L480" s="175" t="e">
        <f t="shared" si="326"/>
        <v>#VALUE!</v>
      </c>
      <c r="M480" t="e">
        <f t="shared" si="297"/>
        <v>#VALUE!</v>
      </c>
      <c r="N480" t="e">
        <f t="shared" si="298"/>
        <v>#VALUE!</v>
      </c>
      <c r="O480" t="e">
        <f t="shared" si="299"/>
        <v>#VALUE!</v>
      </c>
      <c r="P480" t="e">
        <f t="shared" si="300"/>
        <v>#VALUE!</v>
      </c>
      <c r="Q480" t="e">
        <f t="shared" si="301"/>
        <v>#VALUE!</v>
      </c>
      <c r="R480" t="e">
        <f t="shared" si="302"/>
        <v>#VALUE!</v>
      </c>
      <c r="S480" t="e">
        <f t="shared" si="303"/>
        <v>#VALUE!</v>
      </c>
      <c r="T480" s="174" t="e">
        <f t="shared" si="327"/>
        <v>#VALUE!</v>
      </c>
      <c r="U480" t="e">
        <f t="shared" si="304"/>
        <v>#VALUE!</v>
      </c>
      <c r="V480" t="e">
        <f t="shared" si="305"/>
        <v>#VALUE!</v>
      </c>
      <c r="W480" t="e">
        <f t="shared" si="306"/>
        <v>#VALUE!</v>
      </c>
      <c r="X480" t="e">
        <f t="shared" si="307"/>
        <v>#VALUE!</v>
      </c>
      <c r="Y480" t="e">
        <f t="shared" si="308"/>
        <v>#VALUE!</v>
      </c>
      <c r="Z480" t="e">
        <f t="shared" si="309"/>
        <v>#VALUE!</v>
      </c>
      <c r="AA480" t="e">
        <f t="shared" si="310"/>
        <v>#VALUE!</v>
      </c>
      <c r="AB480" s="23" t="e">
        <f t="shared" si="328"/>
        <v>#VALUE!</v>
      </c>
      <c r="AC480" t="e">
        <f t="shared" si="311"/>
        <v>#VALUE!</v>
      </c>
      <c r="AD480" t="e">
        <f t="shared" si="312"/>
        <v>#VALUE!</v>
      </c>
      <c r="AE480" t="e">
        <f t="shared" si="313"/>
        <v>#VALUE!</v>
      </c>
      <c r="AF480" t="e">
        <f t="shared" si="314"/>
        <v>#VALUE!</v>
      </c>
      <c r="AG480" t="e">
        <f t="shared" si="315"/>
        <v>#VALUE!</v>
      </c>
      <c r="AH480" t="e">
        <f t="shared" si="316"/>
        <v>#VALUE!</v>
      </c>
      <c r="AI480" t="e">
        <f t="shared" si="317"/>
        <v>#VALUE!</v>
      </c>
      <c r="AJ480" s="19" t="e">
        <f t="shared" si="329"/>
        <v>#VALUE!</v>
      </c>
      <c r="AK480" t="e">
        <f t="shared" si="318"/>
        <v>#VALUE!</v>
      </c>
      <c r="AL480" t="e">
        <f t="shared" si="319"/>
        <v>#VALUE!</v>
      </c>
      <c r="AM480" t="e">
        <f t="shared" si="320"/>
        <v>#VALUE!</v>
      </c>
      <c r="AN480" t="e">
        <f t="shared" si="321"/>
        <v>#VALUE!</v>
      </c>
      <c r="AO480" t="e">
        <f t="shared" si="322"/>
        <v>#VALUE!</v>
      </c>
      <c r="AP480" t="e">
        <f t="shared" si="323"/>
        <v>#VALUE!</v>
      </c>
      <c r="AQ480" t="e">
        <f t="shared" si="324"/>
        <v>#VALUE!</v>
      </c>
      <c r="AR480" s="123" t="e">
        <f t="shared" si="330"/>
        <v>#VALUE!</v>
      </c>
      <c r="AS480" t="e">
        <f t="shared" si="325"/>
        <v>#VALUE!</v>
      </c>
      <c r="AT480" s="181" t="e">
        <f>INDEX('stock fisico '!N:N, MATCH(B480, 'stock fisico '!B:B, 0))</f>
        <v>#N/A</v>
      </c>
      <c r="AU480" s="179" t="e">
        <f>INDEX('stock fisico '!D:D, MATCH(B480, 'stock fisico '!B:B, 0))</f>
        <v>#N/A</v>
      </c>
      <c r="AV480" s="177" t="e">
        <f>INDEX('stock fisico '!L:L, MATCH(B480, 'stock fisico '!B:B, 0))</f>
        <v>#N/A</v>
      </c>
    </row>
    <row r="481" spans="1:48" x14ac:dyDescent="0.25">
      <c r="A481" s="181" t="e">
        <f>INDEX('stock fisico '!M:M, MATCH(B481, 'stock fisico '!B:B, 0))</f>
        <v>#N/A</v>
      </c>
      <c r="C481" s="179" t="e">
        <f>INDEX('stock fisico '!C:C, MATCH(B481, 'stock fisico '!B:B, 0))</f>
        <v>#N/A</v>
      </c>
      <c r="D481" s="178" t="e">
        <f>INDEX('stock fisico '!I:I, MATCH(B481, 'stock fisico '!B:B, 0))</f>
        <v>#N/A</v>
      </c>
      <c r="E481" s="173" t="e">
        <f t="shared" si="331"/>
        <v>#VALUE!</v>
      </c>
      <c r="F481" t="e">
        <f t="shared" si="291"/>
        <v>#VALUE!</v>
      </c>
      <c r="G481" t="e">
        <f t="shared" si="292"/>
        <v>#VALUE!</v>
      </c>
      <c r="H481" t="e">
        <f t="shared" si="293"/>
        <v>#VALUE!</v>
      </c>
      <c r="I481" t="e">
        <f t="shared" si="294"/>
        <v>#VALUE!</v>
      </c>
      <c r="J481" t="e">
        <f t="shared" si="295"/>
        <v>#VALUE!</v>
      </c>
      <c r="K481" t="e">
        <f t="shared" si="296"/>
        <v>#VALUE!</v>
      </c>
      <c r="L481" s="175" t="e">
        <f t="shared" si="326"/>
        <v>#VALUE!</v>
      </c>
      <c r="M481" t="e">
        <f t="shared" si="297"/>
        <v>#VALUE!</v>
      </c>
      <c r="N481" t="e">
        <f t="shared" si="298"/>
        <v>#VALUE!</v>
      </c>
      <c r="O481" t="e">
        <f t="shared" si="299"/>
        <v>#VALUE!</v>
      </c>
      <c r="P481" t="e">
        <f t="shared" si="300"/>
        <v>#VALUE!</v>
      </c>
      <c r="Q481" t="e">
        <f t="shared" si="301"/>
        <v>#VALUE!</v>
      </c>
      <c r="R481" t="e">
        <f t="shared" si="302"/>
        <v>#VALUE!</v>
      </c>
      <c r="S481" t="e">
        <f t="shared" si="303"/>
        <v>#VALUE!</v>
      </c>
      <c r="T481" s="174" t="e">
        <f t="shared" si="327"/>
        <v>#VALUE!</v>
      </c>
      <c r="U481" t="e">
        <f t="shared" si="304"/>
        <v>#VALUE!</v>
      </c>
      <c r="V481" t="e">
        <f t="shared" si="305"/>
        <v>#VALUE!</v>
      </c>
      <c r="W481" t="e">
        <f t="shared" si="306"/>
        <v>#VALUE!</v>
      </c>
      <c r="X481" t="e">
        <f t="shared" si="307"/>
        <v>#VALUE!</v>
      </c>
      <c r="Y481" t="e">
        <f t="shared" si="308"/>
        <v>#VALUE!</v>
      </c>
      <c r="Z481" t="e">
        <f t="shared" si="309"/>
        <v>#VALUE!</v>
      </c>
      <c r="AA481" t="e">
        <f t="shared" si="310"/>
        <v>#VALUE!</v>
      </c>
      <c r="AB481" s="23" t="e">
        <f t="shared" si="328"/>
        <v>#VALUE!</v>
      </c>
      <c r="AC481" t="e">
        <f t="shared" si="311"/>
        <v>#VALUE!</v>
      </c>
      <c r="AD481" t="e">
        <f t="shared" si="312"/>
        <v>#VALUE!</v>
      </c>
      <c r="AE481" t="e">
        <f t="shared" si="313"/>
        <v>#VALUE!</v>
      </c>
      <c r="AF481" t="e">
        <f t="shared" si="314"/>
        <v>#VALUE!</v>
      </c>
      <c r="AG481" t="e">
        <f t="shared" si="315"/>
        <v>#VALUE!</v>
      </c>
      <c r="AH481" t="e">
        <f t="shared" si="316"/>
        <v>#VALUE!</v>
      </c>
      <c r="AI481" t="e">
        <f t="shared" si="317"/>
        <v>#VALUE!</v>
      </c>
      <c r="AJ481" s="19" t="e">
        <f t="shared" si="329"/>
        <v>#VALUE!</v>
      </c>
      <c r="AK481" t="e">
        <f t="shared" si="318"/>
        <v>#VALUE!</v>
      </c>
      <c r="AL481" t="e">
        <f t="shared" si="319"/>
        <v>#VALUE!</v>
      </c>
      <c r="AM481" t="e">
        <f t="shared" si="320"/>
        <v>#VALUE!</v>
      </c>
      <c r="AN481" t="e">
        <f t="shared" si="321"/>
        <v>#VALUE!</v>
      </c>
      <c r="AO481" t="e">
        <f t="shared" si="322"/>
        <v>#VALUE!</v>
      </c>
      <c r="AP481" t="e">
        <f t="shared" si="323"/>
        <v>#VALUE!</v>
      </c>
      <c r="AQ481" t="e">
        <f t="shared" si="324"/>
        <v>#VALUE!</v>
      </c>
      <c r="AR481" s="123" t="e">
        <f t="shared" si="330"/>
        <v>#VALUE!</v>
      </c>
      <c r="AS481" t="e">
        <f t="shared" si="325"/>
        <v>#VALUE!</v>
      </c>
      <c r="AT481" s="181" t="e">
        <f>INDEX('stock fisico '!N:N, MATCH(B481, 'stock fisico '!B:B, 0))</f>
        <v>#N/A</v>
      </c>
      <c r="AU481" s="179" t="e">
        <f>INDEX('stock fisico '!D:D, MATCH(B481, 'stock fisico '!B:B, 0))</f>
        <v>#N/A</v>
      </c>
      <c r="AV481" s="177" t="e">
        <f>INDEX('stock fisico '!L:L, MATCH(B481, 'stock fisico '!B:B, 0))</f>
        <v>#N/A</v>
      </c>
    </row>
    <row r="482" spans="1:48" x14ac:dyDescent="0.25">
      <c r="A482" s="181" t="e">
        <f>INDEX('stock fisico '!M:M, MATCH(B482, 'stock fisico '!B:B, 0))</f>
        <v>#N/A</v>
      </c>
      <c r="C482" s="179" t="e">
        <f>INDEX('stock fisico '!C:C, MATCH(B482, 'stock fisico '!B:B, 0))</f>
        <v>#N/A</v>
      </c>
      <c r="D482" s="178" t="e">
        <f>INDEX('stock fisico '!I:I, MATCH(B482, 'stock fisico '!B:B, 0))</f>
        <v>#N/A</v>
      </c>
      <c r="E482" s="173" t="e">
        <f t="shared" si="331"/>
        <v>#VALUE!</v>
      </c>
      <c r="F482" t="e">
        <f t="shared" si="291"/>
        <v>#VALUE!</v>
      </c>
      <c r="G482" t="e">
        <f t="shared" si="292"/>
        <v>#VALUE!</v>
      </c>
      <c r="H482" t="e">
        <f t="shared" si="293"/>
        <v>#VALUE!</v>
      </c>
      <c r="I482" t="e">
        <f t="shared" si="294"/>
        <v>#VALUE!</v>
      </c>
      <c r="J482" t="e">
        <f t="shared" si="295"/>
        <v>#VALUE!</v>
      </c>
      <c r="K482" t="e">
        <f t="shared" si="296"/>
        <v>#VALUE!</v>
      </c>
      <c r="L482" s="175" t="e">
        <f t="shared" si="326"/>
        <v>#VALUE!</v>
      </c>
      <c r="M482" t="e">
        <f t="shared" si="297"/>
        <v>#VALUE!</v>
      </c>
      <c r="N482" t="e">
        <f t="shared" si="298"/>
        <v>#VALUE!</v>
      </c>
      <c r="O482" t="e">
        <f t="shared" si="299"/>
        <v>#VALUE!</v>
      </c>
      <c r="P482" t="e">
        <f t="shared" si="300"/>
        <v>#VALUE!</v>
      </c>
      <c r="Q482" t="e">
        <f t="shared" si="301"/>
        <v>#VALUE!</v>
      </c>
      <c r="R482" t="e">
        <f t="shared" si="302"/>
        <v>#VALUE!</v>
      </c>
      <c r="S482" t="e">
        <f t="shared" si="303"/>
        <v>#VALUE!</v>
      </c>
      <c r="T482" s="174" t="e">
        <f t="shared" si="327"/>
        <v>#VALUE!</v>
      </c>
      <c r="U482" t="e">
        <f t="shared" si="304"/>
        <v>#VALUE!</v>
      </c>
      <c r="V482" t="e">
        <f t="shared" si="305"/>
        <v>#VALUE!</v>
      </c>
      <c r="W482" t="e">
        <f t="shared" si="306"/>
        <v>#VALUE!</v>
      </c>
      <c r="X482" t="e">
        <f t="shared" si="307"/>
        <v>#VALUE!</v>
      </c>
      <c r="Y482" t="e">
        <f t="shared" si="308"/>
        <v>#VALUE!</v>
      </c>
      <c r="Z482" t="e">
        <f t="shared" si="309"/>
        <v>#VALUE!</v>
      </c>
      <c r="AA482" t="e">
        <f t="shared" si="310"/>
        <v>#VALUE!</v>
      </c>
      <c r="AB482" s="23" t="e">
        <f t="shared" si="328"/>
        <v>#VALUE!</v>
      </c>
      <c r="AC482" t="e">
        <f t="shared" si="311"/>
        <v>#VALUE!</v>
      </c>
      <c r="AD482" t="e">
        <f t="shared" si="312"/>
        <v>#VALUE!</v>
      </c>
      <c r="AE482" t="e">
        <f t="shared" si="313"/>
        <v>#VALUE!</v>
      </c>
      <c r="AF482" t="e">
        <f t="shared" si="314"/>
        <v>#VALUE!</v>
      </c>
      <c r="AG482" t="e">
        <f t="shared" si="315"/>
        <v>#VALUE!</v>
      </c>
      <c r="AH482" t="e">
        <f t="shared" si="316"/>
        <v>#VALUE!</v>
      </c>
      <c r="AI482" t="e">
        <f t="shared" si="317"/>
        <v>#VALUE!</v>
      </c>
      <c r="AJ482" s="19" t="e">
        <f t="shared" si="329"/>
        <v>#VALUE!</v>
      </c>
      <c r="AK482" t="e">
        <f t="shared" si="318"/>
        <v>#VALUE!</v>
      </c>
      <c r="AL482" t="e">
        <f t="shared" si="319"/>
        <v>#VALUE!</v>
      </c>
      <c r="AM482" t="e">
        <f t="shared" si="320"/>
        <v>#VALUE!</v>
      </c>
      <c r="AN482" t="e">
        <f t="shared" si="321"/>
        <v>#VALUE!</v>
      </c>
      <c r="AO482" t="e">
        <f t="shared" si="322"/>
        <v>#VALUE!</v>
      </c>
      <c r="AP482" t="e">
        <f t="shared" si="323"/>
        <v>#VALUE!</v>
      </c>
      <c r="AQ482" t="e">
        <f t="shared" si="324"/>
        <v>#VALUE!</v>
      </c>
      <c r="AR482" s="123" t="e">
        <f t="shared" si="330"/>
        <v>#VALUE!</v>
      </c>
      <c r="AS482" t="e">
        <f t="shared" si="325"/>
        <v>#VALUE!</v>
      </c>
      <c r="AT482" s="181" t="e">
        <f>INDEX('stock fisico '!N:N, MATCH(B482, 'stock fisico '!B:B, 0))</f>
        <v>#N/A</v>
      </c>
      <c r="AU482" s="179" t="e">
        <f>INDEX('stock fisico '!D:D, MATCH(B482, 'stock fisico '!B:B, 0))</f>
        <v>#N/A</v>
      </c>
      <c r="AV482" s="177" t="e">
        <f>INDEX('stock fisico '!L:L, MATCH(B482, 'stock fisico '!B:B, 0))</f>
        <v>#N/A</v>
      </c>
    </row>
    <row r="483" spans="1:48" x14ac:dyDescent="0.25">
      <c r="A483" s="181" t="e">
        <f>INDEX('stock fisico '!M:M, MATCH(B483, 'stock fisico '!B:B, 0))</f>
        <v>#N/A</v>
      </c>
      <c r="C483" s="179" t="e">
        <f>INDEX('stock fisico '!C:C, MATCH(B483, 'stock fisico '!B:B, 0))</f>
        <v>#N/A</v>
      </c>
      <c r="D483" s="178" t="e">
        <f>INDEX('stock fisico '!I:I, MATCH(B483, 'stock fisico '!B:B, 0))</f>
        <v>#N/A</v>
      </c>
      <c r="E483" s="173" t="e">
        <f t="shared" si="331"/>
        <v>#VALUE!</v>
      </c>
      <c r="F483" t="e">
        <f t="shared" si="291"/>
        <v>#VALUE!</v>
      </c>
      <c r="G483" t="e">
        <f t="shared" si="292"/>
        <v>#VALUE!</v>
      </c>
      <c r="H483" t="e">
        <f t="shared" si="293"/>
        <v>#VALUE!</v>
      </c>
      <c r="I483" t="e">
        <f t="shared" si="294"/>
        <v>#VALUE!</v>
      </c>
      <c r="J483" t="e">
        <f t="shared" si="295"/>
        <v>#VALUE!</v>
      </c>
      <c r="K483" t="e">
        <f t="shared" si="296"/>
        <v>#VALUE!</v>
      </c>
      <c r="L483" s="175" t="e">
        <f t="shared" si="326"/>
        <v>#VALUE!</v>
      </c>
      <c r="M483" t="e">
        <f t="shared" si="297"/>
        <v>#VALUE!</v>
      </c>
      <c r="N483" t="e">
        <f t="shared" si="298"/>
        <v>#VALUE!</v>
      </c>
      <c r="O483" t="e">
        <f t="shared" si="299"/>
        <v>#VALUE!</v>
      </c>
      <c r="P483" t="e">
        <f t="shared" si="300"/>
        <v>#VALUE!</v>
      </c>
      <c r="Q483" t="e">
        <f t="shared" si="301"/>
        <v>#VALUE!</v>
      </c>
      <c r="R483" t="e">
        <f t="shared" si="302"/>
        <v>#VALUE!</v>
      </c>
      <c r="S483" t="e">
        <f t="shared" si="303"/>
        <v>#VALUE!</v>
      </c>
      <c r="T483" s="174" t="e">
        <f t="shared" si="327"/>
        <v>#VALUE!</v>
      </c>
      <c r="U483" t="e">
        <f t="shared" si="304"/>
        <v>#VALUE!</v>
      </c>
      <c r="V483" t="e">
        <f t="shared" si="305"/>
        <v>#VALUE!</v>
      </c>
      <c r="W483" t="e">
        <f t="shared" si="306"/>
        <v>#VALUE!</v>
      </c>
      <c r="X483" t="e">
        <f t="shared" si="307"/>
        <v>#VALUE!</v>
      </c>
      <c r="Y483" t="e">
        <f t="shared" si="308"/>
        <v>#VALUE!</v>
      </c>
      <c r="Z483" t="e">
        <f t="shared" si="309"/>
        <v>#VALUE!</v>
      </c>
      <c r="AA483" t="e">
        <f t="shared" si="310"/>
        <v>#VALUE!</v>
      </c>
      <c r="AB483" s="23" t="e">
        <f t="shared" si="328"/>
        <v>#VALUE!</v>
      </c>
      <c r="AC483" t="e">
        <f t="shared" si="311"/>
        <v>#VALUE!</v>
      </c>
      <c r="AD483" t="e">
        <f t="shared" si="312"/>
        <v>#VALUE!</v>
      </c>
      <c r="AE483" t="e">
        <f t="shared" si="313"/>
        <v>#VALUE!</v>
      </c>
      <c r="AF483" t="e">
        <f t="shared" si="314"/>
        <v>#VALUE!</v>
      </c>
      <c r="AG483" t="e">
        <f t="shared" si="315"/>
        <v>#VALUE!</v>
      </c>
      <c r="AH483" t="e">
        <f t="shared" si="316"/>
        <v>#VALUE!</v>
      </c>
      <c r="AI483" t="e">
        <f t="shared" si="317"/>
        <v>#VALUE!</v>
      </c>
      <c r="AJ483" s="19" t="e">
        <f t="shared" si="329"/>
        <v>#VALUE!</v>
      </c>
      <c r="AK483" t="e">
        <f t="shared" si="318"/>
        <v>#VALUE!</v>
      </c>
      <c r="AL483" t="e">
        <f t="shared" si="319"/>
        <v>#VALUE!</v>
      </c>
      <c r="AM483" t="e">
        <f t="shared" si="320"/>
        <v>#VALUE!</v>
      </c>
      <c r="AN483" t="e">
        <f t="shared" si="321"/>
        <v>#VALUE!</v>
      </c>
      <c r="AO483" t="e">
        <f t="shared" si="322"/>
        <v>#VALUE!</v>
      </c>
      <c r="AP483" t="e">
        <f t="shared" si="323"/>
        <v>#VALUE!</v>
      </c>
      <c r="AQ483" t="e">
        <f t="shared" si="324"/>
        <v>#VALUE!</v>
      </c>
      <c r="AR483" s="123" t="e">
        <f t="shared" si="330"/>
        <v>#VALUE!</v>
      </c>
      <c r="AS483" t="e">
        <f t="shared" si="325"/>
        <v>#VALUE!</v>
      </c>
      <c r="AT483" s="181" t="e">
        <f>INDEX('stock fisico '!N:N, MATCH(B483, 'stock fisico '!B:B, 0))</f>
        <v>#N/A</v>
      </c>
      <c r="AU483" s="179" t="e">
        <f>INDEX('stock fisico '!D:D, MATCH(B483, 'stock fisico '!B:B, 0))</f>
        <v>#N/A</v>
      </c>
      <c r="AV483" s="177" t="e">
        <f>INDEX('stock fisico '!L:L, MATCH(B483, 'stock fisico '!B:B, 0))</f>
        <v>#N/A</v>
      </c>
    </row>
    <row r="484" spans="1:48" x14ac:dyDescent="0.25">
      <c r="A484" s="181" t="e">
        <f>INDEX('stock fisico '!M:M, MATCH(B484, 'stock fisico '!B:B, 0))</f>
        <v>#N/A</v>
      </c>
      <c r="C484" s="179" t="e">
        <f>INDEX('stock fisico '!C:C, MATCH(B484, 'stock fisico '!B:B, 0))</f>
        <v>#N/A</v>
      </c>
      <c r="D484" s="178" t="e">
        <f>INDEX('stock fisico '!I:I, MATCH(B484, 'stock fisico '!B:B, 0))</f>
        <v>#N/A</v>
      </c>
      <c r="E484" s="173" t="e">
        <f t="shared" si="331"/>
        <v>#VALUE!</v>
      </c>
      <c r="F484" t="e">
        <f t="shared" si="291"/>
        <v>#VALUE!</v>
      </c>
      <c r="G484" t="e">
        <f t="shared" si="292"/>
        <v>#VALUE!</v>
      </c>
      <c r="H484" t="e">
        <f t="shared" si="293"/>
        <v>#VALUE!</v>
      </c>
      <c r="I484" t="e">
        <f t="shared" si="294"/>
        <v>#VALUE!</v>
      </c>
      <c r="J484" t="e">
        <f t="shared" si="295"/>
        <v>#VALUE!</v>
      </c>
      <c r="K484" t="e">
        <f t="shared" si="296"/>
        <v>#VALUE!</v>
      </c>
      <c r="L484" s="175" t="e">
        <f t="shared" si="326"/>
        <v>#VALUE!</v>
      </c>
      <c r="M484" t="e">
        <f t="shared" si="297"/>
        <v>#VALUE!</v>
      </c>
      <c r="N484" t="e">
        <f t="shared" si="298"/>
        <v>#VALUE!</v>
      </c>
      <c r="O484" t="e">
        <f t="shared" si="299"/>
        <v>#VALUE!</v>
      </c>
      <c r="P484" t="e">
        <f t="shared" si="300"/>
        <v>#VALUE!</v>
      </c>
      <c r="Q484" t="e">
        <f t="shared" si="301"/>
        <v>#VALUE!</v>
      </c>
      <c r="R484" t="e">
        <f t="shared" si="302"/>
        <v>#VALUE!</v>
      </c>
      <c r="S484" t="e">
        <f t="shared" si="303"/>
        <v>#VALUE!</v>
      </c>
      <c r="T484" s="174" t="e">
        <f t="shared" si="327"/>
        <v>#VALUE!</v>
      </c>
      <c r="U484" t="e">
        <f t="shared" si="304"/>
        <v>#VALUE!</v>
      </c>
      <c r="V484" t="e">
        <f t="shared" si="305"/>
        <v>#VALUE!</v>
      </c>
      <c r="W484" t="e">
        <f t="shared" si="306"/>
        <v>#VALUE!</v>
      </c>
      <c r="X484" t="e">
        <f t="shared" si="307"/>
        <v>#VALUE!</v>
      </c>
      <c r="Y484" t="e">
        <f t="shared" si="308"/>
        <v>#VALUE!</v>
      </c>
      <c r="Z484" t="e">
        <f t="shared" si="309"/>
        <v>#VALUE!</v>
      </c>
      <c r="AA484" t="e">
        <f t="shared" si="310"/>
        <v>#VALUE!</v>
      </c>
      <c r="AB484" s="23" t="e">
        <f t="shared" si="328"/>
        <v>#VALUE!</v>
      </c>
      <c r="AC484" t="e">
        <f t="shared" si="311"/>
        <v>#VALUE!</v>
      </c>
      <c r="AD484" t="e">
        <f t="shared" si="312"/>
        <v>#VALUE!</v>
      </c>
      <c r="AE484" t="e">
        <f t="shared" si="313"/>
        <v>#VALUE!</v>
      </c>
      <c r="AF484" t="e">
        <f t="shared" si="314"/>
        <v>#VALUE!</v>
      </c>
      <c r="AG484" t="e">
        <f t="shared" si="315"/>
        <v>#VALUE!</v>
      </c>
      <c r="AH484" t="e">
        <f t="shared" si="316"/>
        <v>#VALUE!</v>
      </c>
      <c r="AI484" t="e">
        <f t="shared" si="317"/>
        <v>#VALUE!</v>
      </c>
      <c r="AJ484" s="19" t="e">
        <f t="shared" si="329"/>
        <v>#VALUE!</v>
      </c>
      <c r="AK484" t="e">
        <f t="shared" si="318"/>
        <v>#VALUE!</v>
      </c>
      <c r="AL484" t="e">
        <f t="shared" si="319"/>
        <v>#VALUE!</v>
      </c>
      <c r="AM484" t="e">
        <f t="shared" si="320"/>
        <v>#VALUE!</v>
      </c>
      <c r="AN484" t="e">
        <f t="shared" si="321"/>
        <v>#VALUE!</v>
      </c>
      <c r="AO484" t="e">
        <f t="shared" si="322"/>
        <v>#VALUE!</v>
      </c>
      <c r="AP484" t="e">
        <f t="shared" si="323"/>
        <v>#VALUE!</v>
      </c>
      <c r="AQ484" t="e">
        <f t="shared" si="324"/>
        <v>#VALUE!</v>
      </c>
      <c r="AR484" s="123" t="e">
        <f t="shared" si="330"/>
        <v>#VALUE!</v>
      </c>
      <c r="AS484" t="e">
        <f t="shared" si="325"/>
        <v>#VALUE!</v>
      </c>
      <c r="AT484" s="181" t="e">
        <f>INDEX('stock fisico '!N:N, MATCH(B484, 'stock fisico '!B:B, 0))</f>
        <v>#N/A</v>
      </c>
      <c r="AU484" s="179" t="e">
        <f>INDEX('stock fisico '!D:D, MATCH(B484, 'stock fisico '!B:B, 0))</f>
        <v>#N/A</v>
      </c>
      <c r="AV484" s="177" t="e">
        <f>INDEX('stock fisico '!L:L, MATCH(B484, 'stock fisico '!B:B, 0))</f>
        <v>#N/A</v>
      </c>
    </row>
    <row r="485" spans="1:48" x14ac:dyDescent="0.25">
      <c r="A485" s="181" t="e">
        <f>INDEX('stock fisico '!M:M, MATCH(B485, 'stock fisico '!B:B, 0))</f>
        <v>#N/A</v>
      </c>
      <c r="C485" s="179" t="e">
        <f>INDEX('stock fisico '!C:C, MATCH(B485, 'stock fisico '!B:B, 0))</f>
        <v>#N/A</v>
      </c>
      <c r="D485" s="178" t="e">
        <f>INDEX('stock fisico '!I:I, MATCH(B485, 'stock fisico '!B:B, 0))</f>
        <v>#N/A</v>
      </c>
      <c r="E485" s="173" t="e">
        <f t="shared" si="331"/>
        <v>#VALUE!</v>
      </c>
      <c r="F485" t="e">
        <f t="shared" si="291"/>
        <v>#VALUE!</v>
      </c>
      <c r="G485" t="e">
        <f t="shared" si="292"/>
        <v>#VALUE!</v>
      </c>
      <c r="H485" t="e">
        <f t="shared" si="293"/>
        <v>#VALUE!</v>
      </c>
      <c r="I485" t="e">
        <f t="shared" si="294"/>
        <v>#VALUE!</v>
      </c>
      <c r="J485" t="e">
        <f t="shared" si="295"/>
        <v>#VALUE!</v>
      </c>
      <c r="K485" t="e">
        <f t="shared" si="296"/>
        <v>#VALUE!</v>
      </c>
      <c r="L485" s="175" t="e">
        <f t="shared" si="326"/>
        <v>#VALUE!</v>
      </c>
      <c r="M485" t="e">
        <f t="shared" si="297"/>
        <v>#VALUE!</v>
      </c>
      <c r="N485" t="e">
        <f t="shared" si="298"/>
        <v>#VALUE!</v>
      </c>
      <c r="O485" t="e">
        <f t="shared" si="299"/>
        <v>#VALUE!</v>
      </c>
      <c r="P485" t="e">
        <f t="shared" si="300"/>
        <v>#VALUE!</v>
      </c>
      <c r="Q485" t="e">
        <f t="shared" si="301"/>
        <v>#VALUE!</v>
      </c>
      <c r="R485" t="e">
        <f t="shared" si="302"/>
        <v>#VALUE!</v>
      </c>
      <c r="S485" t="e">
        <f t="shared" si="303"/>
        <v>#VALUE!</v>
      </c>
      <c r="T485" s="174" t="e">
        <f t="shared" si="327"/>
        <v>#VALUE!</v>
      </c>
      <c r="U485" t="e">
        <f t="shared" si="304"/>
        <v>#VALUE!</v>
      </c>
      <c r="V485" t="e">
        <f t="shared" si="305"/>
        <v>#VALUE!</v>
      </c>
      <c r="W485" t="e">
        <f t="shared" si="306"/>
        <v>#VALUE!</v>
      </c>
      <c r="X485" t="e">
        <f t="shared" si="307"/>
        <v>#VALUE!</v>
      </c>
      <c r="Y485" t="e">
        <f t="shared" si="308"/>
        <v>#VALUE!</v>
      </c>
      <c r="Z485" t="e">
        <f t="shared" si="309"/>
        <v>#VALUE!</v>
      </c>
      <c r="AA485" t="e">
        <f t="shared" si="310"/>
        <v>#VALUE!</v>
      </c>
      <c r="AB485" s="23" t="e">
        <f t="shared" si="328"/>
        <v>#VALUE!</v>
      </c>
      <c r="AC485" t="e">
        <f t="shared" si="311"/>
        <v>#VALUE!</v>
      </c>
      <c r="AD485" t="e">
        <f t="shared" si="312"/>
        <v>#VALUE!</v>
      </c>
      <c r="AE485" t="e">
        <f t="shared" si="313"/>
        <v>#VALUE!</v>
      </c>
      <c r="AF485" t="e">
        <f t="shared" si="314"/>
        <v>#VALUE!</v>
      </c>
      <c r="AG485" t="e">
        <f t="shared" si="315"/>
        <v>#VALUE!</v>
      </c>
      <c r="AH485" t="e">
        <f t="shared" si="316"/>
        <v>#VALUE!</v>
      </c>
      <c r="AI485" t="e">
        <f t="shared" si="317"/>
        <v>#VALUE!</v>
      </c>
      <c r="AJ485" s="19" t="e">
        <f t="shared" si="329"/>
        <v>#VALUE!</v>
      </c>
      <c r="AK485" t="e">
        <f t="shared" si="318"/>
        <v>#VALUE!</v>
      </c>
      <c r="AL485" t="e">
        <f t="shared" si="319"/>
        <v>#VALUE!</v>
      </c>
      <c r="AM485" t="e">
        <f t="shared" si="320"/>
        <v>#VALUE!</v>
      </c>
      <c r="AN485" t="e">
        <f t="shared" si="321"/>
        <v>#VALUE!</v>
      </c>
      <c r="AO485" t="e">
        <f t="shared" si="322"/>
        <v>#VALUE!</v>
      </c>
      <c r="AP485" t="e">
        <f t="shared" si="323"/>
        <v>#VALUE!</v>
      </c>
      <c r="AQ485" t="e">
        <f t="shared" si="324"/>
        <v>#VALUE!</v>
      </c>
      <c r="AR485" s="123" t="e">
        <f t="shared" si="330"/>
        <v>#VALUE!</v>
      </c>
      <c r="AS485" t="e">
        <f t="shared" si="325"/>
        <v>#VALUE!</v>
      </c>
      <c r="AT485" s="181" t="e">
        <f>INDEX('stock fisico '!N:N, MATCH(B485, 'stock fisico '!B:B, 0))</f>
        <v>#N/A</v>
      </c>
      <c r="AU485" s="179" t="e">
        <f>INDEX('stock fisico '!D:D, MATCH(B485, 'stock fisico '!B:B, 0))</f>
        <v>#N/A</v>
      </c>
      <c r="AV485" s="177" t="e">
        <f>INDEX('stock fisico '!L:L, MATCH(B485, 'stock fisico '!B:B, 0))</f>
        <v>#N/A</v>
      </c>
    </row>
    <row r="486" spans="1:48" x14ac:dyDescent="0.25">
      <c r="A486" s="181" t="e">
        <f>INDEX('stock fisico '!M:M, MATCH(B486, 'stock fisico '!B:B, 0))</f>
        <v>#N/A</v>
      </c>
      <c r="C486" s="179" t="e">
        <f>INDEX('stock fisico '!C:C, MATCH(B486, 'stock fisico '!B:B, 0))</f>
        <v>#N/A</v>
      </c>
      <c r="D486" s="178" t="e">
        <f>INDEX('stock fisico '!I:I, MATCH(B486, 'stock fisico '!B:B, 0))</f>
        <v>#N/A</v>
      </c>
      <c r="E486" s="173" t="e">
        <f t="shared" si="331"/>
        <v>#VALUE!</v>
      </c>
      <c r="F486" t="e">
        <f t="shared" si="291"/>
        <v>#VALUE!</v>
      </c>
      <c r="G486" t="e">
        <f t="shared" si="292"/>
        <v>#VALUE!</v>
      </c>
      <c r="H486" t="e">
        <f t="shared" si="293"/>
        <v>#VALUE!</v>
      </c>
      <c r="I486" t="e">
        <f t="shared" si="294"/>
        <v>#VALUE!</v>
      </c>
      <c r="J486" t="e">
        <f t="shared" si="295"/>
        <v>#VALUE!</v>
      </c>
      <c r="K486" t="e">
        <f t="shared" si="296"/>
        <v>#VALUE!</v>
      </c>
      <c r="L486" s="175" t="e">
        <f t="shared" si="326"/>
        <v>#VALUE!</v>
      </c>
      <c r="M486" t="e">
        <f t="shared" si="297"/>
        <v>#VALUE!</v>
      </c>
      <c r="N486" t="e">
        <f t="shared" si="298"/>
        <v>#VALUE!</v>
      </c>
      <c r="O486" t="e">
        <f t="shared" si="299"/>
        <v>#VALUE!</v>
      </c>
      <c r="P486" t="e">
        <f t="shared" si="300"/>
        <v>#VALUE!</v>
      </c>
      <c r="Q486" t="e">
        <f t="shared" si="301"/>
        <v>#VALUE!</v>
      </c>
      <c r="R486" t="e">
        <f t="shared" si="302"/>
        <v>#VALUE!</v>
      </c>
      <c r="S486" t="e">
        <f t="shared" si="303"/>
        <v>#VALUE!</v>
      </c>
      <c r="T486" s="174" t="e">
        <f t="shared" si="327"/>
        <v>#VALUE!</v>
      </c>
      <c r="U486" t="e">
        <f t="shared" si="304"/>
        <v>#VALUE!</v>
      </c>
      <c r="V486" t="e">
        <f t="shared" si="305"/>
        <v>#VALUE!</v>
      </c>
      <c r="W486" t="e">
        <f t="shared" si="306"/>
        <v>#VALUE!</v>
      </c>
      <c r="X486" t="e">
        <f t="shared" si="307"/>
        <v>#VALUE!</v>
      </c>
      <c r="Y486" t="e">
        <f t="shared" si="308"/>
        <v>#VALUE!</v>
      </c>
      <c r="Z486" t="e">
        <f t="shared" si="309"/>
        <v>#VALUE!</v>
      </c>
      <c r="AA486" t="e">
        <f t="shared" si="310"/>
        <v>#VALUE!</v>
      </c>
      <c r="AB486" s="23" t="e">
        <f t="shared" si="328"/>
        <v>#VALUE!</v>
      </c>
      <c r="AC486" t="e">
        <f t="shared" si="311"/>
        <v>#VALUE!</v>
      </c>
      <c r="AD486" t="e">
        <f t="shared" si="312"/>
        <v>#VALUE!</v>
      </c>
      <c r="AE486" t="e">
        <f t="shared" si="313"/>
        <v>#VALUE!</v>
      </c>
      <c r="AF486" t="e">
        <f t="shared" si="314"/>
        <v>#VALUE!</v>
      </c>
      <c r="AG486" t="e">
        <f t="shared" si="315"/>
        <v>#VALUE!</v>
      </c>
      <c r="AH486" t="e">
        <f t="shared" si="316"/>
        <v>#VALUE!</v>
      </c>
      <c r="AI486" t="e">
        <f t="shared" si="317"/>
        <v>#VALUE!</v>
      </c>
      <c r="AJ486" s="19" t="e">
        <f t="shared" si="329"/>
        <v>#VALUE!</v>
      </c>
      <c r="AK486" t="e">
        <f t="shared" si="318"/>
        <v>#VALUE!</v>
      </c>
      <c r="AL486" t="e">
        <f t="shared" si="319"/>
        <v>#VALUE!</v>
      </c>
      <c r="AM486" t="e">
        <f t="shared" si="320"/>
        <v>#VALUE!</v>
      </c>
      <c r="AN486" t="e">
        <f t="shared" si="321"/>
        <v>#VALUE!</v>
      </c>
      <c r="AO486" t="e">
        <f t="shared" si="322"/>
        <v>#VALUE!</v>
      </c>
      <c r="AP486" t="e">
        <f t="shared" si="323"/>
        <v>#VALUE!</v>
      </c>
      <c r="AQ486" t="e">
        <f t="shared" si="324"/>
        <v>#VALUE!</v>
      </c>
      <c r="AR486" s="123" t="e">
        <f t="shared" si="330"/>
        <v>#VALUE!</v>
      </c>
      <c r="AS486" t="e">
        <f t="shared" si="325"/>
        <v>#VALUE!</v>
      </c>
      <c r="AT486" s="181" t="e">
        <f>INDEX('stock fisico '!N:N, MATCH(B486, 'stock fisico '!B:B, 0))</f>
        <v>#N/A</v>
      </c>
      <c r="AU486" s="179" t="e">
        <f>INDEX('stock fisico '!D:D, MATCH(B486, 'stock fisico '!B:B, 0))</f>
        <v>#N/A</v>
      </c>
      <c r="AV486" s="177" t="e">
        <f>INDEX('stock fisico '!L:L, MATCH(B486, 'stock fisico '!B:B, 0))</f>
        <v>#N/A</v>
      </c>
    </row>
    <row r="487" spans="1:48" x14ac:dyDescent="0.25">
      <c r="A487" s="181" t="e">
        <f>INDEX('stock fisico '!M:M, MATCH(B487, 'stock fisico '!B:B, 0))</f>
        <v>#N/A</v>
      </c>
      <c r="C487" s="179" t="e">
        <f>INDEX('stock fisico '!C:C, MATCH(B487, 'stock fisico '!B:B, 0))</f>
        <v>#N/A</v>
      </c>
      <c r="D487" s="178" t="e">
        <f>INDEX('stock fisico '!I:I, MATCH(B487, 'stock fisico '!B:B, 0))</f>
        <v>#N/A</v>
      </c>
      <c r="E487" s="173" t="e">
        <f t="shared" si="331"/>
        <v>#VALUE!</v>
      </c>
      <c r="F487" t="e">
        <f t="shared" si="291"/>
        <v>#VALUE!</v>
      </c>
      <c r="G487" t="e">
        <f t="shared" si="292"/>
        <v>#VALUE!</v>
      </c>
      <c r="H487" t="e">
        <f t="shared" si="293"/>
        <v>#VALUE!</v>
      </c>
      <c r="I487" t="e">
        <f t="shared" si="294"/>
        <v>#VALUE!</v>
      </c>
      <c r="J487" t="e">
        <f t="shared" si="295"/>
        <v>#VALUE!</v>
      </c>
      <c r="K487" t="e">
        <f t="shared" si="296"/>
        <v>#VALUE!</v>
      </c>
      <c r="L487" s="175" t="e">
        <f t="shared" si="326"/>
        <v>#VALUE!</v>
      </c>
      <c r="M487" t="e">
        <f t="shared" si="297"/>
        <v>#VALUE!</v>
      </c>
      <c r="N487" t="e">
        <f t="shared" si="298"/>
        <v>#VALUE!</v>
      </c>
      <c r="O487" t="e">
        <f t="shared" si="299"/>
        <v>#VALUE!</v>
      </c>
      <c r="P487" t="e">
        <f t="shared" si="300"/>
        <v>#VALUE!</v>
      </c>
      <c r="Q487" t="e">
        <f t="shared" si="301"/>
        <v>#VALUE!</v>
      </c>
      <c r="R487" t="e">
        <f t="shared" si="302"/>
        <v>#VALUE!</v>
      </c>
      <c r="S487" t="e">
        <f t="shared" si="303"/>
        <v>#VALUE!</v>
      </c>
      <c r="T487" s="174" t="e">
        <f t="shared" si="327"/>
        <v>#VALUE!</v>
      </c>
      <c r="U487" t="e">
        <f t="shared" si="304"/>
        <v>#VALUE!</v>
      </c>
      <c r="V487" t="e">
        <f t="shared" si="305"/>
        <v>#VALUE!</v>
      </c>
      <c r="W487" t="e">
        <f t="shared" si="306"/>
        <v>#VALUE!</v>
      </c>
      <c r="X487" t="e">
        <f t="shared" si="307"/>
        <v>#VALUE!</v>
      </c>
      <c r="Y487" t="e">
        <f t="shared" si="308"/>
        <v>#VALUE!</v>
      </c>
      <c r="Z487" t="e">
        <f t="shared" si="309"/>
        <v>#VALUE!</v>
      </c>
      <c r="AA487" t="e">
        <f t="shared" si="310"/>
        <v>#VALUE!</v>
      </c>
      <c r="AB487" s="23" t="e">
        <f t="shared" si="328"/>
        <v>#VALUE!</v>
      </c>
      <c r="AC487" t="e">
        <f t="shared" si="311"/>
        <v>#VALUE!</v>
      </c>
      <c r="AD487" t="e">
        <f t="shared" si="312"/>
        <v>#VALUE!</v>
      </c>
      <c r="AE487" t="e">
        <f t="shared" si="313"/>
        <v>#VALUE!</v>
      </c>
      <c r="AF487" t="e">
        <f t="shared" si="314"/>
        <v>#VALUE!</v>
      </c>
      <c r="AG487" t="e">
        <f t="shared" si="315"/>
        <v>#VALUE!</v>
      </c>
      <c r="AH487" t="e">
        <f t="shared" si="316"/>
        <v>#VALUE!</v>
      </c>
      <c r="AI487" t="e">
        <f t="shared" si="317"/>
        <v>#VALUE!</v>
      </c>
      <c r="AJ487" s="19" t="e">
        <f t="shared" si="329"/>
        <v>#VALUE!</v>
      </c>
      <c r="AK487" t="e">
        <f t="shared" si="318"/>
        <v>#VALUE!</v>
      </c>
      <c r="AL487" t="e">
        <f t="shared" si="319"/>
        <v>#VALUE!</v>
      </c>
      <c r="AM487" t="e">
        <f t="shared" si="320"/>
        <v>#VALUE!</v>
      </c>
      <c r="AN487" t="e">
        <f t="shared" si="321"/>
        <v>#VALUE!</v>
      </c>
      <c r="AO487" t="e">
        <f t="shared" si="322"/>
        <v>#VALUE!</v>
      </c>
      <c r="AP487" t="e">
        <f t="shared" si="323"/>
        <v>#VALUE!</v>
      </c>
      <c r="AQ487" t="e">
        <f t="shared" si="324"/>
        <v>#VALUE!</v>
      </c>
      <c r="AR487" s="123" t="e">
        <f t="shared" si="330"/>
        <v>#VALUE!</v>
      </c>
      <c r="AS487" t="e">
        <f t="shared" si="325"/>
        <v>#VALUE!</v>
      </c>
      <c r="AT487" s="181" t="e">
        <f>INDEX('stock fisico '!N:N, MATCH(B487, 'stock fisico '!B:B, 0))</f>
        <v>#N/A</v>
      </c>
      <c r="AU487" s="179" t="e">
        <f>INDEX('stock fisico '!D:D, MATCH(B487, 'stock fisico '!B:B, 0))</f>
        <v>#N/A</v>
      </c>
      <c r="AV487" s="177" t="e">
        <f>INDEX('stock fisico '!L:L, MATCH(B487, 'stock fisico '!B:B, 0))</f>
        <v>#N/A</v>
      </c>
    </row>
    <row r="488" spans="1:48" x14ac:dyDescent="0.25">
      <c r="A488" s="181" t="e">
        <f>INDEX('stock fisico '!M:M, MATCH(B488, 'stock fisico '!B:B, 0))</f>
        <v>#N/A</v>
      </c>
      <c r="C488" s="179" t="e">
        <f>INDEX('stock fisico '!C:C, MATCH(B488, 'stock fisico '!B:B, 0))</f>
        <v>#N/A</v>
      </c>
      <c r="D488" s="178" t="e">
        <f>INDEX('stock fisico '!I:I, MATCH(B488, 'stock fisico '!B:B, 0))</f>
        <v>#N/A</v>
      </c>
      <c r="E488" s="173" t="e">
        <f t="shared" si="331"/>
        <v>#VALUE!</v>
      </c>
      <c r="F488" t="e">
        <f t="shared" si="291"/>
        <v>#VALUE!</v>
      </c>
      <c r="G488" t="e">
        <f t="shared" si="292"/>
        <v>#VALUE!</v>
      </c>
      <c r="H488" t="e">
        <f t="shared" si="293"/>
        <v>#VALUE!</v>
      </c>
      <c r="I488" t="e">
        <f t="shared" si="294"/>
        <v>#VALUE!</v>
      </c>
      <c r="J488" t="e">
        <f t="shared" si="295"/>
        <v>#VALUE!</v>
      </c>
      <c r="K488" t="e">
        <f t="shared" si="296"/>
        <v>#VALUE!</v>
      </c>
      <c r="L488" s="175" t="e">
        <f t="shared" si="326"/>
        <v>#VALUE!</v>
      </c>
      <c r="M488" t="e">
        <f t="shared" si="297"/>
        <v>#VALUE!</v>
      </c>
      <c r="N488" t="e">
        <f t="shared" si="298"/>
        <v>#VALUE!</v>
      </c>
      <c r="O488" t="e">
        <f t="shared" si="299"/>
        <v>#VALUE!</v>
      </c>
      <c r="P488" t="e">
        <f t="shared" si="300"/>
        <v>#VALUE!</v>
      </c>
      <c r="Q488" t="e">
        <f t="shared" si="301"/>
        <v>#VALUE!</v>
      </c>
      <c r="R488" t="e">
        <f t="shared" si="302"/>
        <v>#VALUE!</v>
      </c>
      <c r="S488" t="e">
        <f t="shared" si="303"/>
        <v>#VALUE!</v>
      </c>
      <c r="T488" s="174" t="e">
        <f t="shared" si="327"/>
        <v>#VALUE!</v>
      </c>
      <c r="U488" t="e">
        <f t="shared" si="304"/>
        <v>#VALUE!</v>
      </c>
      <c r="V488" t="e">
        <f t="shared" si="305"/>
        <v>#VALUE!</v>
      </c>
      <c r="W488" t="e">
        <f t="shared" si="306"/>
        <v>#VALUE!</v>
      </c>
      <c r="X488" t="e">
        <f t="shared" si="307"/>
        <v>#VALUE!</v>
      </c>
      <c r="Y488" t="e">
        <f t="shared" si="308"/>
        <v>#VALUE!</v>
      </c>
      <c r="Z488" t="e">
        <f t="shared" si="309"/>
        <v>#VALUE!</v>
      </c>
      <c r="AA488" t="e">
        <f t="shared" si="310"/>
        <v>#VALUE!</v>
      </c>
      <c r="AB488" s="23" t="e">
        <f t="shared" si="328"/>
        <v>#VALUE!</v>
      </c>
      <c r="AC488" t="e">
        <f t="shared" si="311"/>
        <v>#VALUE!</v>
      </c>
      <c r="AD488" t="e">
        <f t="shared" si="312"/>
        <v>#VALUE!</v>
      </c>
      <c r="AE488" t="e">
        <f t="shared" si="313"/>
        <v>#VALUE!</v>
      </c>
      <c r="AF488" t="e">
        <f t="shared" si="314"/>
        <v>#VALUE!</v>
      </c>
      <c r="AG488" t="e">
        <f t="shared" si="315"/>
        <v>#VALUE!</v>
      </c>
      <c r="AH488" t="e">
        <f t="shared" si="316"/>
        <v>#VALUE!</v>
      </c>
      <c r="AI488" t="e">
        <f t="shared" si="317"/>
        <v>#VALUE!</v>
      </c>
      <c r="AJ488" s="19" t="e">
        <f t="shared" si="329"/>
        <v>#VALUE!</v>
      </c>
      <c r="AK488" t="e">
        <f t="shared" si="318"/>
        <v>#VALUE!</v>
      </c>
      <c r="AL488" t="e">
        <f t="shared" si="319"/>
        <v>#VALUE!</v>
      </c>
      <c r="AM488" t="e">
        <f t="shared" si="320"/>
        <v>#VALUE!</v>
      </c>
      <c r="AN488" t="e">
        <f t="shared" si="321"/>
        <v>#VALUE!</v>
      </c>
      <c r="AO488" t="e">
        <f t="shared" si="322"/>
        <v>#VALUE!</v>
      </c>
      <c r="AP488" t="e">
        <f t="shared" si="323"/>
        <v>#VALUE!</v>
      </c>
      <c r="AQ488" t="e">
        <f t="shared" si="324"/>
        <v>#VALUE!</v>
      </c>
      <c r="AR488" s="123" t="e">
        <f t="shared" si="330"/>
        <v>#VALUE!</v>
      </c>
      <c r="AS488" t="e">
        <f t="shared" si="325"/>
        <v>#VALUE!</v>
      </c>
      <c r="AT488" s="181" t="e">
        <f>INDEX('stock fisico '!N:N, MATCH(B488, 'stock fisico '!B:B, 0))</f>
        <v>#N/A</v>
      </c>
      <c r="AU488" s="179" t="e">
        <f>INDEX('stock fisico '!D:D, MATCH(B488, 'stock fisico '!B:B, 0))</f>
        <v>#N/A</v>
      </c>
      <c r="AV488" s="177" t="e">
        <f>INDEX('stock fisico '!L:L, MATCH(B488, 'stock fisico '!B:B, 0))</f>
        <v>#N/A</v>
      </c>
    </row>
    <row r="489" spans="1:48" x14ac:dyDescent="0.25">
      <c r="A489" s="181" t="e">
        <f>INDEX('stock fisico '!M:M, MATCH(B489, 'stock fisico '!B:B, 0))</f>
        <v>#N/A</v>
      </c>
      <c r="C489" s="179" t="e">
        <f>INDEX('stock fisico '!C:C, MATCH(B489, 'stock fisico '!B:B, 0))</f>
        <v>#N/A</v>
      </c>
      <c r="D489" s="178" t="e">
        <f>INDEX('stock fisico '!I:I, MATCH(B489, 'stock fisico '!B:B, 0))</f>
        <v>#N/A</v>
      </c>
      <c r="E489" s="173" t="e">
        <f t="shared" si="331"/>
        <v>#VALUE!</v>
      </c>
      <c r="F489" t="e">
        <f t="shared" si="291"/>
        <v>#VALUE!</v>
      </c>
      <c r="G489" t="e">
        <f t="shared" si="292"/>
        <v>#VALUE!</v>
      </c>
      <c r="H489" t="e">
        <f t="shared" si="293"/>
        <v>#VALUE!</v>
      </c>
      <c r="I489" t="e">
        <f t="shared" si="294"/>
        <v>#VALUE!</v>
      </c>
      <c r="J489" t="e">
        <f t="shared" si="295"/>
        <v>#VALUE!</v>
      </c>
      <c r="K489" t="e">
        <f t="shared" si="296"/>
        <v>#VALUE!</v>
      </c>
      <c r="L489" s="175" t="e">
        <f t="shared" si="326"/>
        <v>#VALUE!</v>
      </c>
      <c r="M489" t="e">
        <f t="shared" si="297"/>
        <v>#VALUE!</v>
      </c>
      <c r="N489" t="e">
        <f t="shared" si="298"/>
        <v>#VALUE!</v>
      </c>
      <c r="O489" t="e">
        <f t="shared" si="299"/>
        <v>#VALUE!</v>
      </c>
      <c r="P489" t="e">
        <f t="shared" si="300"/>
        <v>#VALUE!</v>
      </c>
      <c r="Q489" t="e">
        <f t="shared" si="301"/>
        <v>#VALUE!</v>
      </c>
      <c r="R489" t="e">
        <f t="shared" si="302"/>
        <v>#VALUE!</v>
      </c>
      <c r="S489" t="e">
        <f t="shared" si="303"/>
        <v>#VALUE!</v>
      </c>
      <c r="T489" s="174" t="e">
        <f t="shared" si="327"/>
        <v>#VALUE!</v>
      </c>
      <c r="U489" t="e">
        <f t="shared" si="304"/>
        <v>#VALUE!</v>
      </c>
      <c r="V489" t="e">
        <f t="shared" si="305"/>
        <v>#VALUE!</v>
      </c>
      <c r="W489" t="e">
        <f t="shared" si="306"/>
        <v>#VALUE!</v>
      </c>
      <c r="X489" t="e">
        <f t="shared" si="307"/>
        <v>#VALUE!</v>
      </c>
      <c r="Y489" t="e">
        <f t="shared" si="308"/>
        <v>#VALUE!</v>
      </c>
      <c r="Z489" t="e">
        <f t="shared" si="309"/>
        <v>#VALUE!</v>
      </c>
      <c r="AA489" t="e">
        <f t="shared" si="310"/>
        <v>#VALUE!</v>
      </c>
      <c r="AB489" s="23" t="e">
        <f t="shared" si="328"/>
        <v>#VALUE!</v>
      </c>
      <c r="AC489" t="e">
        <f t="shared" si="311"/>
        <v>#VALUE!</v>
      </c>
      <c r="AD489" t="e">
        <f t="shared" si="312"/>
        <v>#VALUE!</v>
      </c>
      <c r="AE489" t="e">
        <f t="shared" si="313"/>
        <v>#VALUE!</v>
      </c>
      <c r="AF489" t="e">
        <f t="shared" si="314"/>
        <v>#VALUE!</v>
      </c>
      <c r="AG489" t="e">
        <f t="shared" si="315"/>
        <v>#VALUE!</v>
      </c>
      <c r="AH489" t="e">
        <f t="shared" si="316"/>
        <v>#VALUE!</v>
      </c>
      <c r="AI489" t="e">
        <f t="shared" si="317"/>
        <v>#VALUE!</v>
      </c>
      <c r="AJ489" s="19" t="e">
        <f t="shared" si="329"/>
        <v>#VALUE!</v>
      </c>
      <c r="AK489" t="e">
        <f t="shared" si="318"/>
        <v>#VALUE!</v>
      </c>
      <c r="AL489" t="e">
        <f t="shared" si="319"/>
        <v>#VALUE!</v>
      </c>
      <c r="AM489" t="e">
        <f t="shared" si="320"/>
        <v>#VALUE!</v>
      </c>
      <c r="AN489" t="e">
        <f t="shared" si="321"/>
        <v>#VALUE!</v>
      </c>
      <c r="AO489" t="e">
        <f t="shared" si="322"/>
        <v>#VALUE!</v>
      </c>
      <c r="AP489" t="e">
        <f t="shared" si="323"/>
        <v>#VALUE!</v>
      </c>
      <c r="AQ489" t="e">
        <f t="shared" si="324"/>
        <v>#VALUE!</v>
      </c>
      <c r="AR489" s="123" t="e">
        <f t="shared" si="330"/>
        <v>#VALUE!</v>
      </c>
      <c r="AS489" t="e">
        <f t="shared" si="325"/>
        <v>#VALUE!</v>
      </c>
      <c r="AT489" s="181" t="e">
        <f>INDEX('stock fisico '!N:N, MATCH(B489, 'stock fisico '!B:B, 0))</f>
        <v>#N/A</v>
      </c>
      <c r="AU489" s="179" t="e">
        <f>INDEX('stock fisico '!D:D, MATCH(B489, 'stock fisico '!B:B, 0))</f>
        <v>#N/A</v>
      </c>
      <c r="AV489" s="177" t="e">
        <f>INDEX('stock fisico '!L:L, MATCH(B489, 'stock fisico '!B:B, 0))</f>
        <v>#N/A</v>
      </c>
    </row>
    <row r="490" spans="1:48" x14ac:dyDescent="0.25">
      <c r="A490" s="181" t="e">
        <f>INDEX('stock fisico '!M:M, MATCH(B490, 'stock fisico '!B:B, 0))</f>
        <v>#N/A</v>
      </c>
      <c r="C490" s="179" t="e">
        <f>INDEX('stock fisico '!C:C, MATCH(B490, 'stock fisico '!B:B, 0))</f>
        <v>#N/A</v>
      </c>
      <c r="D490" s="178" t="e">
        <f>INDEX('stock fisico '!I:I, MATCH(B490, 'stock fisico '!B:B, 0))</f>
        <v>#N/A</v>
      </c>
      <c r="E490" s="173" t="e">
        <f t="shared" si="331"/>
        <v>#VALUE!</v>
      </c>
      <c r="F490" t="e">
        <f t="shared" si="291"/>
        <v>#VALUE!</v>
      </c>
      <c r="G490" t="e">
        <f t="shared" si="292"/>
        <v>#VALUE!</v>
      </c>
      <c r="H490" t="e">
        <f t="shared" si="293"/>
        <v>#VALUE!</v>
      </c>
      <c r="I490" t="e">
        <f t="shared" si="294"/>
        <v>#VALUE!</v>
      </c>
      <c r="J490" t="e">
        <f t="shared" si="295"/>
        <v>#VALUE!</v>
      </c>
      <c r="K490" t="e">
        <f t="shared" si="296"/>
        <v>#VALUE!</v>
      </c>
      <c r="L490" s="175" t="e">
        <f t="shared" si="326"/>
        <v>#VALUE!</v>
      </c>
      <c r="M490" t="e">
        <f t="shared" si="297"/>
        <v>#VALUE!</v>
      </c>
      <c r="N490" t="e">
        <f t="shared" si="298"/>
        <v>#VALUE!</v>
      </c>
      <c r="O490" t="e">
        <f t="shared" si="299"/>
        <v>#VALUE!</v>
      </c>
      <c r="P490" t="e">
        <f t="shared" si="300"/>
        <v>#VALUE!</v>
      </c>
      <c r="Q490" t="e">
        <f t="shared" si="301"/>
        <v>#VALUE!</v>
      </c>
      <c r="R490" t="e">
        <f t="shared" si="302"/>
        <v>#VALUE!</v>
      </c>
      <c r="S490" t="e">
        <f t="shared" si="303"/>
        <v>#VALUE!</v>
      </c>
      <c r="T490" s="174" t="e">
        <f t="shared" si="327"/>
        <v>#VALUE!</v>
      </c>
      <c r="U490" t="e">
        <f t="shared" si="304"/>
        <v>#VALUE!</v>
      </c>
      <c r="V490" t="e">
        <f t="shared" si="305"/>
        <v>#VALUE!</v>
      </c>
      <c r="W490" t="e">
        <f t="shared" si="306"/>
        <v>#VALUE!</v>
      </c>
      <c r="X490" t="e">
        <f t="shared" si="307"/>
        <v>#VALUE!</v>
      </c>
      <c r="Y490" t="e">
        <f t="shared" si="308"/>
        <v>#VALUE!</v>
      </c>
      <c r="Z490" t="e">
        <f t="shared" si="309"/>
        <v>#VALUE!</v>
      </c>
      <c r="AA490" t="e">
        <f t="shared" si="310"/>
        <v>#VALUE!</v>
      </c>
      <c r="AB490" s="23" t="e">
        <f t="shared" si="328"/>
        <v>#VALUE!</v>
      </c>
      <c r="AC490" t="e">
        <f t="shared" si="311"/>
        <v>#VALUE!</v>
      </c>
      <c r="AD490" t="e">
        <f t="shared" si="312"/>
        <v>#VALUE!</v>
      </c>
      <c r="AE490" t="e">
        <f t="shared" si="313"/>
        <v>#VALUE!</v>
      </c>
      <c r="AF490" t="e">
        <f t="shared" si="314"/>
        <v>#VALUE!</v>
      </c>
      <c r="AG490" t="e">
        <f t="shared" si="315"/>
        <v>#VALUE!</v>
      </c>
      <c r="AH490" t="e">
        <f t="shared" si="316"/>
        <v>#VALUE!</v>
      </c>
      <c r="AI490" t="e">
        <f t="shared" si="317"/>
        <v>#VALUE!</v>
      </c>
      <c r="AJ490" s="19" t="e">
        <f t="shared" si="329"/>
        <v>#VALUE!</v>
      </c>
      <c r="AK490" t="e">
        <f t="shared" si="318"/>
        <v>#VALUE!</v>
      </c>
      <c r="AL490" t="e">
        <f t="shared" si="319"/>
        <v>#VALUE!</v>
      </c>
      <c r="AM490" t="e">
        <f t="shared" si="320"/>
        <v>#VALUE!</v>
      </c>
      <c r="AN490" t="e">
        <f t="shared" si="321"/>
        <v>#VALUE!</v>
      </c>
      <c r="AO490" t="e">
        <f t="shared" si="322"/>
        <v>#VALUE!</v>
      </c>
      <c r="AP490" t="e">
        <f t="shared" si="323"/>
        <v>#VALUE!</v>
      </c>
      <c r="AQ490" t="e">
        <f t="shared" si="324"/>
        <v>#VALUE!</v>
      </c>
      <c r="AR490" s="123" t="e">
        <f t="shared" si="330"/>
        <v>#VALUE!</v>
      </c>
      <c r="AS490" t="e">
        <f t="shared" si="325"/>
        <v>#VALUE!</v>
      </c>
      <c r="AT490" s="181" t="e">
        <f>INDEX('stock fisico '!N:N, MATCH(B490, 'stock fisico '!B:B, 0))</f>
        <v>#N/A</v>
      </c>
      <c r="AU490" s="179" t="e">
        <f>INDEX('stock fisico '!D:D, MATCH(B490, 'stock fisico '!B:B, 0))</f>
        <v>#N/A</v>
      </c>
      <c r="AV490" s="177" t="e">
        <f>INDEX('stock fisico '!L:L, MATCH(B490, 'stock fisico '!B:B, 0))</f>
        <v>#N/A</v>
      </c>
    </row>
    <row r="491" spans="1:48" x14ac:dyDescent="0.25">
      <c r="A491" s="181" t="e">
        <f>INDEX('stock fisico '!M:M, MATCH(B491, 'stock fisico '!B:B, 0))</f>
        <v>#N/A</v>
      </c>
      <c r="C491" s="179" t="e">
        <f>INDEX('stock fisico '!C:C, MATCH(B491, 'stock fisico '!B:B, 0))</f>
        <v>#N/A</v>
      </c>
      <c r="D491" s="178" t="e">
        <f>INDEX('stock fisico '!I:I, MATCH(B491, 'stock fisico '!B:B, 0))</f>
        <v>#N/A</v>
      </c>
      <c r="E491" s="173" t="e">
        <f t="shared" si="331"/>
        <v>#VALUE!</v>
      </c>
      <c r="F491" t="e">
        <f t="shared" si="291"/>
        <v>#VALUE!</v>
      </c>
      <c r="G491" t="e">
        <f t="shared" si="292"/>
        <v>#VALUE!</v>
      </c>
      <c r="H491" t="e">
        <f t="shared" si="293"/>
        <v>#VALUE!</v>
      </c>
      <c r="I491" t="e">
        <f t="shared" si="294"/>
        <v>#VALUE!</v>
      </c>
      <c r="J491" t="e">
        <f t="shared" si="295"/>
        <v>#VALUE!</v>
      </c>
      <c r="K491" t="e">
        <f t="shared" si="296"/>
        <v>#VALUE!</v>
      </c>
      <c r="L491" s="175" t="e">
        <f t="shared" si="326"/>
        <v>#VALUE!</v>
      </c>
      <c r="M491" t="e">
        <f t="shared" si="297"/>
        <v>#VALUE!</v>
      </c>
      <c r="N491" t="e">
        <f t="shared" si="298"/>
        <v>#VALUE!</v>
      </c>
      <c r="O491" t="e">
        <f t="shared" si="299"/>
        <v>#VALUE!</v>
      </c>
      <c r="P491" t="e">
        <f t="shared" si="300"/>
        <v>#VALUE!</v>
      </c>
      <c r="Q491" t="e">
        <f t="shared" si="301"/>
        <v>#VALUE!</v>
      </c>
      <c r="R491" t="e">
        <f t="shared" si="302"/>
        <v>#VALUE!</v>
      </c>
      <c r="S491" t="e">
        <f t="shared" si="303"/>
        <v>#VALUE!</v>
      </c>
      <c r="T491" s="174" t="e">
        <f t="shared" si="327"/>
        <v>#VALUE!</v>
      </c>
      <c r="U491" t="e">
        <f t="shared" si="304"/>
        <v>#VALUE!</v>
      </c>
      <c r="V491" t="e">
        <f t="shared" si="305"/>
        <v>#VALUE!</v>
      </c>
      <c r="W491" t="e">
        <f t="shared" si="306"/>
        <v>#VALUE!</v>
      </c>
      <c r="X491" t="e">
        <f t="shared" si="307"/>
        <v>#VALUE!</v>
      </c>
      <c r="Y491" t="e">
        <f t="shared" si="308"/>
        <v>#VALUE!</v>
      </c>
      <c r="Z491" t="e">
        <f t="shared" si="309"/>
        <v>#VALUE!</v>
      </c>
      <c r="AA491" t="e">
        <f t="shared" si="310"/>
        <v>#VALUE!</v>
      </c>
      <c r="AB491" s="23" t="e">
        <f t="shared" si="328"/>
        <v>#VALUE!</v>
      </c>
      <c r="AC491" t="e">
        <f t="shared" si="311"/>
        <v>#VALUE!</v>
      </c>
      <c r="AD491" t="e">
        <f t="shared" si="312"/>
        <v>#VALUE!</v>
      </c>
      <c r="AE491" t="e">
        <f t="shared" si="313"/>
        <v>#VALUE!</v>
      </c>
      <c r="AF491" t="e">
        <f t="shared" si="314"/>
        <v>#VALUE!</v>
      </c>
      <c r="AG491" t="e">
        <f t="shared" si="315"/>
        <v>#VALUE!</v>
      </c>
      <c r="AH491" t="e">
        <f t="shared" si="316"/>
        <v>#VALUE!</v>
      </c>
      <c r="AI491" t="e">
        <f t="shared" si="317"/>
        <v>#VALUE!</v>
      </c>
      <c r="AJ491" s="19" t="e">
        <f t="shared" si="329"/>
        <v>#VALUE!</v>
      </c>
      <c r="AK491" t="e">
        <f t="shared" si="318"/>
        <v>#VALUE!</v>
      </c>
      <c r="AL491" t="e">
        <f t="shared" si="319"/>
        <v>#VALUE!</v>
      </c>
      <c r="AM491" t="e">
        <f t="shared" si="320"/>
        <v>#VALUE!</v>
      </c>
      <c r="AN491" t="e">
        <f t="shared" si="321"/>
        <v>#VALUE!</v>
      </c>
      <c r="AO491" t="e">
        <f t="shared" si="322"/>
        <v>#VALUE!</v>
      </c>
      <c r="AP491" t="e">
        <f t="shared" si="323"/>
        <v>#VALUE!</v>
      </c>
      <c r="AQ491" t="e">
        <f t="shared" si="324"/>
        <v>#VALUE!</v>
      </c>
      <c r="AR491" s="123" t="e">
        <f t="shared" si="330"/>
        <v>#VALUE!</v>
      </c>
      <c r="AS491" t="e">
        <f t="shared" si="325"/>
        <v>#VALUE!</v>
      </c>
      <c r="AT491" s="181" t="e">
        <f>INDEX('stock fisico '!N:N, MATCH(B491, 'stock fisico '!B:B, 0))</f>
        <v>#N/A</v>
      </c>
      <c r="AU491" s="179" t="e">
        <f>INDEX('stock fisico '!D:D, MATCH(B491, 'stock fisico '!B:B, 0))</f>
        <v>#N/A</v>
      </c>
      <c r="AV491" s="177" t="e">
        <f>INDEX('stock fisico '!L:L, MATCH(B491, 'stock fisico '!B:B, 0))</f>
        <v>#N/A</v>
      </c>
    </row>
    <row r="492" spans="1:48" x14ac:dyDescent="0.25">
      <c r="A492" s="181" t="e">
        <f>INDEX('stock fisico '!M:M, MATCH(B492, 'stock fisico '!B:B, 0))</f>
        <v>#N/A</v>
      </c>
      <c r="C492" s="179" t="e">
        <f>INDEX('stock fisico '!C:C, MATCH(B492, 'stock fisico '!B:B, 0))</f>
        <v>#N/A</v>
      </c>
      <c r="D492" s="178" t="e">
        <f>INDEX('stock fisico '!I:I, MATCH(B492, 'stock fisico '!B:B, 0))</f>
        <v>#N/A</v>
      </c>
      <c r="E492" s="173" t="e">
        <f t="shared" si="331"/>
        <v>#VALUE!</v>
      </c>
      <c r="F492" t="e">
        <f t="shared" si="291"/>
        <v>#VALUE!</v>
      </c>
      <c r="G492" t="e">
        <f t="shared" si="292"/>
        <v>#VALUE!</v>
      </c>
      <c r="H492" t="e">
        <f t="shared" si="293"/>
        <v>#VALUE!</v>
      </c>
      <c r="I492" t="e">
        <f t="shared" si="294"/>
        <v>#VALUE!</v>
      </c>
      <c r="J492" t="e">
        <f t="shared" si="295"/>
        <v>#VALUE!</v>
      </c>
      <c r="K492" t="e">
        <f t="shared" si="296"/>
        <v>#VALUE!</v>
      </c>
      <c r="L492" s="175" t="e">
        <f t="shared" si="326"/>
        <v>#VALUE!</v>
      </c>
      <c r="M492" t="e">
        <f t="shared" si="297"/>
        <v>#VALUE!</v>
      </c>
      <c r="N492" t="e">
        <f t="shared" si="298"/>
        <v>#VALUE!</v>
      </c>
      <c r="O492" t="e">
        <f t="shared" si="299"/>
        <v>#VALUE!</v>
      </c>
      <c r="P492" t="e">
        <f t="shared" si="300"/>
        <v>#VALUE!</v>
      </c>
      <c r="Q492" t="e">
        <f t="shared" si="301"/>
        <v>#VALUE!</v>
      </c>
      <c r="R492" t="e">
        <f t="shared" si="302"/>
        <v>#VALUE!</v>
      </c>
      <c r="S492" t="e">
        <f t="shared" si="303"/>
        <v>#VALUE!</v>
      </c>
      <c r="T492" s="174" t="e">
        <f t="shared" si="327"/>
        <v>#VALUE!</v>
      </c>
      <c r="U492" t="e">
        <f t="shared" si="304"/>
        <v>#VALUE!</v>
      </c>
      <c r="V492" t="e">
        <f t="shared" si="305"/>
        <v>#VALUE!</v>
      </c>
      <c r="W492" t="e">
        <f t="shared" si="306"/>
        <v>#VALUE!</v>
      </c>
      <c r="X492" t="e">
        <f t="shared" si="307"/>
        <v>#VALUE!</v>
      </c>
      <c r="Y492" t="e">
        <f t="shared" si="308"/>
        <v>#VALUE!</v>
      </c>
      <c r="Z492" t="e">
        <f t="shared" si="309"/>
        <v>#VALUE!</v>
      </c>
      <c r="AA492" t="e">
        <f t="shared" si="310"/>
        <v>#VALUE!</v>
      </c>
      <c r="AB492" s="23" t="e">
        <f t="shared" si="328"/>
        <v>#VALUE!</v>
      </c>
      <c r="AC492" t="e">
        <f t="shared" si="311"/>
        <v>#VALUE!</v>
      </c>
      <c r="AD492" t="e">
        <f t="shared" si="312"/>
        <v>#VALUE!</v>
      </c>
      <c r="AE492" t="e">
        <f t="shared" si="313"/>
        <v>#VALUE!</v>
      </c>
      <c r="AF492" t="e">
        <f t="shared" si="314"/>
        <v>#VALUE!</v>
      </c>
      <c r="AG492" t="e">
        <f t="shared" si="315"/>
        <v>#VALUE!</v>
      </c>
      <c r="AH492" t="e">
        <f t="shared" si="316"/>
        <v>#VALUE!</v>
      </c>
      <c r="AI492" t="e">
        <f t="shared" si="317"/>
        <v>#VALUE!</v>
      </c>
      <c r="AJ492" s="19" t="e">
        <f t="shared" si="329"/>
        <v>#VALUE!</v>
      </c>
      <c r="AK492" t="e">
        <f t="shared" si="318"/>
        <v>#VALUE!</v>
      </c>
      <c r="AL492" t="e">
        <f t="shared" si="319"/>
        <v>#VALUE!</v>
      </c>
      <c r="AM492" t="e">
        <f t="shared" si="320"/>
        <v>#VALUE!</v>
      </c>
      <c r="AN492" t="e">
        <f t="shared" si="321"/>
        <v>#VALUE!</v>
      </c>
      <c r="AO492" t="e">
        <f t="shared" si="322"/>
        <v>#VALUE!</v>
      </c>
      <c r="AP492" t="e">
        <f t="shared" si="323"/>
        <v>#VALUE!</v>
      </c>
      <c r="AQ492" t="e">
        <f t="shared" si="324"/>
        <v>#VALUE!</v>
      </c>
      <c r="AR492" s="123" t="e">
        <f t="shared" si="330"/>
        <v>#VALUE!</v>
      </c>
      <c r="AS492" t="e">
        <f t="shared" si="325"/>
        <v>#VALUE!</v>
      </c>
      <c r="AT492" s="181" t="e">
        <f>INDEX('stock fisico '!N:N, MATCH(B492, 'stock fisico '!B:B, 0))</f>
        <v>#N/A</v>
      </c>
      <c r="AU492" s="179" t="e">
        <f>INDEX('stock fisico '!D:D, MATCH(B492, 'stock fisico '!B:B, 0))</f>
        <v>#N/A</v>
      </c>
      <c r="AV492" s="177" t="e">
        <f>INDEX('stock fisico '!L:L, MATCH(B492, 'stock fisico '!B:B, 0))</f>
        <v>#N/A</v>
      </c>
    </row>
    <row r="493" spans="1:48" x14ac:dyDescent="0.25">
      <c r="A493" s="181" t="e">
        <f>INDEX('stock fisico '!M:M, MATCH(B493, 'stock fisico '!B:B, 0))</f>
        <v>#N/A</v>
      </c>
      <c r="C493" s="179" t="e">
        <f>INDEX('stock fisico '!C:C, MATCH(B493, 'stock fisico '!B:B, 0))</f>
        <v>#N/A</v>
      </c>
      <c r="D493" s="178" t="e">
        <f>INDEX('stock fisico '!I:I, MATCH(B493, 'stock fisico '!B:B, 0))</f>
        <v>#N/A</v>
      </c>
      <c r="E493" s="173" t="e">
        <f t="shared" si="331"/>
        <v>#VALUE!</v>
      </c>
      <c r="F493" t="e">
        <f t="shared" si="291"/>
        <v>#VALUE!</v>
      </c>
      <c r="G493" t="e">
        <f t="shared" si="292"/>
        <v>#VALUE!</v>
      </c>
      <c r="H493" t="e">
        <f t="shared" si="293"/>
        <v>#VALUE!</v>
      </c>
      <c r="I493" t="e">
        <f t="shared" si="294"/>
        <v>#VALUE!</v>
      </c>
      <c r="J493" t="e">
        <f t="shared" si="295"/>
        <v>#VALUE!</v>
      </c>
      <c r="K493" t="e">
        <f t="shared" si="296"/>
        <v>#VALUE!</v>
      </c>
      <c r="L493" s="175" t="e">
        <f t="shared" si="326"/>
        <v>#VALUE!</v>
      </c>
      <c r="M493" t="e">
        <f t="shared" si="297"/>
        <v>#VALUE!</v>
      </c>
      <c r="N493" t="e">
        <f t="shared" si="298"/>
        <v>#VALUE!</v>
      </c>
      <c r="O493" t="e">
        <f t="shared" si="299"/>
        <v>#VALUE!</v>
      </c>
      <c r="P493" t="e">
        <f t="shared" si="300"/>
        <v>#VALUE!</v>
      </c>
      <c r="Q493" t="e">
        <f t="shared" si="301"/>
        <v>#VALUE!</v>
      </c>
      <c r="R493" t="e">
        <f t="shared" si="302"/>
        <v>#VALUE!</v>
      </c>
      <c r="S493" t="e">
        <f t="shared" si="303"/>
        <v>#VALUE!</v>
      </c>
      <c r="T493" s="174" t="e">
        <f t="shared" si="327"/>
        <v>#VALUE!</v>
      </c>
      <c r="U493" t="e">
        <f t="shared" si="304"/>
        <v>#VALUE!</v>
      </c>
      <c r="V493" t="e">
        <f t="shared" si="305"/>
        <v>#VALUE!</v>
      </c>
      <c r="W493" t="e">
        <f t="shared" si="306"/>
        <v>#VALUE!</v>
      </c>
      <c r="X493" t="e">
        <f t="shared" si="307"/>
        <v>#VALUE!</v>
      </c>
      <c r="Y493" t="e">
        <f t="shared" si="308"/>
        <v>#VALUE!</v>
      </c>
      <c r="Z493" t="e">
        <f t="shared" si="309"/>
        <v>#VALUE!</v>
      </c>
      <c r="AA493" t="e">
        <f t="shared" si="310"/>
        <v>#VALUE!</v>
      </c>
      <c r="AB493" s="23" t="e">
        <f t="shared" si="328"/>
        <v>#VALUE!</v>
      </c>
      <c r="AC493" t="e">
        <f t="shared" si="311"/>
        <v>#VALUE!</v>
      </c>
      <c r="AD493" t="e">
        <f t="shared" si="312"/>
        <v>#VALUE!</v>
      </c>
      <c r="AE493" t="e">
        <f t="shared" si="313"/>
        <v>#VALUE!</v>
      </c>
      <c r="AF493" t="e">
        <f t="shared" si="314"/>
        <v>#VALUE!</v>
      </c>
      <c r="AG493" t="e">
        <f t="shared" si="315"/>
        <v>#VALUE!</v>
      </c>
      <c r="AH493" t="e">
        <f t="shared" si="316"/>
        <v>#VALUE!</v>
      </c>
      <c r="AI493" t="e">
        <f t="shared" si="317"/>
        <v>#VALUE!</v>
      </c>
      <c r="AJ493" s="19" t="e">
        <f t="shared" si="329"/>
        <v>#VALUE!</v>
      </c>
      <c r="AK493" t="e">
        <f t="shared" si="318"/>
        <v>#VALUE!</v>
      </c>
      <c r="AL493" t="e">
        <f t="shared" si="319"/>
        <v>#VALUE!</v>
      </c>
      <c r="AM493" t="e">
        <f t="shared" si="320"/>
        <v>#VALUE!</v>
      </c>
      <c r="AN493" t="e">
        <f t="shared" si="321"/>
        <v>#VALUE!</v>
      </c>
      <c r="AO493" t="e">
        <f t="shared" si="322"/>
        <v>#VALUE!</v>
      </c>
      <c r="AP493" t="e">
        <f t="shared" si="323"/>
        <v>#VALUE!</v>
      </c>
      <c r="AQ493" t="e">
        <f t="shared" si="324"/>
        <v>#VALUE!</v>
      </c>
      <c r="AR493" s="123" t="e">
        <f t="shared" si="330"/>
        <v>#VALUE!</v>
      </c>
      <c r="AS493" t="e">
        <f t="shared" si="325"/>
        <v>#VALUE!</v>
      </c>
      <c r="AT493" s="181" t="e">
        <f>INDEX('stock fisico '!N:N, MATCH(B493, 'stock fisico '!B:B, 0))</f>
        <v>#N/A</v>
      </c>
      <c r="AU493" s="179" t="e">
        <f>INDEX('stock fisico '!D:D, MATCH(B493, 'stock fisico '!B:B, 0))</f>
        <v>#N/A</v>
      </c>
      <c r="AV493" s="177" t="e">
        <f>INDEX('stock fisico '!L:L, MATCH(B493, 'stock fisico '!B:B, 0))</f>
        <v>#N/A</v>
      </c>
    </row>
    <row r="494" spans="1:48" x14ac:dyDescent="0.25">
      <c r="A494" s="181" t="e">
        <f>INDEX('stock fisico '!M:M, MATCH(B494, 'stock fisico '!B:B, 0))</f>
        <v>#N/A</v>
      </c>
      <c r="C494" s="179" t="e">
        <f>INDEX('stock fisico '!C:C, MATCH(B494, 'stock fisico '!B:B, 0))</f>
        <v>#N/A</v>
      </c>
      <c r="D494" s="178" t="e">
        <f>INDEX('stock fisico '!I:I, MATCH(B494, 'stock fisico '!B:B, 0))</f>
        <v>#N/A</v>
      </c>
      <c r="E494" s="173" t="e">
        <f t="shared" si="331"/>
        <v>#VALUE!</v>
      </c>
      <c r="F494" t="e">
        <f t="shared" si="291"/>
        <v>#VALUE!</v>
      </c>
      <c r="G494" t="e">
        <f t="shared" si="292"/>
        <v>#VALUE!</v>
      </c>
      <c r="H494" t="e">
        <f t="shared" si="293"/>
        <v>#VALUE!</v>
      </c>
      <c r="I494" t="e">
        <f t="shared" si="294"/>
        <v>#VALUE!</v>
      </c>
      <c r="J494" t="e">
        <f t="shared" si="295"/>
        <v>#VALUE!</v>
      </c>
      <c r="K494" t="e">
        <f t="shared" si="296"/>
        <v>#VALUE!</v>
      </c>
      <c r="L494" s="175" t="e">
        <f t="shared" si="326"/>
        <v>#VALUE!</v>
      </c>
      <c r="M494" t="e">
        <f t="shared" si="297"/>
        <v>#VALUE!</v>
      </c>
      <c r="N494" t="e">
        <f t="shared" si="298"/>
        <v>#VALUE!</v>
      </c>
      <c r="O494" t="e">
        <f t="shared" si="299"/>
        <v>#VALUE!</v>
      </c>
      <c r="P494" t="e">
        <f t="shared" si="300"/>
        <v>#VALUE!</v>
      </c>
      <c r="Q494" t="e">
        <f t="shared" si="301"/>
        <v>#VALUE!</v>
      </c>
      <c r="R494" t="e">
        <f t="shared" si="302"/>
        <v>#VALUE!</v>
      </c>
      <c r="S494" t="e">
        <f t="shared" si="303"/>
        <v>#VALUE!</v>
      </c>
      <c r="T494" s="174" t="e">
        <f t="shared" si="327"/>
        <v>#VALUE!</v>
      </c>
      <c r="U494" t="e">
        <f t="shared" si="304"/>
        <v>#VALUE!</v>
      </c>
      <c r="V494" t="e">
        <f t="shared" si="305"/>
        <v>#VALUE!</v>
      </c>
      <c r="W494" t="e">
        <f t="shared" si="306"/>
        <v>#VALUE!</v>
      </c>
      <c r="X494" t="e">
        <f t="shared" si="307"/>
        <v>#VALUE!</v>
      </c>
      <c r="Y494" t="e">
        <f t="shared" si="308"/>
        <v>#VALUE!</v>
      </c>
      <c r="Z494" t="e">
        <f t="shared" si="309"/>
        <v>#VALUE!</v>
      </c>
      <c r="AA494" t="e">
        <f t="shared" si="310"/>
        <v>#VALUE!</v>
      </c>
      <c r="AB494" s="23" t="e">
        <f t="shared" si="328"/>
        <v>#VALUE!</v>
      </c>
      <c r="AC494" t="e">
        <f t="shared" si="311"/>
        <v>#VALUE!</v>
      </c>
      <c r="AD494" t="e">
        <f t="shared" si="312"/>
        <v>#VALUE!</v>
      </c>
      <c r="AE494" t="e">
        <f t="shared" si="313"/>
        <v>#VALUE!</v>
      </c>
      <c r="AF494" t="e">
        <f t="shared" si="314"/>
        <v>#VALUE!</v>
      </c>
      <c r="AG494" t="e">
        <f t="shared" si="315"/>
        <v>#VALUE!</v>
      </c>
      <c r="AH494" t="e">
        <f t="shared" si="316"/>
        <v>#VALUE!</v>
      </c>
      <c r="AI494" t="e">
        <f t="shared" si="317"/>
        <v>#VALUE!</v>
      </c>
      <c r="AJ494" s="19" t="e">
        <f t="shared" si="329"/>
        <v>#VALUE!</v>
      </c>
      <c r="AK494" t="e">
        <f t="shared" si="318"/>
        <v>#VALUE!</v>
      </c>
      <c r="AL494" t="e">
        <f t="shared" si="319"/>
        <v>#VALUE!</v>
      </c>
      <c r="AM494" t="e">
        <f t="shared" si="320"/>
        <v>#VALUE!</v>
      </c>
      <c r="AN494" t="e">
        <f t="shared" si="321"/>
        <v>#VALUE!</v>
      </c>
      <c r="AO494" t="e">
        <f t="shared" si="322"/>
        <v>#VALUE!</v>
      </c>
      <c r="AP494" t="e">
        <f t="shared" si="323"/>
        <v>#VALUE!</v>
      </c>
      <c r="AQ494" t="e">
        <f t="shared" si="324"/>
        <v>#VALUE!</v>
      </c>
      <c r="AR494" s="123" t="e">
        <f t="shared" si="330"/>
        <v>#VALUE!</v>
      </c>
      <c r="AS494" t="e">
        <f t="shared" si="325"/>
        <v>#VALUE!</v>
      </c>
      <c r="AT494" s="181" t="e">
        <f>INDEX('stock fisico '!N:N, MATCH(B494, 'stock fisico '!B:B, 0))</f>
        <v>#N/A</v>
      </c>
      <c r="AU494" s="179" t="e">
        <f>INDEX('stock fisico '!D:D, MATCH(B494, 'stock fisico '!B:B, 0))</f>
        <v>#N/A</v>
      </c>
      <c r="AV494" s="177" t="e">
        <f>INDEX('stock fisico '!L:L, MATCH(B494, 'stock fisico '!B:B, 0))</f>
        <v>#N/A</v>
      </c>
    </row>
    <row r="495" spans="1:48" x14ac:dyDescent="0.25">
      <c r="A495" s="181" t="e">
        <f>INDEX('stock fisico '!M:M, MATCH(B495, 'stock fisico '!B:B, 0))</f>
        <v>#N/A</v>
      </c>
      <c r="C495" s="179" t="e">
        <f>INDEX('stock fisico '!C:C, MATCH(B495, 'stock fisico '!B:B, 0))</f>
        <v>#N/A</v>
      </c>
      <c r="D495" s="178" t="e">
        <f>INDEX('stock fisico '!I:I, MATCH(B495, 'stock fisico '!B:B, 0))</f>
        <v>#N/A</v>
      </c>
      <c r="E495" s="173" t="e">
        <f t="shared" si="331"/>
        <v>#VALUE!</v>
      </c>
      <c r="F495" t="e">
        <f t="shared" si="291"/>
        <v>#VALUE!</v>
      </c>
      <c r="G495" t="e">
        <f t="shared" si="292"/>
        <v>#VALUE!</v>
      </c>
      <c r="H495" t="e">
        <f t="shared" si="293"/>
        <v>#VALUE!</v>
      </c>
      <c r="I495" t="e">
        <f t="shared" si="294"/>
        <v>#VALUE!</v>
      </c>
      <c r="J495" t="e">
        <f t="shared" si="295"/>
        <v>#VALUE!</v>
      </c>
      <c r="K495" t="e">
        <f t="shared" si="296"/>
        <v>#VALUE!</v>
      </c>
      <c r="L495" s="175" t="e">
        <f t="shared" si="326"/>
        <v>#VALUE!</v>
      </c>
      <c r="M495" t="e">
        <f t="shared" si="297"/>
        <v>#VALUE!</v>
      </c>
      <c r="N495" t="e">
        <f t="shared" si="298"/>
        <v>#VALUE!</v>
      </c>
      <c r="O495" t="e">
        <f t="shared" si="299"/>
        <v>#VALUE!</v>
      </c>
      <c r="P495" t="e">
        <f t="shared" si="300"/>
        <v>#VALUE!</v>
      </c>
      <c r="Q495" t="e">
        <f t="shared" si="301"/>
        <v>#VALUE!</v>
      </c>
      <c r="R495" t="e">
        <f t="shared" si="302"/>
        <v>#VALUE!</v>
      </c>
      <c r="S495" t="e">
        <f t="shared" si="303"/>
        <v>#VALUE!</v>
      </c>
      <c r="T495" s="174" t="e">
        <f t="shared" si="327"/>
        <v>#VALUE!</v>
      </c>
      <c r="U495" t="e">
        <f t="shared" si="304"/>
        <v>#VALUE!</v>
      </c>
      <c r="V495" t="e">
        <f t="shared" si="305"/>
        <v>#VALUE!</v>
      </c>
      <c r="W495" t="e">
        <f t="shared" si="306"/>
        <v>#VALUE!</v>
      </c>
      <c r="X495" t="e">
        <f t="shared" si="307"/>
        <v>#VALUE!</v>
      </c>
      <c r="Y495" t="e">
        <f t="shared" si="308"/>
        <v>#VALUE!</v>
      </c>
      <c r="Z495" t="e">
        <f t="shared" si="309"/>
        <v>#VALUE!</v>
      </c>
      <c r="AA495" t="e">
        <f t="shared" si="310"/>
        <v>#VALUE!</v>
      </c>
      <c r="AB495" s="23" t="e">
        <f t="shared" si="328"/>
        <v>#VALUE!</v>
      </c>
      <c r="AC495" t="e">
        <f t="shared" si="311"/>
        <v>#VALUE!</v>
      </c>
      <c r="AD495" t="e">
        <f t="shared" si="312"/>
        <v>#VALUE!</v>
      </c>
      <c r="AE495" t="e">
        <f t="shared" si="313"/>
        <v>#VALUE!</v>
      </c>
      <c r="AF495" t="e">
        <f t="shared" si="314"/>
        <v>#VALUE!</v>
      </c>
      <c r="AG495" t="e">
        <f t="shared" si="315"/>
        <v>#VALUE!</v>
      </c>
      <c r="AH495" t="e">
        <f t="shared" si="316"/>
        <v>#VALUE!</v>
      </c>
      <c r="AI495" t="e">
        <f t="shared" si="317"/>
        <v>#VALUE!</v>
      </c>
      <c r="AJ495" s="19" t="e">
        <f t="shared" si="329"/>
        <v>#VALUE!</v>
      </c>
      <c r="AK495" t="e">
        <f t="shared" si="318"/>
        <v>#VALUE!</v>
      </c>
      <c r="AL495" t="e">
        <f t="shared" si="319"/>
        <v>#VALUE!</v>
      </c>
      <c r="AM495" t="e">
        <f t="shared" si="320"/>
        <v>#VALUE!</v>
      </c>
      <c r="AN495" t="e">
        <f t="shared" si="321"/>
        <v>#VALUE!</v>
      </c>
      <c r="AO495" t="e">
        <f t="shared" si="322"/>
        <v>#VALUE!</v>
      </c>
      <c r="AP495" t="e">
        <f t="shared" si="323"/>
        <v>#VALUE!</v>
      </c>
      <c r="AQ495" t="e">
        <f t="shared" si="324"/>
        <v>#VALUE!</v>
      </c>
      <c r="AR495" s="123" t="e">
        <f t="shared" si="330"/>
        <v>#VALUE!</v>
      </c>
      <c r="AS495" t="e">
        <f t="shared" si="325"/>
        <v>#VALUE!</v>
      </c>
      <c r="AT495" s="181" t="e">
        <f>INDEX('stock fisico '!N:N, MATCH(B495, 'stock fisico '!B:B, 0))</f>
        <v>#N/A</v>
      </c>
      <c r="AU495" s="179" t="e">
        <f>INDEX('stock fisico '!D:D, MATCH(B495, 'stock fisico '!B:B, 0))</f>
        <v>#N/A</v>
      </c>
      <c r="AV495" s="177" t="e">
        <f>INDEX('stock fisico '!L:L, MATCH(B495, 'stock fisico '!B:B, 0))</f>
        <v>#N/A</v>
      </c>
    </row>
    <row r="496" spans="1:48" x14ac:dyDescent="0.25">
      <c r="A496" s="181" t="e">
        <f>INDEX('stock fisico '!M:M, MATCH(B496, 'stock fisico '!B:B, 0))</f>
        <v>#N/A</v>
      </c>
      <c r="C496" s="179" t="e">
        <f>INDEX('stock fisico '!C:C, MATCH(B496, 'stock fisico '!B:B, 0))</f>
        <v>#N/A</v>
      </c>
      <c r="D496" s="178" t="e">
        <f>INDEX('stock fisico '!I:I, MATCH(B496, 'stock fisico '!B:B, 0))</f>
        <v>#N/A</v>
      </c>
      <c r="E496" s="173" t="e">
        <f t="shared" si="331"/>
        <v>#VALUE!</v>
      </c>
      <c r="F496" t="e">
        <f t="shared" si="291"/>
        <v>#VALUE!</v>
      </c>
      <c r="G496" t="e">
        <f t="shared" si="292"/>
        <v>#VALUE!</v>
      </c>
      <c r="H496" t="e">
        <f t="shared" si="293"/>
        <v>#VALUE!</v>
      </c>
      <c r="I496" t="e">
        <f t="shared" si="294"/>
        <v>#VALUE!</v>
      </c>
      <c r="J496" t="e">
        <f t="shared" si="295"/>
        <v>#VALUE!</v>
      </c>
      <c r="K496" t="e">
        <f t="shared" si="296"/>
        <v>#VALUE!</v>
      </c>
      <c r="L496" s="175" t="e">
        <f t="shared" si="326"/>
        <v>#VALUE!</v>
      </c>
      <c r="M496" t="e">
        <f t="shared" si="297"/>
        <v>#VALUE!</v>
      </c>
      <c r="N496" t="e">
        <f t="shared" si="298"/>
        <v>#VALUE!</v>
      </c>
      <c r="O496" t="e">
        <f t="shared" si="299"/>
        <v>#VALUE!</v>
      </c>
      <c r="P496" t="e">
        <f t="shared" si="300"/>
        <v>#VALUE!</v>
      </c>
      <c r="Q496" t="e">
        <f t="shared" si="301"/>
        <v>#VALUE!</v>
      </c>
      <c r="R496" t="e">
        <f t="shared" si="302"/>
        <v>#VALUE!</v>
      </c>
      <c r="S496" t="e">
        <f t="shared" si="303"/>
        <v>#VALUE!</v>
      </c>
      <c r="T496" s="174" t="e">
        <f t="shared" si="327"/>
        <v>#VALUE!</v>
      </c>
      <c r="U496" t="e">
        <f t="shared" si="304"/>
        <v>#VALUE!</v>
      </c>
      <c r="V496" t="e">
        <f t="shared" si="305"/>
        <v>#VALUE!</v>
      </c>
      <c r="W496" t="e">
        <f t="shared" si="306"/>
        <v>#VALUE!</v>
      </c>
      <c r="X496" t="e">
        <f t="shared" si="307"/>
        <v>#VALUE!</v>
      </c>
      <c r="Y496" t="e">
        <f t="shared" si="308"/>
        <v>#VALUE!</v>
      </c>
      <c r="Z496" t="e">
        <f t="shared" si="309"/>
        <v>#VALUE!</v>
      </c>
      <c r="AA496" t="e">
        <f t="shared" si="310"/>
        <v>#VALUE!</v>
      </c>
      <c r="AB496" s="23" t="e">
        <f t="shared" si="328"/>
        <v>#VALUE!</v>
      </c>
      <c r="AC496" t="e">
        <f t="shared" si="311"/>
        <v>#VALUE!</v>
      </c>
      <c r="AD496" t="e">
        <f t="shared" si="312"/>
        <v>#VALUE!</v>
      </c>
      <c r="AE496" t="e">
        <f t="shared" si="313"/>
        <v>#VALUE!</v>
      </c>
      <c r="AF496" t="e">
        <f t="shared" si="314"/>
        <v>#VALUE!</v>
      </c>
      <c r="AG496" t="e">
        <f t="shared" si="315"/>
        <v>#VALUE!</v>
      </c>
      <c r="AH496" t="e">
        <f t="shared" si="316"/>
        <v>#VALUE!</v>
      </c>
      <c r="AI496" t="e">
        <f t="shared" si="317"/>
        <v>#VALUE!</v>
      </c>
      <c r="AJ496" s="19" t="e">
        <f t="shared" si="329"/>
        <v>#VALUE!</v>
      </c>
      <c r="AK496" t="e">
        <f t="shared" si="318"/>
        <v>#VALUE!</v>
      </c>
      <c r="AL496" t="e">
        <f t="shared" si="319"/>
        <v>#VALUE!</v>
      </c>
      <c r="AM496" t="e">
        <f t="shared" si="320"/>
        <v>#VALUE!</v>
      </c>
      <c r="AN496" t="e">
        <f t="shared" si="321"/>
        <v>#VALUE!</v>
      </c>
      <c r="AO496" t="e">
        <f t="shared" si="322"/>
        <v>#VALUE!</v>
      </c>
      <c r="AP496" t="e">
        <f t="shared" si="323"/>
        <v>#VALUE!</v>
      </c>
      <c r="AQ496" t="e">
        <f t="shared" si="324"/>
        <v>#VALUE!</v>
      </c>
      <c r="AR496" s="123" t="e">
        <f t="shared" si="330"/>
        <v>#VALUE!</v>
      </c>
      <c r="AS496" t="e">
        <f t="shared" si="325"/>
        <v>#VALUE!</v>
      </c>
      <c r="AT496" s="181" t="e">
        <f>INDEX('stock fisico '!N:N, MATCH(B496, 'stock fisico '!B:B, 0))</f>
        <v>#N/A</v>
      </c>
      <c r="AU496" s="179" t="e">
        <f>INDEX('stock fisico '!D:D, MATCH(B496, 'stock fisico '!B:B, 0))</f>
        <v>#N/A</v>
      </c>
      <c r="AV496" s="177" t="e">
        <f>INDEX('stock fisico '!L:L, MATCH(B496, 'stock fisico '!B:B, 0))</f>
        <v>#N/A</v>
      </c>
    </row>
    <row r="497" spans="1:48" x14ac:dyDescent="0.25">
      <c r="A497" s="181" t="e">
        <f>INDEX('stock fisico '!M:M, MATCH(B497, 'stock fisico '!B:B, 0))</f>
        <v>#N/A</v>
      </c>
      <c r="C497" s="179" t="e">
        <f>INDEX('stock fisico '!C:C, MATCH(B497, 'stock fisico '!B:B, 0))</f>
        <v>#N/A</v>
      </c>
      <c r="D497" s="178" t="e">
        <f>INDEX('stock fisico '!I:I, MATCH(B497, 'stock fisico '!B:B, 0))</f>
        <v>#N/A</v>
      </c>
      <c r="E497" s="173" t="e">
        <f t="shared" si="331"/>
        <v>#VALUE!</v>
      </c>
      <c r="F497" t="e">
        <f t="shared" si="291"/>
        <v>#VALUE!</v>
      </c>
      <c r="G497" t="e">
        <f t="shared" si="292"/>
        <v>#VALUE!</v>
      </c>
      <c r="H497" t="e">
        <f t="shared" si="293"/>
        <v>#VALUE!</v>
      </c>
      <c r="I497" t="e">
        <f t="shared" si="294"/>
        <v>#VALUE!</v>
      </c>
      <c r="J497" t="e">
        <f t="shared" si="295"/>
        <v>#VALUE!</v>
      </c>
      <c r="K497" t="e">
        <f t="shared" si="296"/>
        <v>#VALUE!</v>
      </c>
      <c r="L497" s="175" t="e">
        <f t="shared" si="326"/>
        <v>#VALUE!</v>
      </c>
      <c r="M497" t="e">
        <f t="shared" si="297"/>
        <v>#VALUE!</v>
      </c>
      <c r="N497" t="e">
        <f t="shared" si="298"/>
        <v>#VALUE!</v>
      </c>
      <c r="O497" t="e">
        <f t="shared" si="299"/>
        <v>#VALUE!</v>
      </c>
      <c r="P497" t="e">
        <f t="shared" si="300"/>
        <v>#VALUE!</v>
      </c>
      <c r="Q497" t="e">
        <f t="shared" si="301"/>
        <v>#VALUE!</v>
      </c>
      <c r="R497" t="e">
        <f t="shared" si="302"/>
        <v>#VALUE!</v>
      </c>
      <c r="S497" t="e">
        <f t="shared" si="303"/>
        <v>#VALUE!</v>
      </c>
      <c r="T497" s="174" t="e">
        <f t="shared" si="327"/>
        <v>#VALUE!</v>
      </c>
      <c r="U497" t="e">
        <f t="shared" si="304"/>
        <v>#VALUE!</v>
      </c>
      <c r="V497" t="e">
        <f t="shared" si="305"/>
        <v>#VALUE!</v>
      </c>
      <c r="W497" t="e">
        <f t="shared" si="306"/>
        <v>#VALUE!</v>
      </c>
      <c r="X497" t="e">
        <f t="shared" si="307"/>
        <v>#VALUE!</v>
      </c>
      <c r="Y497" t="e">
        <f t="shared" si="308"/>
        <v>#VALUE!</v>
      </c>
      <c r="Z497" t="e">
        <f t="shared" si="309"/>
        <v>#VALUE!</v>
      </c>
      <c r="AA497" t="e">
        <f t="shared" si="310"/>
        <v>#VALUE!</v>
      </c>
      <c r="AB497" s="23" t="e">
        <f t="shared" si="328"/>
        <v>#VALUE!</v>
      </c>
      <c r="AC497" t="e">
        <f t="shared" si="311"/>
        <v>#VALUE!</v>
      </c>
      <c r="AD497" t="e">
        <f t="shared" si="312"/>
        <v>#VALUE!</v>
      </c>
      <c r="AE497" t="e">
        <f t="shared" si="313"/>
        <v>#VALUE!</v>
      </c>
      <c r="AF497" t="e">
        <f t="shared" si="314"/>
        <v>#VALUE!</v>
      </c>
      <c r="AG497" t="e">
        <f t="shared" si="315"/>
        <v>#VALUE!</v>
      </c>
      <c r="AH497" t="e">
        <f t="shared" si="316"/>
        <v>#VALUE!</v>
      </c>
      <c r="AI497" t="e">
        <f t="shared" si="317"/>
        <v>#VALUE!</v>
      </c>
      <c r="AJ497" s="19" t="e">
        <f t="shared" si="329"/>
        <v>#VALUE!</v>
      </c>
      <c r="AK497" t="e">
        <f t="shared" si="318"/>
        <v>#VALUE!</v>
      </c>
      <c r="AL497" t="e">
        <f t="shared" si="319"/>
        <v>#VALUE!</v>
      </c>
      <c r="AM497" t="e">
        <f t="shared" si="320"/>
        <v>#VALUE!</v>
      </c>
      <c r="AN497" t="e">
        <f t="shared" si="321"/>
        <v>#VALUE!</v>
      </c>
      <c r="AO497" t="e">
        <f t="shared" si="322"/>
        <v>#VALUE!</v>
      </c>
      <c r="AP497" t="e">
        <f t="shared" si="323"/>
        <v>#VALUE!</v>
      </c>
      <c r="AQ497" t="e">
        <f t="shared" si="324"/>
        <v>#VALUE!</v>
      </c>
      <c r="AR497" s="123" t="e">
        <f t="shared" si="330"/>
        <v>#VALUE!</v>
      </c>
      <c r="AS497" t="e">
        <f t="shared" si="325"/>
        <v>#VALUE!</v>
      </c>
      <c r="AT497" s="181" t="e">
        <f>INDEX('stock fisico '!N:N, MATCH(B497, 'stock fisico '!B:B, 0))</f>
        <v>#N/A</v>
      </c>
      <c r="AU497" s="179" t="e">
        <f>INDEX('stock fisico '!D:D, MATCH(B497, 'stock fisico '!B:B, 0))</f>
        <v>#N/A</v>
      </c>
      <c r="AV497" s="177" t="e">
        <f>INDEX('stock fisico '!L:L, MATCH(B497, 'stock fisico '!B:B, 0))</f>
        <v>#N/A</v>
      </c>
    </row>
    <row r="498" spans="1:48" x14ac:dyDescent="0.25">
      <c r="A498" s="181" t="e">
        <f>INDEX('stock fisico '!M:M, MATCH(B498, 'stock fisico '!B:B, 0))</f>
        <v>#N/A</v>
      </c>
      <c r="C498" s="179" t="e">
        <f>INDEX('stock fisico '!C:C, MATCH(B498, 'stock fisico '!B:B, 0))</f>
        <v>#N/A</v>
      </c>
      <c r="D498" s="178" t="e">
        <f>INDEX('stock fisico '!I:I, MATCH(B498, 'stock fisico '!B:B, 0))</f>
        <v>#N/A</v>
      </c>
      <c r="E498" s="173" t="e">
        <f t="shared" si="331"/>
        <v>#VALUE!</v>
      </c>
      <c r="F498" t="e">
        <f t="shared" si="291"/>
        <v>#VALUE!</v>
      </c>
      <c r="G498" t="e">
        <f t="shared" si="292"/>
        <v>#VALUE!</v>
      </c>
      <c r="H498" t="e">
        <f t="shared" si="293"/>
        <v>#VALUE!</v>
      </c>
      <c r="I498" t="e">
        <f t="shared" si="294"/>
        <v>#VALUE!</v>
      </c>
      <c r="J498" t="e">
        <f t="shared" si="295"/>
        <v>#VALUE!</v>
      </c>
      <c r="K498" t="e">
        <f t="shared" si="296"/>
        <v>#VALUE!</v>
      </c>
      <c r="L498" s="175" t="e">
        <f t="shared" si="326"/>
        <v>#VALUE!</v>
      </c>
      <c r="M498" t="e">
        <f t="shared" si="297"/>
        <v>#VALUE!</v>
      </c>
      <c r="N498" t="e">
        <f t="shared" si="298"/>
        <v>#VALUE!</v>
      </c>
      <c r="O498" t="e">
        <f t="shared" si="299"/>
        <v>#VALUE!</v>
      </c>
      <c r="P498" t="e">
        <f t="shared" si="300"/>
        <v>#VALUE!</v>
      </c>
      <c r="Q498" t="e">
        <f t="shared" si="301"/>
        <v>#VALUE!</v>
      </c>
      <c r="R498" t="e">
        <f t="shared" si="302"/>
        <v>#VALUE!</v>
      </c>
      <c r="S498" t="e">
        <f t="shared" si="303"/>
        <v>#VALUE!</v>
      </c>
      <c r="T498" s="174" t="e">
        <f t="shared" si="327"/>
        <v>#VALUE!</v>
      </c>
      <c r="U498" t="e">
        <f t="shared" si="304"/>
        <v>#VALUE!</v>
      </c>
      <c r="V498" t="e">
        <f t="shared" si="305"/>
        <v>#VALUE!</v>
      </c>
      <c r="W498" t="e">
        <f t="shared" si="306"/>
        <v>#VALUE!</v>
      </c>
      <c r="X498" t="e">
        <f t="shared" si="307"/>
        <v>#VALUE!</v>
      </c>
      <c r="Y498" t="e">
        <f t="shared" si="308"/>
        <v>#VALUE!</v>
      </c>
      <c r="Z498" t="e">
        <f t="shared" si="309"/>
        <v>#VALUE!</v>
      </c>
      <c r="AA498" t="e">
        <f t="shared" si="310"/>
        <v>#VALUE!</v>
      </c>
      <c r="AB498" s="23" t="e">
        <f t="shared" si="328"/>
        <v>#VALUE!</v>
      </c>
      <c r="AC498" t="e">
        <f t="shared" si="311"/>
        <v>#VALUE!</v>
      </c>
      <c r="AD498" t="e">
        <f t="shared" si="312"/>
        <v>#VALUE!</v>
      </c>
      <c r="AE498" t="e">
        <f t="shared" si="313"/>
        <v>#VALUE!</v>
      </c>
      <c r="AF498" t="e">
        <f t="shared" si="314"/>
        <v>#VALUE!</v>
      </c>
      <c r="AG498" t="e">
        <f t="shared" si="315"/>
        <v>#VALUE!</v>
      </c>
      <c r="AH498" t="e">
        <f t="shared" si="316"/>
        <v>#VALUE!</v>
      </c>
      <c r="AI498" t="e">
        <f t="shared" si="317"/>
        <v>#VALUE!</v>
      </c>
      <c r="AJ498" s="19" t="e">
        <f t="shared" si="329"/>
        <v>#VALUE!</v>
      </c>
      <c r="AK498" t="e">
        <f t="shared" si="318"/>
        <v>#VALUE!</v>
      </c>
      <c r="AL498" t="e">
        <f t="shared" si="319"/>
        <v>#VALUE!</v>
      </c>
      <c r="AM498" t="e">
        <f t="shared" si="320"/>
        <v>#VALUE!</v>
      </c>
      <c r="AN498" t="e">
        <f t="shared" si="321"/>
        <v>#VALUE!</v>
      </c>
      <c r="AO498" t="e">
        <f t="shared" si="322"/>
        <v>#VALUE!</v>
      </c>
      <c r="AP498" t="e">
        <f t="shared" si="323"/>
        <v>#VALUE!</v>
      </c>
      <c r="AQ498" t="e">
        <f t="shared" si="324"/>
        <v>#VALUE!</v>
      </c>
      <c r="AR498" s="123" t="e">
        <f t="shared" si="330"/>
        <v>#VALUE!</v>
      </c>
      <c r="AS498" t="e">
        <f t="shared" si="325"/>
        <v>#VALUE!</v>
      </c>
      <c r="AT498" s="181" t="e">
        <f>INDEX('stock fisico '!N:N, MATCH(B498, 'stock fisico '!B:B, 0))</f>
        <v>#N/A</v>
      </c>
      <c r="AU498" s="179" t="e">
        <f>INDEX('stock fisico '!D:D, MATCH(B498, 'stock fisico '!B:B, 0))</f>
        <v>#N/A</v>
      </c>
      <c r="AV498" s="177" t="e">
        <f>INDEX('stock fisico '!L:L, MATCH(B498, 'stock fisico '!B:B, 0))</f>
        <v>#N/A</v>
      </c>
    </row>
    <row r="499" spans="1:48" x14ac:dyDescent="0.25">
      <c r="A499" s="181" t="e">
        <f>INDEX('stock fisico '!M:M, MATCH(B499, 'stock fisico '!B:B, 0))</f>
        <v>#N/A</v>
      </c>
      <c r="C499" s="179" t="e">
        <f>INDEX('stock fisico '!C:C, MATCH(B499, 'stock fisico '!B:B, 0))</f>
        <v>#N/A</v>
      </c>
      <c r="D499" s="178" t="e">
        <f>INDEX('stock fisico '!I:I, MATCH(B499, 'stock fisico '!B:B, 0))</f>
        <v>#N/A</v>
      </c>
      <c r="E499" s="173" t="e">
        <f t="shared" si="331"/>
        <v>#VALUE!</v>
      </c>
      <c r="F499" t="e">
        <f t="shared" si="291"/>
        <v>#VALUE!</v>
      </c>
      <c r="G499" t="e">
        <f t="shared" si="292"/>
        <v>#VALUE!</v>
      </c>
      <c r="H499" t="e">
        <f t="shared" si="293"/>
        <v>#VALUE!</v>
      </c>
      <c r="I499" t="e">
        <f t="shared" si="294"/>
        <v>#VALUE!</v>
      </c>
      <c r="J499" t="e">
        <f t="shared" si="295"/>
        <v>#VALUE!</v>
      </c>
      <c r="K499" t="e">
        <f t="shared" si="296"/>
        <v>#VALUE!</v>
      </c>
      <c r="L499" s="175" t="e">
        <f t="shared" si="326"/>
        <v>#VALUE!</v>
      </c>
      <c r="M499" t="e">
        <f t="shared" si="297"/>
        <v>#VALUE!</v>
      </c>
      <c r="N499" t="e">
        <f t="shared" si="298"/>
        <v>#VALUE!</v>
      </c>
      <c r="O499" t="e">
        <f t="shared" si="299"/>
        <v>#VALUE!</v>
      </c>
      <c r="P499" t="e">
        <f t="shared" si="300"/>
        <v>#VALUE!</v>
      </c>
      <c r="Q499" t="e">
        <f t="shared" si="301"/>
        <v>#VALUE!</v>
      </c>
      <c r="R499" t="e">
        <f t="shared" si="302"/>
        <v>#VALUE!</v>
      </c>
      <c r="S499" t="e">
        <f t="shared" si="303"/>
        <v>#VALUE!</v>
      </c>
      <c r="T499" s="174" t="e">
        <f t="shared" si="327"/>
        <v>#VALUE!</v>
      </c>
      <c r="U499" t="e">
        <f t="shared" si="304"/>
        <v>#VALUE!</v>
      </c>
      <c r="V499" t="e">
        <f t="shared" si="305"/>
        <v>#VALUE!</v>
      </c>
      <c r="W499" t="e">
        <f t="shared" si="306"/>
        <v>#VALUE!</v>
      </c>
      <c r="X499" t="e">
        <f t="shared" si="307"/>
        <v>#VALUE!</v>
      </c>
      <c r="Y499" t="e">
        <f t="shared" si="308"/>
        <v>#VALUE!</v>
      </c>
      <c r="Z499" t="e">
        <f t="shared" si="309"/>
        <v>#VALUE!</v>
      </c>
      <c r="AA499" t="e">
        <f t="shared" si="310"/>
        <v>#VALUE!</v>
      </c>
      <c r="AB499" s="23" t="e">
        <f t="shared" si="328"/>
        <v>#VALUE!</v>
      </c>
      <c r="AC499" t="e">
        <f t="shared" si="311"/>
        <v>#VALUE!</v>
      </c>
      <c r="AD499" t="e">
        <f t="shared" si="312"/>
        <v>#VALUE!</v>
      </c>
      <c r="AE499" t="e">
        <f t="shared" si="313"/>
        <v>#VALUE!</v>
      </c>
      <c r="AF499" t="e">
        <f t="shared" si="314"/>
        <v>#VALUE!</v>
      </c>
      <c r="AG499" t="e">
        <f t="shared" si="315"/>
        <v>#VALUE!</v>
      </c>
      <c r="AH499" t="e">
        <f t="shared" si="316"/>
        <v>#VALUE!</v>
      </c>
      <c r="AI499" t="e">
        <f t="shared" si="317"/>
        <v>#VALUE!</v>
      </c>
      <c r="AJ499" s="19" t="e">
        <f t="shared" si="329"/>
        <v>#VALUE!</v>
      </c>
      <c r="AK499" t="e">
        <f t="shared" si="318"/>
        <v>#VALUE!</v>
      </c>
      <c r="AL499" t="e">
        <f t="shared" si="319"/>
        <v>#VALUE!</v>
      </c>
      <c r="AM499" t="e">
        <f t="shared" si="320"/>
        <v>#VALUE!</v>
      </c>
      <c r="AN499" t="e">
        <f t="shared" si="321"/>
        <v>#VALUE!</v>
      </c>
      <c r="AO499" t="e">
        <f t="shared" si="322"/>
        <v>#VALUE!</v>
      </c>
      <c r="AP499" t="e">
        <f t="shared" si="323"/>
        <v>#VALUE!</v>
      </c>
      <c r="AQ499" t="e">
        <f t="shared" si="324"/>
        <v>#VALUE!</v>
      </c>
      <c r="AR499" s="123" t="e">
        <f t="shared" si="330"/>
        <v>#VALUE!</v>
      </c>
      <c r="AS499" t="e">
        <f t="shared" si="325"/>
        <v>#VALUE!</v>
      </c>
      <c r="AT499" s="181" t="e">
        <f>INDEX('stock fisico '!N:N, MATCH(B499, 'stock fisico '!B:B, 0))</f>
        <v>#N/A</v>
      </c>
      <c r="AU499" s="179" t="e">
        <f>INDEX('stock fisico '!D:D, MATCH(B499, 'stock fisico '!B:B, 0))</f>
        <v>#N/A</v>
      </c>
      <c r="AV499" s="177" t="e">
        <f>INDEX('stock fisico '!L:L, MATCH(B499, 'stock fisico '!B:B, 0))</f>
        <v>#N/A</v>
      </c>
    </row>
    <row r="500" spans="1:48" x14ac:dyDescent="0.25">
      <c r="A500" s="181" t="e">
        <f>INDEX('stock fisico '!M:M, MATCH(B500, 'stock fisico '!B:B, 0))</f>
        <v>#N/A</v>
      </c>
      <c r="C500" s="179" t="e">
        <f>INDEX('stock fisico '!C:C, MATCH(B500, 'stock fisico '!B:B, 0))</f>
        <v>#N/A</v>
      </c>
      <c r="D500" s="178" t="e">
        <f>INDEX('stock fisico '!I:I, MATCH(B500, 'stock fisico '!B:B, 0))</f>
        <v>#N/A</v>
      </c>
      <c r="E500" s="173" t="e">
        <f t="shared" si="331"/>
        <v>#VALUE!</v>
      </c>
      <c r="F500" t="e">
        <f t="shared" si="291"/>
        <v>#VALUE!</v>
      </c>
      <c r="G500" t="e">
        <f t="shared" si="292"/>
        <v>#VALUE!</v>
      </c>
      <c r="H500" t="e">
        <f t="shared" si="293"/>
        <v>#VALUE!</v>
      </c>
      <c r="I500" t="e">
        <f t="shared" si="294"/>
        <v>#VALUE!</v>
      </c>
      <c r="J500" t="e">
        <f t="shared" si="295"/>
        <v>#VALUE!</v>
      </c>
      <c r="K500" t="e">
        <f t="shared" si="296"/>
        <v>#VALUE!</v>
      </c>
      <c r="L500" s="175" t="e">
        <f t="shared" si="326"/>
        <v>#VALUE!</v>
      </c>
      <c r="M500" t="e">
        <f t="shared" si="297"/>
        <v>#VALUE!</v>
      </c>
      <c r="N500" t="e">
        <f t="shared" si="298"/>
        <v>#VALUE!</v>
      </c>
      <c r="O500" t="e">
        <f t="shared" si="299"/>
        <v>#VALUE!</v>
      </c>
      <c r="P500" t="e">
        <f t="shared" si="300"/>
        <v>#VALUE!</v>
      </c>
      <c r="Q500" t="e">
        <f t="shared" si="301"/>
        <v>#VALUE!</v>
      </c>
      <c r="R500" t="e">
        <f t="shared" si="302"/>
        <v>#VALUE!</v>
      </c>
      <c r="S500" t="e">
        <f t="shared" si="303"/>
        <v>#VALUE!</v>
      </c>
      <c r="T500" s="174" t="e">
        <f t="shared" si="327"/>
        <v>#VALUE!</v>
      </c>
      <c r="U500" t="e">
        <f t="shared" si="304"/>
        <v>#VALUE!</v>
      </c>
      <c r="V500" t="e">
        <f t="shared" si="305"/>
        <v>#VALUE!</v>
      </c>
      <c r="W500" t="e">
        <f t="shared" si="306"/>
        <v>#VALUE!</v>
      </c>
      <c r="X500" t="e">
        <f t="shared" si="307"/>
        <v>#VALUE!</v>
      </c>
      <c r="Y500" t="e">
        <f t="shared" si="308"/>
        <v>#VALUE!</v>
      </c>
      <c r="Z500" t="e">
        <f t="shared" si="309"/>
        <v>#VALUE!</v>
      </c>
      <c r="AA500" t="e">
        <f t="shared" si="310"/>
        <v>#VALUE!</v>
      </c>
      <c r="AB500" s="23" t="e">
        <f t="shared" si="328"/>
        <v>#VALUE!</v>
      </c>
      <c r="AC500" t="e">
        <f t="shared" si="311"/>
        <v>#VALUE!</v>
      </c>
      <c r="AD500" t="e">
        <f t="shared" si="312"/>
        <v>#VALUE!</v>
      </c>
      <c r="AE500" t="e">
        <f t="shared" si="313"/>
        <v>#VALUE!</v>
      </c>
      <c r="AF500" t="e">
        <f t="shared" si="314"/>
        <v>#VALUE!</v>
      </c>
      <c r="AG500" t="e">
        <f t="shared" si="315"/>
        <v>#VALUE!</v>
      </c>
      <c r="AH500" t="e">
        <f t="shared" si="316"/>
        <v>#VALUE!</v>
      </c>
      <c r="AI500" t="e">
        <f t="shared" si="317"/>
        <v>#VALUE!</v>
      </c>
      <c r="AJ500" s="19" t="e">
        <f t="shared" si="329"/>
        <v>#VALUE!</v>
      </c>
      <c r="AK500" t="e">
        <f t="shared" si="318"/>
        <v>#VALUE!</v>
      </c>
      <c r="AL500" t="e">
        <f t="shared" si="319"/>
        <v>#VALUE!</v>
      </c>
      <c r="AM500" t="e">
        <f t="shared" si="320"/>
        <v>#VALUE!</v>
      </c>
      <c r="AN500" t="e">
        <f t="shared" si="321"/>
        <v>#VALUE!</v>
      </c>
      <c r="AO500" t="e">
        <f t="shared" si="322"/>
        <v>#VALUE!</v>
      </c>
      <c r="AP500" t="e">
        <f t="shared" si="323"/>
        <v>#VALUE!</v>
      </c>
      <c r="AQ500" t="e">
        <f t="shared" si="324"/>
        <v>#VALUE!</v>
      </c>
      <c r="AR500" s="123" t="e">
        <f t="shared" si="330"/>
        <v>#VALUE!</v>
      </c>
      <c r="AS500" t="e">
        <f t="shared" si="325"/>
        <v>#VALUE!</v>
      </c>
      <c r="AT500" s="181" t="e">
        <f>INDEX('stock fisico '!N:N, MATCH(B500, 'stock fisico '!B:B, 0))</f>
        <v>#N/A</v>
      </c>
      <c r="AU500" s="179" t="e">
        <f>INDEX('stock fisico '!D:D, MATCH(B500, 'stock fisico '!B:B, 0))</f>
        <v>#N/A</v>
      </c>
      <c r="AV500" s="177" t="e">
        <f>INDEX('stock fisico '!L:L, MATCH(B500, 'stock fisico '!B:B, 0))</f>
        <v>#N/A</v>
      </c>
    </row>
    <row r="501" spans="1:48" x14ac:dyDescent="0.25">
      <c r="A501" s="181" t="e">
        <f>INDEX('stock fisico '!M:M, MATCH(B501, 'stock fisico '!B:B, 0))</f>
        <v>#N/A</v>
      </c>
      <c r="C501" s="179" t="e">
        <f>INDEX('stock fisico '!C:C, MATCH(B501, 'stock fisico '!B:B, 0))</f>
        <v>#N/A</v>
      </c>
      <c r="D501" s="178" t="e">
        <f>INDEX('stock fisico '!I:I, MATCH(B501, 'stock fisico '!B:B, 0))</f>
        <v>#N/A</v>
      </c>
      <c r="E501" s="173" t="e">
        <f t="shared" si="331"/>
        <v>#VALUE!</v>
      </c>
      <c r="F501" t="e">
        <f t="shared" si="291"/>
        <v>#VALUE!</v>
      </c>
      <c r="G501" t="e">
        <f t="shared" si="292"/>
        <v>#VALUE!</v>
      </c>
      <c r="H501" t="e">
        <f t="shared" si="293"/>
        <v>#VALUE!</v>
      </c>
      <c r="I501" t="e">
        <f t="shared" si="294"/>
        <v>#VALUE!</v>
      </c>
      <c r="J501" t="e">
        <f t="shared" si="295"/>
        <v>#VALUE!</v>
      </c>
      <c r="K501" t="e">
        <f t="shared" si="296"/>
        <v>#VALUE!</v>
      </c>
      <c r="L501" s="175" t="e">
        <f t="shared" si="326"/>
        <v>#VALUE!</v>
      </c>
      <c r="M501" t="e">
        <f t="shared" si="297"/>
        <v>#VALUE!</v>
      </c>
      <c r="N501" t="e">
        <f t="shared" si="298"/>
        <v>#VALUE!</v>
      </c>
      <c r="O501" t="e">
        <f t="shared" si="299"/>
        <v>#VALUE!</v>
      </c>
      <c r="P501" t="e">
        <f t="shared" si="300"/>
        <v>#VALUE!</v>
      </c>
      <c r="Q501" t="e">
        <f t="shared" si="301"/>
        <v>#VALUE!</v>
      </c>
      <c r="R501" t="e">
        <f t="shared" si="302"/>
        <v>#VALUE!</v>
      </c>
      <c r="S501" t="e">
        <f t="shared" si="303"/>
        <v>#VALUE!</v>
      </c>
      <c r="T501" s="174" t="e">
        <f t="shared" si="327"/>
        <v>#VALUE!</v>
      </c>
      <c r="U501" t="e">
        <f t="shared" si="304"/>
        <v>#VALUE!</v>
      </c>
      <c r="V501" t="e">
        <f t="shared" si="305"/>
        <v>#VALUE!</v>
      </c>
      <c r="W501" t="e">
        <f t="shared" si="306"/>
        <v>#VALUE!</v>
      </c>
      <c r="X501" t="e">
        <f t="shared" si="307"/>
        <v>#VALUE!</v>
      </c>
      <c r="Y501" t="e">
        <f t="shared" si="308"/>
        <v>#VALUE!</v>
      </c>
      <c r="Z501" t="e">
        <f t="shared" si="309"/>
        <v>#VALUE!</v>
      </c>
      <c r="AA501" t="e">
        <f t="shared" si="310"/>
        <v>#VALUE!</v>
      </c>
      <c r="AB501" s="23" t="e">
        <f t="shared" si="328"/>
        <v>#VALUE!</v>
      </c>
      <c r="AC501" t="e">
        <f t="shared" si="311"/>
        <v>#VALUE!</v>
      </c>
      <c r="AD501" t="e">
        <f t="shared" si="312"/>
        <v>#VALUE!</v>
      </c>
      <c r="AE501" t="e">
        <f t="shared" si="313"/>
        <v>#VALUE!</v>
      </c>
      <c r="AF501" t="e">
        <f t="shared" si="314"/>
        <v>#VALUE!</v>
      </c>
      <c r="AG501" t="e">
        <f t="shared" si="315"/>
        <v>#VALUE!</v>
      </c>
      <c r="AH501" t="e">
        <f t="shared" si="316"/>
        <v>#VALUE!</v>
      </c>
      <c r="AI501" t="e">
        <f t="shared" si="317"/>
        <v>#VALUE!</v>
      </c>
      <c r="AJ501" s="19" t="e">
        <f t="shared" si="329"/>
        <v>#VALUE!</v>
      </c>
      <c r="AK501" t="e">
        <f t="shared" si="318"/>
        <v>#VALUE!</v>
      </c>
      <c r="AL501" t="e">
        <f t="shared" si="319"/>
        <v>#VALUE!</v>
      </c>
      <c r="AM501" t="e">
        <f t="shared" si="320"/>
        <v>#VALUE!</v>
      </c>
      <c r="AN501" t="e">
        <f t="shared" si="321"/>
        <v>#VALUE!</v>
      </c>
      <c r="AO501" t="e">
        <f t="shared" si="322"/>
        <v>#VALUE!</v>
      </c>
      <c r="AP501" t="e">
        <f t="shared" si="323"/>
        <v>#VALUE!</v>
      </c>
      <c r="AQ501" t="e">
        <f t="shared" si="324"/>
        <v>#VALUE!</v>
      </c>
      <c r="AR501" s="123" t="e">
        <f t="shared" si="330"/>
        <v>#VALUE!</v>
      </c>
      <c r="AS501" t="e">
        <f t="shared" si="325"/>
        <v>#VALUE!</v>
      </c>
      <c r="AT501" s="181" t="e">
        <f>INDEX('stock fisico '!N:N, MATCH(B501, 'stock fisico '!B:B, 0))</f>
        <v>#N/A</v>
      </c>
      <c r="AU501" s="179" t="e">
        <f>INDEX('stock fisico '!D:D, MATCH(B501, 'stock fisico '!B:B, 0))</f>
        <v>#N/A</v>
      </c>
      <c r="AV501" s="177" t="e">
        <f>INDEX('stock fisico '!L:L, MATCH(B501, 'stock fisico '!B:B, 0))</f>
        <v>#N/A</v>
      </c>
    </row>
    <row r="502" spans="1:48" x14ac:dyDescent="0.25">
      <c r="A502" s="181" t="e">
        <f>INDEX('stock fisico '!M:M, MATCH(B502, 'stock fisico '!B:B, 0))</f>
        <v>#N/A</v>
      </c>
      <c r="C502" s="179" t="e">
        <f>INDEX('stock fisico '!C:C, MATCH(B502, 'stock fisico '!B:B, 0))</f>
        <v>#N/A</v>
      </c>
      <c r="D502" s="178" t="e">
        <f>INDEX('stock fisico '!I:I, MATCH(B502, 'stock fisico '!B:B, 0))</f>
        <v>#N/A</v>
      </c>
      <c r="E502" s="173" t="e">
        <f t="shared" si="331"/>
        <v>#VALUE!</v>
      </c>
      <c r="F502" t="e">
        <f t="shared" si="291"/>
        <v>#VALUE!</v>
      </c>
      <c r="G502" t="e">
        <f t="shared" si="292"/>
        <v>#VALUE!</v>
      </c>
      <c r="H502" t="e">
        <f t="shared" si="293"/>
        <v>#VALUE!</v>
      </c>
      <c r="I502" t="e">
        <f t="shared" si="294"/>
        <v>#VALUE!</v>
      </c>
      <c r="J502" t="e">
        <f t="shared" si="295"/>
        <v>#VALUE!</v>
      </c>
      <c r="K502" t="e">
        <f t="shared" si="296"/>
        <v>#VALUE!</v>
      </c>
      <c r="L502" s="175" t="e">
        <f t="shared" si="326"/>
        <v>#VALUE!</v>
      </c>
      <c r="M502" t="e">
        <f t="shared" si="297"/>
        <v>#VALUE!</v>
      </c>
      <c r="N502" t="e">
        <f t="shared" si="298"/>
        <v>#VALUE!</v>
      </c>
      <c r="O502" t="e">
        <f t="shared" si="299"/>
        <v>#VALUE!</v>
      </c>
      <c r="P502" t="e">
        <f t="shared" si="300"/>
        <v>#VALUE!</v>
      </c>
      <c r="Q502" t="e">
        <f t="shared" si="301"/>
        <v>#VALUE!</v>
      </c>
      <c r="R502" t="e">
        <f t="shared" si="302"/>
        <v>#VALUE!</v>
      </c>
      <c r="S502" t="e">
        <f t="shared" si="303"/>
        <v>#VALUE!</v>
      </c>
      <c r="T502" s="174" t="e">
        <f t="shared" si="327"/>
        <v>#VALUE!</v>
      </c>
      <c r="U502" t="e">
        <f t="shared" si="304"/>
        <v>#VALUE!</v>
      </c>
      <c r="V502" t="e">
        <f t="shared" si="305"/>
        <v>#VALUE!</v>
      </c>
      <c r="W502" t="e">
        <f t="shared" si="306"/>
        <v>#VALUE!</v>
      </c>
      <c r="X502" t="e">
        <f t="shared" si="307"/>
        <v>#VALUE!</v>
      </c>
      <c r="Y502" t="e">
        <f t="shared" si="308"/>
        <v>#VALUE!</v>
      </c>
      <c r="Z502" t="e">
        <f t="shared" si="309"/>
        <v>#VALUE!</v>
      </c>
      <c r="AA502" t="e">
        <f t="shared" si="310"/>
        <v>#VALUE!</v>
      </c>
      <c r="AB502" s="23" t="e">
        <f t="shared" si="328"/>
        <v>#VALUE!</v>
      </c>
      <c r="AC502" t="e">
        <f t="shared" si="311"/>
        <v>#VALUE!</v>
      </c>
      <c r="AD502" t="e">
        <f t="shared" si="312"/>
        <v>#VALUE!</v>
      </c>
      <c r="AE502" t="e">
        <f t="shared" si="313"/>
        <v>#VALUE!</v>
      </c>
      <c r="AF502" t="e">
        <f t="shared" si="314"/>
        <v>#VALUE!</v>
      </c>
      <c r="AG502" t="e">
        <f t="shared" si="315"/>
        <v>#VALUE!</v>
      </c>
      <c r="AH502" t="e">
        <f t="shared" si="316"/>
        <v>#VALUE!</v>
      </c>
      <c r="AI502" t="e">
        <f t="shared" si="317"/>
        <v>#VALUE!</v>
      </c>
      <c r="AJ502" s="19" t="e">
        <f t="shared" si="329"/>
        <v>#VALUE!</v>
      </c>
      <c r="AK502" t="e">
        <f t="shared" si="318"/>
        <v>#VALUE!</v>
      </c>
      <c r="AL502" t="e">
        <f t="shared" si="319"/>
        <v>#VALUE!</v>
      </c>
      <c r="AM502" t="e">
        <f t="shared" si="320"/>
        <v>#VALUE!</v>
      </c>
      <c r="AN502" t="e">
        <f t="shared" si="321"/>
        <v>#VALUE!</v>
      </c>
      <c r="AO502" t="e">
        <f t="shared" si="322"/>
        <v>#VALUE!</v>
      </c>
      <c r="AP502" t="e">
        <f t="shared" si="323"/>
        <v>#VALUE!</v>
      </c>
      <c r="AQ502" t="e">
        <f t="shared" si="324"/>
        <v>#VALUE!</v>
      </c>
      <c r="AR502" s="123" t="e">
        <f t="shared" si="330"/>
        <v>#VALUE!</v>
      </c>
      <c r="AS502" t="e">
        <f t="shared" si="325"/>
        <v>#VALUE!</v>
      </c>
      <c r="AT502" s="181" t="e">
        <f>INDEX('stock fisico '!N:N, MATCH(B502, 'stock fisico '!B:B, 0))</f>
        <v>#N/A</v>
      </c>
      <c r="AU502" s="179" t="e">
        <f>INDEX('stock fisico '!D:D, MATCH(B502, 'stock fisico '!B:B, 0))</f>
        <v>#N/A</v>
      </c>
      <c r="AV502" s="177" t="e">
        <f>INDEX('stock fisico '!L:L, MATCH(B502, 'stock fisico '!B:B, 0))</f>
        <v>#N/A</v>
      </c>
    </row>
    <row r="503" spans="1:48" x14ac:dyDescent="0.25">
      <c r="A503" s="181" t="e">
        <f>INDEX('stock fisico '!M:M, MATCH(B503, 'stock fisico '!B:B, 0))</f>
        <v>#N/A</v>
      </c>
      <c r="C503" s="179" t="e">
        <f>INDEX('stock fisico '!C:C, MATCH(B503, 'stock fisico '!B:B, 0))</f>
        <v>#N/A</v>
      </c>
      <c r="D503" s="178" t="e">
        <f>INDEX('stock fisico '!I:I, MATCH(B503, 'stock fisico '!B:B, 0))</f>
        <v>#N/A</v>
      </c>
      <c r="E503" s="173" t="e">
        <f t="shared" si="331"/>
        <v>#VALUE!</v>
      </c>
      <c r="F503" t="e">
        <f t="shared" si="291"/>
        <v>#VALUE!</v>
      </c>
      <c r="G503" t="e">
        <f t="shared" si="292"/>
        <v>#VALUE!</v>
      </c>
      <c r="H503" t="e">
        <f t="shared" si="293"/>
        <v>#VALUE!</v>
      </c>
      <c r="I503" t="e">
        <f t="shared" si="294"/>
        <v>#VALUE!</v>
      </c>
      <c r="J503" t="e">
        <f t="shared" si="295"/>
        <v>#VALUE!</v>
      </c>
      <c r="K503" t="e">
        <f t="shared" si="296"/>
        <v>#VALUE!</v>
      </c>
      <c r="L503" s="175" t="e">
        <f t="shared" si="326"/>
        <v>#VALUE!</v>
      </c>
      <c r="M503" t="e">
        <f t="shared" si="297"/>
        <v>#VALUE!</v>
      </c>
      <c r="N503" t="e">
        <f t="shared" si="298"/>
        <v>#VALUE!</v>
      </c>
      <c r="O503" t="e">
        <f t="shared" si="299"/>
        <v>#VALUE!</v>
      </c>
      <c r="P503" t="e">
        <f t="shared" si="300"/>
        <v>#VALUE!</v>
      </c>
      <c r="Q503" t="e">
        <f t="shared" si="301"/>
        <v>#VALUE!</v>
      </c>
      <c r="R503" t="e">
        <f t="shared" si="302"/>
        <v>#VALUE!</v>
      </c>
      <c r="S503" t="e">
        <f t="shared" si="303"/>
        <v>#VALUE!</v>
      </c>
      <c r="T503" s="174" t="e">
        <f t="shared" si="327"/>
        <v>#VALUE!</v>
      </c>
      <c r="U503" t="e">
        <f t="shared" si="304"/>
        <v>#VALUE!</v>
      </c>
      <c r="V503" t="e">
        <f t="shared" si="305"/>
        <v>#VALUE!</v>
      </c>
      <c r="W503" t="e">
        <f t="shared" si="306"/>
        <v>#VALUE!</v>
      </c>
      <c r="X503" t="e">
        <f t="shared" si="307"/>
        <v>#VALUE!</v>
      </c>
      <c r="Y503" t="e">
        <f t="shared" si="308"/>
        <v>#VALUE!</v>
      </c>
      <c r="Z503" t="e">
        <f t="shared" si="309"/>
        <v>#VALUE!</v>
      </c>
      <c r="AA503" t="e">
        <f t="shared" si="310"/>
        <v>#VALUE!</v>
      </c>
      <c r="AB503" s="23" t="e">
        <f t="shared" si="328"/>
        <v>#VALUE!</v>
      </c>
      <c r="AC503" t="e">
        <f t="shared" si="311"/>
        <v>#VALUE!</v>
      </c>
      <c r="AD503" t="e">
        <f t="shared" si="312"/>
        <v>#VALUE!</v>
      </c>
      <c r="AE503" t="e">
        <f t="shared" si="313"/>
        <v>#VALUE!</v>
      </c>
      <c r="AF503" t="e">
        <f t="shared" si="314"/>
        <v>#VALUE!</v>
      </c>
      <c r="AG503" t="e">
        <f t="shared" si="315"/>
        <v>#VALUE!</v>
      </c>
      <c r="AH503" t="e">
        <f t="shared" si="316"/>
        <v>#VALUE!</v>
      </c>
      <c r="AI503" t="e">
        <f t="shared" si="317"/>
        <v>#VALUE!</v>
      </c>
      <c r="AJ503" s="19" t="e">
        <f t="shared" si="329"/>
        <v>#VALUE!</v>
      </c>
      <c r="AK503" t="e">
        <f t="shared" si="318"/>
        <v>#VALUE!</v>
      </c>
      <c r="AL503" t="e">
        <f t="shared" si="319"/>
        <v>#VALUE!</v>
      </c>
      <c r="AM503" t="e">
        <f t="shared" si="320"/>
        <v>#VALUE!</v>
      </c>
      <c r="AN503" t="e">
        <f t="shared" si="321"/>
        <v>#VALUE!</v>
      </c>
      <c r="AO503" t="e">
        <f t="shared" si="322"/>
        <v>#VALUE!</v>
      </c>
      <c r="AP503" t="e">
        <f t="shared" si="323"/>
        <v>#VALUE!</v>
      </c>
      <c r="AQ503" t="e">
        <f t="shared" si="324"/>
        <v>#VALUE!</v>
      </c>
      <c r="AR503" s="123" t="e">
        <f t="shared" si="330"/>
        <v>#VALUE!</v>
      </c>
      <c r="AS503" t="e">
        <f t="shared" si="325"/>
        <v>#VALUE!</v>
      </c>
      <c r="AT503" s="181" t="e">
        <f>INDEX('stock fisico '!N:N, MATCH(B503, 'stock fisico '!B:B, 0))</f>
        <v>#N/A</v>
      </c>
      <c r="AU503" s="179" t="e">
        <f>INDEX('stock fisico '!D:D, MATCH(B503, 'stock fisico '!B:B, 0))</f>
        <v>#N/A</v>
      </c>
      <c r="AV503" s="177" t="e">
        <f>INDEX('stock fisico '!L:L, MATCH(B503, 'stock fisico '!B:B, 0))</f>
        <v>#N/A</v>
      </c>
    </row>
    <row r="504" spans="1:48" x14ac:dyDescent="0.25">
      <c r="A504" s="181" t="e">
        <f>INDEX('stock fisico '!M:M, MATCH(B504, 'stock fisico '!B:B, 0))</f>
        <v>#N/A</v>
      </c>
      <c r="C504" s="179" t="e">
        <f>INDEX('stock fisico '!C:C, MATCH(B504, 'stock fisico '!B:B, 0))</f>
        <v>#N/A</v>
      </c>
      <c r="D504" s="178" t="e">
        <f>INDEX('stock fisico '!I:I, MATCH(B504, 'stock fisico '!B:B, 0))</f>
        <v>#N/A</v>
      </c>
      <c r="E504" s="173" t="e">
        <f t="shared" si="331"/>
        <v>#VALUE!</v>
      </c>
      <c r="F504" t="e">
        <f t="shared" si="291"/>
        <v>#VALUE!</v>
      </c>
      <c r="G504" t="e">
        <f t="shared" si="292"/>
        <v>#VALUE!</v>
      </c>
      <c r="H504" t="e">
        <f t="shared" si="293"/>
        <v>#VALUE!</v>
      </c>
      <c r="I504" t="e">
        <f t="shared" si="294"/>
        <v>#VALUE!</v>
      </c>
      <c r="J504" t="e">
        <f t="shared" si="295"/>
        <v>#VALUE!</v>
      </c>
      <c r="K504" t="e">
        <f t="shared" si="296"/>
        <v>#VALUE!</v>
      </c>
      <c r="L504" s="175" t="e">
        <f t="shared" si="326"/>
        <v>#VALUE!</v>
      </c>
      <c r="M504" t="e">
        <f t="shared" si="297"/>
        <v>#VALUE!</v>
      </c>
      <c r="N504" t="e">
        <f t="shared" si="298"/>
        <v>#VALUE!</v>
      </c>
      <c r="O504" t="e">
        <f t="shared" si="299"/>
        <v>#VALUE!</v>
      </c>
      <c r="P504" t="e">
        <f t="shared" si="300"/>
        <v>#VALUE!</v>
      </c>
      <c r="Q504" t="e">
        <f t="shared" si="301"/>
        <v>#VALUE!</v>
      </c>
      <c r="R504" t="e">
        <f t="shared" si="302"/>
        <v>#VALUE!</v>
      </c>
      <c r="S504" t="e">
        <f t="shared" si="303"/>
        <v>#VALUE!</v>
      </c>
      <c r="T504" s="174" t="e">
        <f t="shared" si="327"/>
        <v>#VALUE!</v>
      </c>
      <c r="U504" t="e">
        <f t="shared" si="304"/>
        <v>#VALUE!</v>
      </c>
      <c r="V504" t="e">
        <f t="shared" si="305"/>
        <v>#VALUE!</v>
      </c>
      <c r="W504" t="e">
        <f t="shared" si="306"/>
        <v>#VALUE!</v>
      </c>
      <c r="X504" t="e">
        <f t="shared" si="307"/>
        <v>#VALUE!</v>
      </c>
      <c r="Y504" t="e">
        <f t="shared" si="308"/>
        <v>#VALUE!</v>
      </c>
      <c r="Z504" t="e">
        <f t="shared" si="309"/>
        <v>#VALUE!</v>
      </c>
      <c r="AA504" t="e">
        <f t="shared" si="310"/>
        <v>#VALUE!</v>
      </c>
      <c r="AB504" s="23" t="e">
        <f t="shared" si="328"/>
        <v>#VALUE!</v>
      </c>
      <c r="AC504" t="e">
        <f t="shared" si="311"/>
        <v>#VALUE!</v>
      </c>
      <c r="AD504" t="e">
        <f t="shared" si="312"/>
        <v>#VALUE!</v>
      </c>
      <c r="AE504" t="e">
        <f t="shared" si="313"/>
        <v>#VALUE!</v>
      </c>
      <c r="AF504" t="e">
        <f t="shared" si="314"/>
        <v>#VALUE!</v>
      </c>
      <c r="AG504" t="e">
        <f t="shared" si="315"/>
        <v>#VALUE!</v>
      </c>
      <c r="AH504" t="e">
        <f t="shared" si="316"/>
        <v>#VALUE!</v>
      </c>
      <c r="AI504" t="e">
        <f t="shared" si="317"/>
        <v>#VALUE!</v>
      </c>
      <c r="AJ504" s="19" t="e">
        <f t="shared" si="329"/>
        <v>#VALUE!</v>
      </c>
      <c r="AK504" t="e">
        <f t="shared" si="318"/>
        <v>#VALUE!</v>
      </c>
      <c r="AL504" t="e">
        <f t="shared" si="319"/>
        <v>#VALUE!</v>
      </c>
      <c r="AM504" t="e">
        <f t="shared" si="320"/>
        <v>#VALUE!</v>
      </c>
      <c r="AN504" t="e">
        <f t="shared" si="321"/>
        <v>#VALUE!</v>
      </c>
      <c r="AO504" t="e">
        <f t="shared" si="322"/>
        <v>#VALUE!</v>
      </c>
      <c r="AP504" t="e">
        <f t="shared" si="323"/>
        <v>#VALUE!</v>
      </c>
      <c r="AQ504" t="e">
        <f t="shared" si="324"/>
        <v>#VALUE!</v>
      </c>
      <c r="AR504" s="123" t="e">
        <f t="shared" si="330"/>
        <v>#VALUE!</v>
      </c>
      <c r="AS504" t="e">
        <f t="shared" si="325"/>
        <v>#VALUE!</v>
      </c>
      <c r="AT504" s="181" t="e">
        <f>INDEX('stock fisico '!N:N, MATCH(B504, 'stock fisico '!B:B, 0))</f>
        <v>#N/A</v>
      </c>
      <c r="AU504" s="179" t="e">
        <f>INDEX('stock fisico '!D:D, MATCH(B504, 'stock fisico '!B:B, 0))</f>
        <v>#N/A</v>
      </c>
      <c r="AV504" s="177" t="e">
        <f>INDEX('stock fisico '!L:L, MATCH(B504, 'stock fisico '!B:B, 0))</f>
        <v>#N/A</v>
      </c>
    </row>
    <row r="505" spans="1:48" x14ac:dyDescent="0.25">
      <c r="A505" s="181" t="e">
        <f>INDEX('stock fisico '!M:M, MATCH(B505, 'stock fisico '!B:B, 0))</f>
        <v>#N/A</v>
      </c>
      <c r="C505" s="179" t="e">
        <f>INDEX('stock fisico '!C:C, MATCH(B505, 'stock fisico '!B:B, 0))</f>
        <v>#N/A</v>
      </c>
      <c r="D505" s="178" t="e">
        <f>INDEX('stock fisico '!I:I, MATCH(B505, 'stock fisico '!B:B, 0))</f>
        <v>#N/A</v>
      </c>
      <c r="E505" s="173" t="e">
        <f t="shared" si="331"/>
        <v>#VALUE!</v>
      </c>
      <c r="F505" t="e">
        <f t="shared" si="291"/>
        <v>#VALUE!</v>
      </c>
      <c r="G505" t="e">
        <f t="shared" si="292"/>
        <v>#VALUE!</v>
      </c>
      <c r="H505" t="e">
        <f t="shared" si="293"/>
        <v>#VALUE!</v>
      </c>
      <c r="I505" t="e">
        <f t="shared" si="294"/>
        <v>#VALUE!</v>
      </c>
      <c r="J505" t="e">
        <f t="shared" si="295"/>
        <v>#VALUE!</v>
      </c>
      <c r="K505" t="e">
        <f t="shared" si="296"/>
        <v>#VALUE!</v>
      </c>
      <c r="L505" s="175" t="e">
        <f t="shared" si="326"/>
        <v>#VALUE!</v>
      </c>
      <c r="M505" t="e">
        <f t="shared" si="297"/>
        <v>#VALUE!</v>
      </c>
      <c r="N505" t="e">
        <f t="shared" si="298"/>
        <v>#VALUE!</v>
      </c>
      <c r="O505" t="e">
        <f t="shared" si="299"/>
        <v>#VALUE!</v>
      </c>
      <c r="P505" t="e">
        <f t="shared" si="300"/>
        <v>#VALUE!</v>
      </c>
      <c r="Q505" t="e">
        <f t="shared" si="301"/>
        <v>#VALUE!</v>
      </c>
      <c r="R505" t="e">
        <f t="shared" si="302"/>
        <v>#VALUE!</v>
      </c>
      <c r="S505" t="e">
        <f t="shared" si="303"/>
        <v>#VALUE!</v>
      </c>
      <c r="T505" s="174" t="e">
        <f t="shared" si="327"/>
        <v>#VALUE!</v>
      </c>
      <c r="U505" t="e">
        <f t="shared" si="304"/>
        <v>#VALUE!</v>
      </c>
      <c r="V505" t="e">
        <f t="shared" si="305"/>
        <v>#VALUE!</v>
      </c>
      <c r="W505" t="e">
        <f t="shared" si="306"/>
        <v>#VALUE!</v>
      </c>
      <c r="X505" t="e">
        <f t="shared" si="307"/>
        <v>#VALUE!</v>
      </c>
      <c r="Y505" t="e">
        <f t="shared" si="308"/>
        <v>#VALUE!</v>
      </c>
      <c r="Z505" t="e">
        <f t="shared" si="309"/>
        <v>#VALUE!</v>
      </c>
      <c r="AA505" t="e">
        <f t="shared" si="310"/>
        <v>#VALUE!</v>
      </c>
      <c r="AB505" s="23" t="e">
        <f t="shared" si="328"/>
        <v>#VALUE!</v>
      </c>
      <c r="AC505" t="e">
        <f t="shared" si="311"/>
        <v>#VALUE!</v>
      </c>
      <c r="AD505" t="e">
        <f t="shared" si="312"/>
        <v>#VALUE!</v>
      </c>
      <c r="AE505" t="e">
        <f t="shared" si="313"/>
        <v>#VALUE!</v>
      </c>
      <c r="AF505" t="e">
        <f t="shared" si="314"/>
        <v>#VALUE!</v>
      </c>
      <c r="AG505" t="e">
        <f t="shared" si="315"/>
        <v>#VALUE!</v>
      </c>
      <c r="AH505" t="e">
        <f t="shared" si="316"/>
        <v>#VALUE!</v>
      </c>
      <c r="AI505" t="e">
        <f t="shared" si="317"/>
        <v>#VALUE!</v>
      </c>
      <c r="AJ505" s="19" t="e">
        <f t="shared" si="329"/>
        <v>#VALUE!</v>
      </c>
      <c r="AK505" t="e">
        <f t="shared" si="318"/>
        <v>#VALUE!</v>
      </c>
      <c r="AL505" t="e">
        <f t="shared" si="319"/>
        <v>#VALUE!</v>
      </c>
      <c r="AM505" t="e">
        <f t="shared" si="320"/>
        <v>#VALUE!</v>
      </c>
      <c r="AN505" t="e">
        <f t="shared" si="321"/>
        <v>#VALUE!</v>
      </c>
      <c r="AO505" t="e">
        <f t="shared" si="322"/>
        <v>#VALUE!</v>
      </c>
      <c r="AP505" t="e">
        <f t="shared" si="323"/>
        <v>#VALUE!</v>
      </c>
      <c r="AQ505" t="e">
        <f t="shared" si="324"/>
        <v>#VALUE!</v>
      </c>
      <c r="AR505" s="123" t="e">
        <f t="shared" si="330"/>
        <v>#VALUE!</v>
      </c>
      <c r="AS505" t="e">
        <f t="shared" si="325"/>
        <v>#VALUE!</v>
      </c>
      <c r="AT505" s="181" t="e">
        <f>INDEX('stock fisico '!N:N, MATCH(B505, 'stock fisico '!B:B, 0))</f>
        <v>#N/A</v>
      </c>
      <c r="AU505" s="179" t="e">
        <f>INDEX('stock fisico '!D:D, MATCH(B505, 'stock fisico '!B:B, 0))</f>
        <v>#N/A</v>
      </c>
      <c r="AV505" s="177" t="e">
        <f>INDEX('stock fisico '!L:L, MATCH(B505, 'stock fisico '!B:B, 0))</f>
        <v>#N/A</v>
      </c>
    </row>
    <row r="506" spans="1:48" x14ac:dyDescent="0.25">
      <c r="A506" s="181" t="e">
        <f>INDEX('stock fisico '!M:M, MATCH(B506, 'stock fisico '!B:B, 0))</f>
        <v>#N/A</v>
      </c>
      <c r="C506" s="179" t="e">
        <f>INDEX('stock fisico '!C:C, MATCH(B506, 'stock fisico '!B:B, 0))</f>
        <v>#N/A</v>
      </c>
      <c r="D506" s="178" t="e">
        <f>INDEX('stock fisico '!I:I, MATCH(B506, 'stock fisico '!B:B, 0))</f>
        <v>#N/A</v>
      </c>
      <c r="E506" s="173" t="e">
        <f t="shared" si="331"/>
        <v>#VALUE!</v>
      </c>
      <c r="F506" t="e">
        <f t="shared" si="291"/>
        <v>#VALUE!</v>
      </c>
      <c r="G506" t="e">
        <f t="shared" si="292"/>
        <v>#VALUE!</v>
      </c>
      <c r="H506" t="e">
        <f t="shared" si="293"/>
        <v>#VALUE!</v>
      </c>
      <c r="I506" t="e">
        <f t="shared" si="294"/>
        <v>#VALUE!</v>
      </c>
      <c r="J506" t="e">
        <f t="shared" si="295"/>
        <v>#VALUE!</v>
      </c>
      <c r="K506" t="e">
        <f t="shared" si="296"/>
        <v>#VALUE!</v>
      </c>
      <c r="L506" s="175" t="e">
        <f t="shared" si="326"/>
        <v>#VALUE!</v>
      </c>
      <c r="M506" t="e">
        <f t="shared" si="297"/>
        <v>#VALUE!</v>
      </c>
      <c r="N506" t="e">
        <f t="shared" si="298"/>
        <v>#VALUE!</v>
      </c>
      <c r="O506" t="e">
        <f t="shared" si="299"/>
        <v>#VALUE!</v>
      </c>
      <c r="P506" t="e">
        <f t="shared" si="300"/>
        <v>#VALUE!</v>
      </c>
      <c r="Q506" t="e">
        <f t="shared" si="301"/>
        <v>#VALUE!</v>
      </c>
      <c r="R506" t="e">
        <f t="shared" si="302"/>
        <v>#VALUE!</v>
      </c>
      <c r="S506" t="e">
        <f t="shared" si="303"/>
        <v>#VALUE!</v>
      </c>
      <c r="T506" s="174" t="e">
        <f t="shared" si="327"/>
        <v>#VALUE!</v>
      </c>
      <c r="U506" t="e">
        <f t="shared" si="304"/>
        <v>#VALUE!</v>
      </c>
      <c r="V506" t="e">
        <f t="shared" si="305"/>
        <v>#VALUE!</v>
      </c>
      <c r="W506" t="e">
        <f t="shared" si="306"/>
        <v>#VALUE!</v>
      </c>
      <c r="X506" t="e">
        <f t="shared" si="307"/>
        <v>#VALUE!</v>
      </c>
      <c r="Y506" t="e">
        <f t="shared" si="308"/>
        <v>#VALUE!</v>
      </c>
      <c r="Z506" t="e">
        <f t="shared" si="309"/>
        <v>#VALUE!</v>
      </c>
      <c r="AA506" t="e">
        <f t="shared" si="310"/>
        <v>#VALUE!</v>
      </c>
      <c r="AB506" s="23" t="e">
        <f t="shared" si="328"/>
        <v>#VALUE!</v>
      </c>
      <c r="AC506" t="e">
        <f t="shared" si="311"/>
        <v>#VALUE!</v>
      </c>
      <c r="AD506" t="e">
        <f t="shared" si="312"/>
        <v>#VALUE!</v>
      </c>
      <c r="AE506" t="e">
        <f t="shared" si="313"/>
        <v>#VALUE!</v>
      </c>
      <c r="AF506" t="e">
        <f t="shared" si="314"/>
        <v>#VALUE!</v>
      </c>
      <c r="AG506" t="e">
        <f t="shared" si="315"/>
        <v>#VALUE!</v>
      </c>
      <c r="AH506" t="e">
        <f t="shared" si="316"/>
        <v>#VALUE!</v>
      </c>
      <c r="AI506" t="e">
        <f t="shared" si="317"/>
        <v>#VALUE!</v>
      </c>
      <c r="AJ506" s="19" t="e">
        <f t="shared" si="329"/>
        <v>#VALUE!</v>
      </c>
      <c r="AK506" t="e">
        <f t="shared" si="318"/>
        <v>#VALUE!</v>
      </c>
      <c r="AL506" t="e">
        <f t="shared" si="319"/>
        <v>#VALUE!</v>
      </c>
      <c r="AM506" t="e">
        <f t="shared" si="320"/>
        <v>#VALUE!</v>
      </c>
      <c r="AN506" t="e">
        <f t="shared" si="321"/>
        <v>#VALUE!</v>
      </c>
      <c r="AO506" t="e">
        <f t="shared" si="322"/>
        <v>#VALUE!</v>
      </c>
      <c r="AP506" t="e">
        <f t="shared" si="323"/>
        <v>#VALUE!</v>
      </c>
      <c r="AQ506" t="e">
        <f t="shared" si="324"/>
        <v>#VALUE!</v>
      </c>
      <c r="AR506" s="123" t="e">
        <f t="shared" si="330"/>
        <v>#VALUE!</v>
      </c>
      <c r="AS506" t="e">
        <f t="shared" si="325"/>
        <v>#VALUE!</v>
      </c>
      <c r="AT506" s="181" t="e">
        <f>INDEX('stock fisico '!N:N, MATCH(B506, 'stock fisico '!B:B, 0))</f>
        <v>#N/A</v>
      </c>
      <c r="AU506" s="179" t="e">
        <f>INDEX('stock fisico '!D:D, MATCH(B506, 'stock fisico '!B:B, 0))</f>
        <v>#N/A</v>
      </c>
      <c r="AV506" s="177" t="e">
        <f>INDEX('stock fisico '!L:L, MATCH(B506, 'stock fisico '!B:B, 0))</f>
        <v>#N/A</v>
      </c>
    </row>
    <row r="507" spans="1:48" x14ac:dyDescent="0.25">
      <c r="A507" s="181" t="e">
        <f>INDEX('stock fisico '!M:M, MATCH(B507, 'stock fisico '!B:B, 0))</f>
        <v>#N/A</v>
      </c>
      <c r="C507" s="179" t="e">
        <f>INDEX('stock fisico '!C:C, MATCH(B507, 'stock fisico '!B:B, 0))</f>
        <v>#N/A</v>
      </c>
      <c r="D507" s="178" t="e">
        <f>INDEX('stock fisico '!I:I, MATCH(B507, 'stock fisico '!B:B, 0))</f>
        <v>#N/A</v>
      </c>
      <c r="E507" s="173" t="e">
        <f t="shared" si="331"/>
        <v>#VALUE!</v>
      </c>
      <c r="F507" t="e">
        <f t="shared" si="291"/>
        <v>#VALUE!</v>
      </c>
      <c r="G507" t="e">
        <f t="shared" si="292"/>
        <v>#VALUE!</v>
      </c>
      <c r="H507" t="e">
        <f t="shared" si="293"/>
        <v>#VALUE!</v>
      </c>
      <c r="I507" t="e">
        <f t="shared" si="294"/>
        <v>#VALUE!</v>
      </c>
      <c r="J507" t="e">
        <f t="shared" si="295"/>
        <v>#VALUE!</v>
      </c>
      <c r="K507" t="e">
        <f t="shared" si="296"/>
        <v>#VALUE!</v>
      </c>
      <c r="L507" s="175" t="e">
        <f t="shared" si="326"/>
        <v>#VALUE!</v>
      </c>
      <c r="M507" t="e">
        <f t="shared" si="297"/>
        <v>#VALUE!</v>
      </c>
      <c r="N507" t="e">
        <f t="shared" si="298"/>
        <v>#VALUE!</v>
      </c>
      <c r="O507" t="e">
        <f t="shared" si="299"/>
        <v>#VALUE!</v>
      </c>
      <c r="P507" t="e">
        <f t="shared" si="300"/>
        <v>#VALUE!</v>
      </c>
      <c r="Q507" t="e">
        <f t="shared" si="301"/>
        <v>#VALUE!</v>
      </c>
      <c r="R507" t="e">
        <f t="shared" si="302"/>
        <v>#VALUE!</v>
      </c>
      <c r="S507" t="e">
        <f t="shared" si="303"/>
        <v>#VALUE!</v>
      </c>
      <c r="T507" s="174" t="e">
        <f t="shared" si="327"/>
        <v>#VALUE!</v>
      </c>
      <c r="U507" t="e">
        <f t="shared" si="304"/>
        <v>#VALUE!</v>
      </c>
      <c r="V507" t="e">
        <f t="shared" si="305"/>
        <v>#VALUE!</v>
      </c>
      <c r="W507" t="e">
        <f t="shared" si="306"/>
        <v>#VALUE!</v>
      </c>
      <c r="X507" t="e">
        <f t="shared" si="307"/>
        <v>#VALUE!</v>
      </c>
      <c r="Y507" t="e">
        <f t="shared" si="308"/>
        <v>#VALUE!</v>
      </c>
      <c r="Z507" t="e">
        <f t="shared" si="309"/>
        <v>#VALUE!</v>
      </c>
      <c r="AA507" t="e">
        <f t="shared" si="310"/>
        <v>#VALUE!</v>
      </c>
      <c r="AB507" s="23" t="e">
        <f t="shared" si="328"/>
        <v>#VALUE!</v>
      </c>
      <c r="AC507" t="e">
        <f t="shared" si="311"/>
        <v>#VALUE!</v>
      </c>
      <c r="AD507" t="e">
        <f t="shared" si="312"/>
        <v>#VALUE!</v>
      </c>
      <c r="AE507" t="e">
        <f t="shared" si="313"/>
        <v>#VALUE!</v>
      </c>
      <c r="AF507" t="e">
        <f t="shared" si="314"/>
        <v>#VALUE!</v>
      </c>
      <c r="AG507" t="e">
        <f t="shared" si="315"/>
        <v>#VALUE!</v>
      </c>
      <c r="AH507" t="e">
        <f t="shared" si="316"/>
        <v>#VALUE!</v>
      </c>
      <c r="AI507" t="e">
        <f t="shared" si="317"/>
        <v>#VALUE!</v>
      </c>
      <c r="AJ507" s="19" t="e">
        <f t="shared" si="329"/>
        <v>#VALUE!</v>
      </c>
      <c r="AK507" t="e">
        <f t="shared" si="318"/>
        <v>#VALUE!</v>
      </c>
      <c r="AL507" t="e">
        <f t="shared" si="319"/>
        <v>#VALUE!</v>
      </c>
      <c r="AM507" t="e">
        <f t="shared" si="320"/>
        <v>#VALUE!</v>
      </c>
      <c r="AN507" t="e">
        <f t="shared" si="321"/>
        <v>#VALUE!</v>
      </c>
      <c r="AO507" t="e">
        <f t="shared" si="322"/>
        <v>#VALUE!</v>
      </c>
      <c r="AP507" t="e">
        <f t="shared" si="323"/>
        <v>#VALUE!</v>
      </c>
      <c r="AQ507" t="e">
        <f t="shared" si="324"/>
        <v>#VALUE!</v>
      </c>
      <c r="AR507" s="123" t="e">
        <f t="shared" si="330"/>
        <v>#VALUE!</v>
      </c>
      <c r="AS507" t="e">
        <f t="shared" si="325"/>
        <v>#VALUE!</v>
      </c>
      <c r="AT507" s="181" t="e">
        <f>INDEX('stock fisico '!N:N, MATCH(B507, 'stock fisico '!B:B, 0))</f>
        <v>#N/A</v>
      </c>
      <c r="AU507" s="179" t="e">
        <f>INDEX('stock fisico '!D:D, MATCH(B507, 'stock fisico '!B:B, 0))</f>
        <v>#N/A</v>
      </c>
      <c r="AV507" s="177" t="e">
        <f>INDEX('stock fisico '!L:L, MATCH(B507, 'stock fisico '!B:B, 0))</f>
        <v>#N/A</v>
      </c>
    </row>
    <row r="508" spans="1:48" x14ac:dyDescent="0.25">
      <c r="A508" s="181" t="e">
        <f>INDEX('stock fisico '!M:M, MATCH(B508, 'stock fisico '!B:B, 0))</f>
        <v>#N/A</v>
      </c>
      <c r="C508" s="179" t="e">
        <f>INDEX('stock fisico '!C:C, MATCH(B508, 'stock fisico '!B:B, 0))</f>
        <v>#N/A</v>
      </c>
      <c r="D508" s="178" t="e">
        <f>INDEX('stock fisico '!I:I, MATCH(B508, 'stock fisico '!B:B, 0))</f>
        <v>#N/A</v>
      </c>
      <c r="E508" s="173" t="e">
        <f t="shared" si="331"/>
        <v>#VALUE!</v>
      </c>
      <c r="F508" t="e">
        <f t="shared" si="291"/>
        <v>#VALUE!</v>
      </c>
      <c r="G508" t="e">
        <f t="shared" si="292"/>
        <v>#VALUE!</v>
      </c>
      <c r="H508" t="e">
        <f t="shared" si="293"/>
        <v>#VALUE!</v>
      </c>
      <c r="I508" t="e">
        <f t="shared" si="294"/>
        <v>#VALUE!</v>
      </c>
      <c r="J508" t="e">
        <f t="shared" si="295"/>
        <v>#VALUE!</v>
      </c>
      <c r="K508" t="e">
        <f t="shared" si="296"/>
        <v>#VALUE!</v>
      </c>
      <c r="L508" s="175" t="e">
        <f t="shared" si="326"/>
        <v>#VALUE!</v>
      </c>
      <c r="M508" t="e">
        <f t="shared" si="297"/>
        <v>#VALUE!</v>
      </c>
      <c r="N508" t="e">
        <f t="shared" si="298"/>
        <v>#VALUE!</v>
      </c>
      <c r="O508" t="e">
        <f t="shared" si="299"/>
        <v>#VALUE!</v>
      </c>
      <c r="P508" t="e">
        <f t="shared" si="300"/>
        <v>#VALUE!</v>
      </c>
      <c r="Q508" t="e">
        <f t="shared" si="301"/>
        <v>#VALUE!</v>
      </c>
      <c r="R508" t="e">
        <f t="shared" si="302"/>
        <v>#VALUE!</v>
      </c>
      <c r="S508" t="e">
        <f t="shared" si="303"/>
        <v>#VALUE!</v>
      </c>
      <c r="T508" s="174" t="e">
        <f t="shared" si="327"/>
        <v>#VALUE!</v>
      </c>
      <c r="U508" t="e">
        <f t="shared" si="304"/>
        <v>#VALUE!</v>
      </c>
      <c r="V508" t="e">
        <f t="shared" si="305"/>
        <v>#VALUE!</v>
      </c>
      <c r="W508" t="e">
        <f t="shared" si="306"/>
        <v>#VALUE!</v>
      </c>
      <c r="X508" t="e">
        <f t="shared" si="307"/>
        <v>#VALUE!</v>
      </c>
      <c r="Y508" t="e">
        <f t="shared" si="308"/>
        <v>#VALUE!</v>
      </c>
      <c r="Z508" t="e">
        <f t="shared" si="309"/>
        <v>#VALUE!</v>
      </c>
      <c r="AA508" t="e">
        <f t="shared" si="310"/>
        <v>#VALUE!</v>
      </c>
      <c r="AB508" s="23" t="e">
        <f t="shared" si="328"/>
        <v>#VALUE!</v>
      </c>
      <c r="AC508" t="e">
        <f t="shared" si="311"/>
        <v>#VALUE!</v>
      </c>
      <c r="AD508" t="e">
        <f t="shared" si="312"/>
        <v>#VALUE!</v>
      </c>
      <c r="AE508" t="e">
        <f t="shared" si="313"/>
        <v>#VALUE!</v>
      </c>
      <c r="AF508" t="e">
        <f t="shared" si="314"/>
        <v>#VALUE!</v>
      </c>
      <c r="AG508" t="e">
        <f t="shared" si="315"/>
        <v>#VALUE!</v>
      </c>
      <c r="AH508" t="e">
        <f t="shared" si="316"/>
        <v>#VALUE!</v>
      </c>
      <c r="AI508" t="e">
        <f t="shared" si="317"/>
        <v>#VALUE!</v>
      </c>
      <c r="AJ508" s="19" t="e">
        <f t="shared" si="329"/>
        <v>#VALUE!</v>
      </c>
      <c r="AK508" t="e">
        <f t="shared" si="318"/>
        <v>#VALUE!</v>
      </c>
      <c r="AL508" t="e">
        <f t="shared" si="319"/>
        <v>#VALUE!</v>
      </c>
      <c r="AM508" t="e">
        <f t="shared" si="320"/>
        <v>#VALUE!</v>
      </c>
      <c r="AN508" t="e">
        <f t="shared" si="321"/>
        <v>#VALUE!</v>
      </c>
      <c r="AO508" t="e">
        <f t="shared" si="322"/>
        <v>#VALUE!</v>
      </c>
      <c r="AP508" t="e">
        <f t="shared" si="323"/>
        <v>#VALUE!</v>
      </c>
      <c r="AQ508" t="e">
        <f t="shared" si="324"/>
        <v>#VALUE!</v>
      </c>
      <c r="AR508" s="123" t="e">
        <f t="shared" si="330"/>
        <v>#VALUE!</v>
      </c>
      <c r="AS508" t="e">
        <f t="shared" si="325"/>
        <v>#VALUE!</v>
      </c>
      <c r="AT508" s="181" t="e">
        <f>INDEX('stock fisico '!N:N, MATCH(B508, 'stock fisico '!B:B, 0))</f>
        <v>#N/A</v>
      </c>
      <c r="AU508" s="179" t="e">
        <f>INDEX('stock fisico '!D:D, MATCH(B508, 'stock fisico '!B:B, 0))</f>
        <v>#N/A</v>
      </c>
      <c r="AV508" s="177" t="e">
        <f>INDEX('stock fisico '!L:L, MATCH(B508, 'stock fisico '!B:B, 0))</f>
        <v>#N/A</v>
      </c>
    </row>
    <row r="509" spans="1:48" x14ac:dyDescent="0.25">
      <c r="A509" s="181" t="e">
        <f>INDEX('stock fisico '!M:M, MATCH(B509, 'stock fisico '!B:B, 0))</f>
        <v>#N/A</v>
      </c>
      <c r="C509" s="179" t="e">
        <f>INDEX('stock fisico '!C:C, MATCH(B509, 'stock fisico '!B:B, 0))</f>
        <v>#N/A</v>
      </c>
      <c r="D509" s="178" t="e">
        <f>INDEX('stock fisico '!I:I, MATCH(B509, 'stock fisico '!B:B, 0))</f>
        <v>#N/A</v>
      </c>
      <c r="E509" s="173" t="e">
        <f t="shared" si="331"/>
        <v>#VALUE!</v>
      </c>
      <c r="F509" t="e">
        <f t="shared" si="291"/>
        <v>#VALUE!</v>
      </c>
      <c r="G509" t="e">
        <f t="shared" si="292"/>
        <v>#VALUE!</v>
      </c>
      <c r="H509" t="e">
        <f t="shared" si="293"/>
        <v>#VALUE!</v>
      </c>
      <c r="I509" t="e">
        <f t="shared" si="294"/>
        <v>#VALUE!</v>
      </c>
      <c r="J509" t="e">
        <f t="shared" si="295"/>
        <v>#VALUE!</v>
      </c>
      <c r="K509" t="e">
        <f t="shared" si="296"/>
        <v>#VALUE!</v>
      </c>
      <c r="L509" s="175" t="e">
        <f t="shared" si="326"/>
        <v>#VALUE!</v>
      </c>
      <c r="M509" t="e">
        <f t="shared" si="297"/>
        <v>#VALUE!</v>
      </c>
      <c r="N509" t="e">
        <f t="shared" si="298"/>
        <v>#VALUE!</v>
      </c>
      <c r="O509" t="e">
        <f t="shared" si="299"/>
        <v>#VALUE!</v>
      </c>
      <c r="P509" t="e">
        <f t="shared" si="300"/>
        <v>#VALUE!</v>
      </c>
      <c r="Q509" t="e">
        <f t="shared" si="301"/>
        <v>#VALUE!</v>
      </c>
      <c r="R509" t="e">
        <f t="shared" si="302"/>
        <v>#VALUE!</v>
      </c>
      <c r="S509" t="e">
        <f t="shared" si="303"/>
        <v>#VALUE!</v>
      </c>
      <c r="T509" s="174" t="e">
        <f t="shared" si="327"/>
        <v>#VALUE!</v>
      </c>
      <c r="U509" t="e">
        <f t="shared" si="304"/>
        <v>#VALUE!</v>
      </c>
      <c r="V509" t="e">
        <f t="shared" si="305"/>
        <v>#VALUE!</v>
      </c>
      <c r="W509" t="e">
        <f t="shared" si="306"/>
        <v>#VALUE!</v>
      </c>
      <c r="X509" t="e">
        <f t="shared" si="307"/>
        <v>#VALUE!</v>
      </c>
      <c r="Y509" t="e">
        <f t="shared" si="308"/>
        <v>#VALUE!</v>
      </c>
      <c r="Z509" t="e">
        <f t="shared" si="309"/>
        <v>#VALUE!</v>
      </c>
      <c r="AA509" t="e">
        <f t="shared" si="310"/>
        <v>#VALUE!</v>
      </c>
      <c r="AB509" s="23" t="e">
        <f t="shared" si="328"/>
        <v>#VALUE!</v>
      </c>
      <c r="AC509" t="e">
        <f t="shared" si="311"/>
        <v>#VALUE!</v>
      </c>
      <c r="AD509" t="e">
        <f t="shared" si="312"/>
        <v>#VALUE!</v>
      </c>
      <c r="AE509" t="e">
        <f t="shared" si="313"/>
        <v>#VALUE!</v>
      </c>
      <c r="AF509" t="e">
        <f t="shared" si="314"/>
        <v>#VALUE!</v>
      </c>
      <c r="AG509" t="e">
        <f t="shared" si="315"/>
        <v>#VALUE!</v>
      </c>
      <c r="AH509" t="e">
        <f t="shared" si="316"/>
        <v>#VALUE!</v>
      </c>
      <c r="AI509" t="e">
        <f t="shared" si="317"/>
        <v>#VALUE!</v>
      </c>
      <c r="AJ509" s="19" t="e">
        <f t="shared" si="329"/>
        <v>#VALUE!</v>
      </c>
      <c r="AK509" t="e">
        <f t="shared" si="318"/>
        <v>#VALUE!</v>
      </c>
      <c r="AL509" t="e">
        <f t="shared" si="319"/>
        <v>#VALUE!</v>
      </c>
      <c r="AM509" t="e">
        <f t="shared" si="320"/>
        <v>#VALUE!</v>
      </c>
      <c r="AN509" t="e">
        <f t="shared" si="321"/>
        <v>#VALUE!</v>
      </c>
      <c r="AO509" t="e">
        <f t="shared" si="322"/>
        <v>#VALUE!</v>
      </c>
      <c r="AP509" t="e">
        <f t="shared" si="323"/>
        <v>#VALUE!</v>
      </c>
      <c r="AQ509" t="e">
        <f t="shared" si="324"/>
        <v>#VALUE!</v>
      </c>
      <c r="AR509" s="123" t="e">
        <f t="shared" si="330"/>
        <v>#VALUE!</v>
      </c>
      <c r="AS509" t="e">
        <f t="shared" si="325"/>
        <v>#VALUE!</v>
      </c>
      <c r="AT509" s="181" t="e">
        <f>INDEX('stock fisico '!N:N, MATCH(B509, 'stock fisico '!B:B, 0))</f>
        <v>#N/A</v>
      </c>
      <c r="AU509" s="179" t="e">
        <f>INDEX('stock fisico '!D:D, MATCH(B509, 'stock fisico '!B:B, 0))</f>
        <v>#N/A</v>
      </c>
      <c r="AV509" s="177" t="e">
        <f>INDEX('stock fisico '!L:L, MATCH(B509, 'stock fisico '!B:B, 0))</f>
        <v>#N/A</v>
      </c>
    </row>
    <row r="510" spans="1:48" x14ac:dyDescent="0.25">
      <c r="A510" s="181" t="e">
        <f>INDEX('stock fisico '!M:M, MATCH(B510, 'stock fisico '!B:B, 0))</f>
        <v>#N/A</v>
      </c>
      <c r="C510" s="179" t="e">
        <f>INDEX('stock fisico '!C:C, MATCH(B510, 'stock fisico '!B:B, 0))</f>
        <v>#N/A</v>
      </c>
      <c r="D510" s="178" t="e">
        <f>INDEX('stock fisico '!I:I, MATCH(B510, 'stock fisico '!B:B, 0))</f>
        <v>#N/A</v>
      </c>
      <c r="E510" s="173" t="e">
        <f t="shared" si="331"/>
        <v>#VALUE!</v>
      </c>
      <c r="F510" t="e">
        <f t="shared" si="291"/>
        <v>#VALUE!</v>
      </c>
      <c r="G510" t="e">
        <f t="shared" si="292"/>
        <v>#VALUE!</v>
      </c>
      <c r="H510" t="e">
        <f t="shared" si="293"/>
        <v>#VALUE!</v>
      </c>
      <c r="I510" t="e">
        <f t="shared" si="294"/>
        <v>#VALUE!</v>
      </c>
      <c r="J510" t="e">
        <f t="shared" si="295"/>
        <v>#VALUE!</v>
      </c>
      <c r="K510" t="e">
        <f t="shared" si="296"/>
        <v>#VALUE!</v>
      </c>
      <c r="L510" s="175" t="e">
        <f t="shared" si="326"/>
        <v>#VALUE!</v>
      </c>
      <c r="M510" t="e">
        <f t="shared" si="297"/>
        <v>#VALUE!</v>
      </c>
      <c r="N510" t="e">
        <f t="shared" si="298"/>
        <v>#VALUE!</v>
      </c>
      <c r="O510" t="e">
        <f t="shared" si="299"/>
        <v>#VALUE!</v>
      </c>
      <c r="P510" t="e">
        <f t="shared" si="300"/>
        <v>#VALUE!</v>
      </c>
      <c r="Q510" t="e">
        <f t="shared" si="301"/>
        <v>#VALUE!</v>
      </c>
      <c r="R510" t="e">
        <f t="shared" si="302"/>
        <v>#VALUE!</v>
      </c>
      <c r="S510" t="e">
        <f t="shared" si="303"/>
        <v>#VALUE!</v>
      </c>
      <c r="T510" s="174" t="e">
        <f t="shared" si="327"/>
        <v>#VALUE!</v>
      </c>
      <c r="U510" t="e">
        <f t="shared" si="304"/>
        <v>#VALUE!</v>
      </c>
      <c r="V510" t="e">
        <f t="shared" si="305"/>
        <v>#VALUE!</v>
      </c>
      <c r="W510" t="e">
        <f t="shared" si="306"/>
        <v>#VALUE!</v>
      </c>
      <c r="X510" t="e">
        <f t="shared" si="307"/>
        <v>#VALUE!</v>
      </c>
      <c r="Y510" t="e">
        <f t="shared" si="308"/>
        <v>#VALUE!</v>
      </c>
      <c r="Z510" t="e">
        <f t="shared" si="309"/>
        <v>#VALUE!</v>
      </c>
      <c r="AA510" t="e">
        <f t="shared" si="310"/>
        <v>#VALUE!</v>
      </c>
      <c r="AB510" s="23" t="e">
        <f t="shared" si="328"/>
        <v>#VALUE!</v>
      </c>
      <c r="AC510" t="e">
        <f t="shared" si="311"/>
        <v>#VALUE!</v>
      </c>
      <c r="AD510" t="e">
        <f t="shared" si="312"/>
        <v>#VALUE!</v>
      </c>
      <c r="AE510" t="e">
        <f t="shared" si="313"/>
        <v>#VALUE!</v>
      </c>
      <c r="AF510" t="e">
        <f t="shared" si="314"/>
        <v>#VALUE!</v>
      </c>
      <c r="AG510" t="e">
        <f t="shared" si="315"/>
        <v>#VALUE!</v>
      </c>
      <c r="AH510" t="e">
        <f t="shared" si="316"/>
        <v>#VALUE!</v>
      </c>
      <c r="AI510" t="e">
        <f t="shared" si="317"/>
        <v>#VALUE!</v>
      </c>
      <c r="AJ510" s="19" t="e">
        <f t="shared" si="329"/>
        <v>#VALUE!</v>
      </c>
      <c r="AK510" t="e">
        <f t="shared" si="318"/>
        <v>#VALUE!</v>
      </c>
      <c r="AL510" t="e">
        <f t="shared" si="319"/>
        <v>#VALUE!</v>
      </c>
      <c r="AM510" t="e">
        <f t="shared" si="320"/>
        <v>#VALUE!</v>
      </c>
      <c r="AN510" t="e">
        <f t="shared" si="321"/>
        <v>#VALUE!</v>
      </c>
      <c r="AO510" t="e">
        <f t="shared" si="322"/>
        <v>#VALUE!</v>
      </c>
      <c r="AP510" t="e">
        <f t="shared" si="323"/>
        <v>#VALUE!</v>
      </c>
      <c r="AQ510" t="e">
        <f t="shared" si="324"/>
        <v>#VALUE!</v>
      </c>
      <c r="AR510" s="123" t="e">
        <f t="shared" si="330"/>
        <v>#VALUE!</v>
      </c>
      <c r="AS510" t="e">
        <f t="shared" si="325"/>
        <v>#VALUE!</v>
      </c>
      <c r="AT510" s="181" t="e">
        <f>INDEX('stock fisico '!N:N, MATCH(B510, 'stock fisico '!B:B, 0))</f>
        <v>#N/A</v>
      </c>
      <c r="AU510" s="179" t="e">
        <f>INDEX('stock fisico '!D:D, MATCH(B510, 'stock fisico '!B:B, 0))</f>
        <v>#N/A</v>
      </c>
      <c r="AV510" s="177" t="e">
        <f>INDEX('stock fisico '!L:L, MATCH(B510, 'stock fisico '!B:B, 0))</f>
        <v>#N/A</v>
      </c>
    </row>
    <row r="511" spans="1:48" x14ac:dyDescent="0.25">
      <c r="A511" s="181" t="e">
        <f>INDEX('stock fisico '!M:M, MATCH(B511, 'stock fisico '!B:B, 0))</f>
        <v>#N/A</v>
      </c>
      <c r="C511" s="179" t="e">
        <f>INDEX('stock fisico '!C:C, MATCH(B511, 'stock fisico '!B:B, 0))</f>
        <v>#N/A</v>
      </c>
      <c r="D511" s="178" t="e">
        <f>INDEX('stock fisico '!I:I, MATCH(B511, 'stock fisico '!B:B, 0))</f>
        <v>#N/A</v>
      </c>
      <c r="E511" s="173" t="e">
        <f t="shared" si="331"/>
        <v>#VALUE!</v>
      </c>
      <c r="F511" t="e">
        <f t="shared" si="291"/>
        <v>#VALUE!</v>
      </c>
      <c r="G511" t="e">
        <f t="shared" si="292"/>
        <v>#VALUE!</v>
      </c>
      <c r="H511" t="e">
        <f t="shared" si="293"/>
        <v>#VALUE!</v>
      </c>
      <c r="I511" t="e">
        <f t="shared" si="294"/>
        <v>#VALUE!</v>
      </c>
      <c r="J511" t="e">
        <f t="shared" si="295"/>
        <v>#VALUE!</v>
      </c>
      <c r="K511" t="e">
        <f t="shared" si="296"/>
        <v>#VALUE!</v>
      </c>
      <c r="L511" s="175" t="e">
        <f t="shared" si="326"/>
        <v>#VALUE!</v>
      </c>
      <c r="M511" t="e">
        <f t="shared" si="297"/>
        <v>#VALUE!</v>
      </c>
      <c r="N511" t="e">
        <f t="shared" si="298"/>
        <v>#VALUE!</v>
      </c>
      <c r="O511" t="e">
        <f t="shared" si="299"/>
        <v>#VALUE!</v>
      </c>
      <c r="P511" t="e">
        <f t="shared" si="300"/>
        <v>#VALUE!</v>
      </c>
      <c r="Q511" t="e">
        <f t="shared" si="301"/>
        <v>#VALUE!</v>
      </c>
      <c r="R511" t="e">
        <f t="shared" si="302"/>
        <v>#VALUE!</v>
      </c>
      <c r="S511" t="e">
        <f t="shared" si="303"/>
        <v>#VALUE!</v>
      </c>
      <c r="T511" s="174" t="e">
        <f t="shared" si="327"/>
        <v>#VALUE!</v>
      </c>
      <c r="U511" t="e">
        <f t="shared" si="304"/>
        <v>#VALUE!</v>
      </c>
      <c r="V511" t="e">
        <f t="shared" si="305"/>
        <v>#VALUE!</v>
      </c>
      <c r="W511" t="e">
        <f t="shared" si="306"/>
        <v>#VALUE!</v>
      </c>
      <c r="X511" t="e">
        <f t="shared" si="307"/>
        <v>#VALUE!</v>
      </c>
      <c r="Y511" t="e">
        <f t="shared" si="308"/>
        <v>#VALUE!</v>
      </c>
      <c r="Z511" t="e">
        <f t="shared" si="309"/>
        <v>#VALUE!</v>
      </c>
      <c r="AA511" t="e">
        <f t="shared" si="310"/>
        <v>#VALUE!</v>
      </c>
      <c r="AB511" s="23" t="e">
        <f t="shared" si="328"/>
        <v>#VALUE!</v>
      </c>
      <c r="AC511" t="e">
        <f t="shared" si="311"/>
        <v>#VALUE!</v>
      </c>
      <c r="AD511" t="e">
        <f t="shared" si="312"/>
        <v>#VALUE!</v>
      </c>
      <c r="AE511" t="e">
        <f t="shared" si="313"/>
        <v>#VALUE!</v>
      </c>
      <c r="AF511" t="e">
        <f t="shared" si="314"/>
        <v>#VALUE!</v>
      </c>
      <c r="AG511" t="e">
        <f t="shared" si="315"/>
        <v>#VALUE!</v>
      </c>
      <c r="AH511" t="e">
        <f t="shared" si="316"/>
        <v>#VALUE!</v>
      </c>
      <c r="AI511" t="e">
        <f t="shared" si="317"/>
        <v>#VALUE!</v>
      </c>
      <c r="AJ511" s="19" t="e">
        <f t="shared" si="329"/>
        <v>#VALUE!</v>
      </c>
      <c r="AK511" t="e">
        <f t="shared" si="318"/>
        <v>#VALUE!</v>
      </c>
      <c r="AL511" t="e">
        <f t="shared" si="319"/>
        <v>#VALUE!</v>
      </c>
      <c r="AM511" t="e">
        <f t="shared" si="320"/>
        <v>#VALUE!</v>
      </c>
      <c r="AN511" t="e">
        <f t="shared" si="321"/>
        <v>#VALUE!</v>
      </c>
      <c r="AO511" t="e">
        <f t="shared" si="322"/>
        <v>#VALUE!</v>
      </c>
      <c r="AP511" t="e">
        <f t="shared" si="323"/>
        <v>#VALUE!</v>
      </c>
      <c r="AQ511" t="e">
        <f t="shared" si="324"/>
        <v>#VALUE!</v>
      </c>
      <c r="AR511" s="123" t="e">
        <f t="shared" si="330"/>
        <v>#VALUE!</v>
      </c>
      <c r="AS511" t="e">
        <f t="shared" si="325"/>
        <v>#VALUE!</v>
      </c>
      <c r="AT511" s="181" t="e">
        <f>INDEX('stock fisico '!N:N, MATCH(B511, 'stock fisico '!B:B, 0))</f>
        <v>#N/A</v>
      </c>
      <c r="AU511" s="179" t="e">
        <f>INDEX('stock fisico '!D:D, MATCH(B511, 'stock fisico '!B:B, 0))</f>
        <v>#N/A</v>
      </c>
      <c r="AV511" s="177" t="e">
        <f>INDEX('stock fisico '!L:L, MATCH(B511, 'stock fisico '!B:B, 0))</f>
        <v>#N/A</v>
      </c>
    </row>
    <row r="512" spans="1:48" x14ac:dyDescent="0.25">
      <c r="A512" s="181" t="e">
        <f>INDEX('stock fisico '!M:M, MATCH(B512, 'stock fisico '!B:B, 0))</f>
        <v>#N/A</v>
      </c>
      <c r="C512" s="179" t="e">
        <f>INDEX('stock fisico '!C:C, MATCH(B512, 'stock fisico '!B:B, 0))</f>
        <v>#N/A</v>
      </c>
      <c r="D512" s="178" t="e">
        <f>INDEX('stock fisico '!I:I, MATCH(B512, 'stock fisico '!B:B, 0))</f>
        <v>#N/A</v>
      </c>
      <c r="E512" s="173" t="e">
        <f t="shared" si="331"/>
        <v>#VALUE!</v>
      </c>
      <c r="F512" t="e">
        <f t="shared" si="291"/>
        <v>#VALUE!</v>
      </c>
      <c r="G512" t="e">
        <f t="shared" si="292"/>
        <v>#VALUE!</v>
      </c>
      <c r="H512" t="e">
        <f t="shared" si="293"/>
        <v>#VALUE!</v>
      </c>
      <c r="I512" t="e">
        <f t="shared" si="294"/>
        <v>#VALUE!</v>
      </c>
      <c r="J512" t="e">
        <f t="shared" si="295"/>
        <v>#VALUE!</v>
      </c>
      <c r="K512" t="e">
        <f t="shared" si="296"/>
        <v>#VALUE!</v>
      </c>
      <c r="L512" s="175" t="e">
        <f t="shared" si="326"/>
        <v>#VALUE!</v>
      </c>
      <c r="M512" t="e">
        <f t="shared" si="297"/>
        <v>#VALUE!</v>
      </c>
      <c r="N512" t="e">
        <f t="shared" si="298"/>
        <v>#VALUE!</v>
      </c>
      <c r="O512" t="e">
        <f t="shared" si="299"/>
        <v>#VALUE!</v>
      </c>
      <c r="P512" t="e">
        <f t="shared" si="300"/>
        <v>#VALUE!</v>
      </c>
      <c r="Q512" t="e">
        <f t="shared" si="301"/>
        <v>#VALUE!</v>
      </c>
      <c r="R512" t="e">
        <f t="shared" si="302"/>
        <v>#VALUE!</v>
      </c>
      <c r="S512" t="e">
        <f t="shared" si="303"/>
        <v>#VALUE!</v>
      </c>
      <c r="T512" s="174" t="e">
        <f t="shared" si="327"/>
        <v>#VALUE!</v>
      </c>
      <c r="U512" t="e">
        <f t="shared" si="304"/>
        <v>#VALUE!</v>
      </c>
      <c r="V512" t="e">
        <f t="shared" si="305"/>
        <v>#VALUE!</v>
      </c>
      <c r="W512" t="e">
        <f t="shared" si="306"/>
        <v>#VALUE!</v>
      </c>
      <c r="X512" t="e">
        <f t="shared" si="307"/>
        <v>#VALUE!</v>
      </c>
      <c r="Y512" t="e">
        <f t="shared" si="308"/>
        <v>#VALUE!</v>
      </c>
      <c r="Z512" t="e">
        <f t="shared" si="309"/>
        <v>#VALUE!</v>
      </c>
      <c r="AA512" t="e">
        <f t="shared" si="310"/>
        <v>#VALUE!</v>
      </c>
      <c r="AB512" s="23" t="e">
        <f t="shared" si="328"/>
        <v>#VALUE!</v>
      </c>
      <c r="AC512" t="e">
        <f t="shared" si="311"/>
        <v>#VALUE!</v>
      </c>
      <c r="AD512" t="e">
        <f t="shared" si="312"/>
        <v>#VALUE!</v>
      </c>
      <c r="AE512" t="e">
        <f t="shared" si="313"/>
        <v>#VALUE!</v>
      </c>
      <c r="AF512" t="e">
        <f t="shared" si="314"/>
        <v>#VALUE!</v>
      </c>
      <c r="AG512" t="e">
        <f t="shared" si="315"/>
        <v>#VALUE!</v>
      </c>
      <c r="AH512" t="e">
        <f t="shared" si="316"/>
        <v>#VALUE!</v>
      </c>
      <c r="AI512" t="e">
        <f t="shared" si="317"/>
        <v>#VALUE!</v>
      </c>
      <c r="AJ512" s="19" t="e">
        <f t="shared" si="329"/>
        <v>#VALUE!</v>
      </c>
      <c r="AK512" t="e">
        <f t="shared" si="318"/>
        <v>#VALUE!</v>
      </c>
      <c r="AL512" t="e">
        <f t="shared" si="319"/>
        <v>#VALUE!</v>
      </c>
      <c r="AM512" t="e">
        <f t="shared" si="320"/>
        <v>#VALUE!</v>
      </c>
      <c r="AN512" t="e">
        <f t="shared" si="321"/>
        <v>#VALUE!</v>
      </c>
      <c r="AO512" t="e">
        <f t="shared" si="322"/>
        <v>#VALUE!</v>
      </c>
      <c r="AP512" t="e">
        <f t="shared" si="323"/>
        <v>#VALUE!</v>
      </c>
      <c r="AQ512" t="e">
        <f t="shared" si="324"/>
        <v>#VALUE!</v>
      </c>
      <c r="AR512" s="123" t="e">
        <f t="shared" si="330"/>
        <v>#VALUE!</v>
      </c>
      <c r="AS512" t="e">
        <f t="shared" si="325"/>
        <v>#VALUE!</v>
      </c>
      <c r="AT512" s="181" t="e">
        <f>INDEX('stock fisico '!N:N, MATCH(B512, 'stock fisico '!B:B, 0))</f>
        <v>#N/A</v>
      </c>
      <c r="AU512" s="179" t="e">
        <f>INDEX('stock fisico '!D:D, MATCH(B512, 'stock fisico '!B:B, 0))</f>
        <v>#N/A</v>
      </c>
      <c r="AV512" s="177" t="e">
        <f>INDEX('stock fisico '!L:L, MATCH(B512, 'stock fisico '!B:B, 0))</f>
        <v>#N/A</v>
      </c>
    </row>
    <row r="513" spans="1:48" x14ac:dyDescent="0.25">
      <c r="A513" s="181" t="e">
        <f>INDEX('stock fisico '!M:M, MATCH(B513, 'stock fisico '!B:B, 0))</f>
        <v>#N/A</v>
      </c>
      <c r="C513" s="179" t="e">
        <f>INDEX('stock fisico '!C:C, MATCH(B513, 'stock fisico '!B:B, 0))</f>
        <v>#N/A</v>
      </c>
      <c r="D513" s="178" t="e">
        <f>INDEX('stock fisico '!I:I, MATCH(B513, 'stock fisico '!B:B, 0))</f>
        <v>#N/A</v>
      </c>
      <c r="E513" s="173" t="e">
        <f t="shared" si="331"/>
        <v>#VALUE!</v>
      </c>
      <c r="F513" t="e">
        <f t="shared" si="291"/>
        <v>#VALUE!</v>
      </c>
      <c r="G513" t="e">
        <f t="shared" si="292"/>
        <v>#VALUE!</v>
      </c>
      <c r="H513" t="e">
        <f t="shared" si="293"/>
        <v>#VALUE!</v>
      </c>
      <c r="I513" t="e">
        <f t="shared" si="294"/>
        <v>#VALUE!</v>
      </c>
      <c r="J513" t="e">
        <f t="shared" si="295"/>
        <v>#VALUE!</v>
      </c>
      <c r="K513" t="e">
        <f t="shared" si="296"/>
        <v>#VALUE!</v>
      </c>
      <c r="L513" s="175" t="e">
        <f t="shared" si="326"/>
        <v>#VALUE!</v>
      </c>
      <c r="M513" t="e">
        <f t="shared" si="297"/>
        <v>#VALUE!</v>
      </c>
      <c r="N513" t="e">
        <f t="shared" si="298"/>
        <v>#VALUE!</v>
      </c>
      <c r="O513" t="e">
        <f t="shared" si="299"/>
        <v>#VALUE!</v>
      </c>
      <c r="P513" t="e">
        <f t="shared" si="300"/>
        <v>#VALUE!</v>
      </c>
      <c r="Q513" t="e">
        <f t="shared" si="301"/>
        <v>#VALUE!</v>
      </c>
      <c r="R513" t="e">
        <f t="shared" si="302"/>
        <v>#VALUE!</v>
      </c>
      <c r="S513" t="e">
        <f t="shared" si="303"/>
        <v>#VALUE!</v>
      </c>
      <c r="T513" s="174" t="e">
        <f t="shared" si="327"/>
        <v>#VALUE!</v>
      </c>
      <c r="U513" t="e">
        <f t="shared" si="304"/>
        <v>#VALUE!</v>
      </c>
      <c r="V513" t="e">
        <f t="shared" si="305"/>
        <v>#VALUE!</v>
      </c>
      <c r="W513" t="e">
        <f t="shared" si="306"/>
        <v>#VALUE!</v>
      </c>
      <c r="X513" t="e">
        <f t="shared" si="307"/>
        <v>#VALUE!</v>
      </c>
      <c r="Y513" t="e">
        <f t="shared" si="308"/>
        <v>#VALUE!</v>
      </c>
      <c r="Z513" t="e">
        <f t="shared" si="309"/>
        <v>#VALUE!</v>
      </c>
      <c r="AA513" t="e">
        <f t="shared" si="310"/>
        <v>#VALUE!</v>
      </c>
      <c r="AB513" s="23" t="e">
        <f t="shared" si="328"/>
        <v>#VALUE!</v>
      </c>
      <c r="AC513" t="e">
        <f t="shared" si="311"/>
        <v>#VALUE!</v>
      </c>
      <c r="AD513" t="e">
        <f t="shared" si="312"/>
        <v>#VALUE!</v>
      </c>
      <c r="AE513" t="e">
        <f t="shared" si="313"/>
        <v>#VALUE!</v>
      </c>
      <c r="AF513" t="e">
        <f t="shared" si="314"/>
        <v>#VALUE!</v>
      </c>
      <c r="AG513" t="e">
        <f t="shared" si="315"/>
        <v>#VALUE!</v>
      </c>
      <c r="AH513" t="e">
        <f t="shared" si="316"/>
        <v>#VALUE!</v>
      </c>
      <c r="AI513" t="e">
        <f t="shared" si="317"/>
        <v>#VALUE!</v>
      </c>
      <c r="AJ513" s="19" t="e">
        <f t="shared" si="329"/>
        <v>#VALUE!</v>
      </c>
      <c r="AK513" t="e">
        <f t="shared" si="318"/>
        <v>#VALUE!</v>
      </c>
      <c r="AL513" t="e">
        <f t="shared" si="319"/>
        <v>#VALUE!</v>
      </c>
      <c r="AM513" t="e">
        <f t="shared" si="320"/>
        <v>#VALUE!</v>
      </c>
      <c r="AN513" t="e">
        <f t="shared" si="321"/>
        <v>#VALUE!</v>
      </c>
      <c r="AO513" t="e">
        <f t="shared" si="322"/>
        <v>#VALUE!</v>
      </c>
      <c r="AP513" t="e">
        <f t="shared" si="323"/>
        <v>#VALUE!</v>
      </c>
      <c r="AQ513" t="e">
        <f t="shared" si="324"/>
        <v>#VALUE!</v>
      </c>
      <c r="AR513" s="123" t="e">
        <f t="shared" si="330"/>
        <v>#VALUE!</v>
      </c>
      <c r="AS513" t="e">
        <f t="shared" si="325"/>
        <v>#VALUE!</v>
      </c>
      <c r="AT513" s="181" t="e">
        <f>INDEX('stock fisico '!N:N, MATCH(B513, 'stock fisico '!B:B, 0))</f>
        <v>#N/A</v>
      </c>
      <c r="AU513" s="179" t="e">
        <f>INDEX('stock fisico '!D:D, MATCH(B513, 'stock fisico '!B:B, 0))</f>
        <v>#N/A</v>
      </c>
      <c r="AV513" s="177" t="e">
        <f>INDEX('stock fisico '!L:L, MATCH(B513, 'stock fisico '!B:B, 0))</f>
        <v>#N/A</v>
      </c>
    </row>
    <row r="514" spans="1:48" x14ac:dyDescent="0.25">
      <c r="A514" s="181" t="e">
        <f>INDEX('stock fisico '!M:M, MATCH(B514, 'stock fisico '!B:B, 0))</f>
        <v>#N/A</v>
      </c>
      <c r="C514" s="179" t="e">
        <f>INDEX('stock fisico '!C:C, MATCH(B514, 'stock fisico '!B:B, 0))</f>
        <v>#N/A</v>
      </c>
      <c r="D514" s="178" t="e">
        <f>INDEX('stock fisico '!I:I, MATCH(B514, 'stock fisico '!B:B, 0))</f>
        <v>#N/A</v>
      </c>
      <c r="E514" s="173" t="e">
        <f t="shared" si="331"/>
        <v>#VALUE!</v>
      </c>
      <c r="F514" t="e">
        <f t="shared" si="291"/>
        <v>#VALUE!</v>
      </c>
      <c r="G514" t="e">
        <f t="shared" si="292"/>
        <v>#VALUE!</v>
      </c>
      <c r="H514" t="e">
        <f t="shared" si="293"/>
        <v>#VALUE!</v>
      </c>
      <c r="I514" t="e">
        <f t="shared" si="294"/>
        <v>#VALUE!</v>
      </c>
      <c r="J514" t="e">
        <f t="shared" si="295"/>
        <v>#VALUE!</v>
      </c>
      <c r="K514" t="e">
        <f t="shared" si="296"/>
        <v>#VALUE!</v>
      </c>
      <c r="L514" s="175" t="e">
        <f t="shared" si="326"/>
        <v>#VALUE!</v>
      </c>
      <c r="M514" t="e">
        <f t="shared" si="297"/>
        <v>#VALUE!</v>
      </c>
      <c r="N514" t="e">
        <f t="shared" si="298"/>
        <v>#VALUE!</v>
      </c>
      <c r="O514" t="e">
        <f t="shared" si="299"/>
        <v>#VALUE!</v>
      </c>
      <c r="P514" t="e">
        <f t="shared" si="300"/>
        <v>#VALUE!</v>
      </c>
      <c r="Q514" t="e">
        <f t="shared" si="301"/>
        <v>#VALUE!</v>
      </c>
      <c r="R514" t="e">
        <f t="shared" si="302"/>
        <v>#VALUE!</v>
      </c>
      <c r="S514" t="e">
        <f t="shared" si="303"/>
        <v>#VALUE!</v>
      </c>
      <c r="T514" s="174" t="e">
        <f t="shared" si="327"/>
        <v>#VALUE!</v>
      </c>
      <c r="U514" t="e">
        <f t="shared" si="304"/>
        <v>#VALUE!</v>
      </c>
      <c r="V514" t="e">
        <f t="shared" si="305"/>
        <v>#VALUE!</v>
      </c>
      <c r="W514" t="e">
        <f t="shared" si="306"/>
        <v>#VALUE!</v>
      </c>
      <c r="X514" t="e">
        <f t="shared" si="307"/>
        <v>#VALUE!</v>
      </c>
      <c r="Y514" t="e">
        <f t="shared" si="308"/>
        <v>#VALUE!</v>
      </c>
      <c r="Z514" t="e">
        <f t="shared" si="309"/>
        <v>#VALUE!</v>
      </c>
      <c r="AA514" t="e">
        <f t="shared" si="310"/>
        <v>#VALUE!</v>
      </c>
      <c r="AB514" s="23" t="e">
        <f t="shared" si="328"/>
        <v>#VALUE!</v>
      </c>
      <c r="AC514" t="e">
        <f t="shared" si="311"/>
        <v>#VALUE!</v>
      </c>
      <c r="AD514" t="e">
        <f t="shared" si="312"/>
        <v>#VALUE!</v>
      </c>
      <c r="AE514" t="e">
        <f t="shared" si="313"/>
        <v>#VALUE!</v>
      </c>
      <c r="AF514" t="e">
        <f t="shared" si="314"/>
        <v>#VALUE!</v>
      </c>
      <c r="AG514" t="e">
        <f t="shared" si="315"/>
        <v>#VALUE!</v>
      </c>
      <c r="AH514" t="e">
        <f t="shared" si="316"/>
        <v>#VALUE!</v>
      </c>
      <c r="AI514" t="e">
        <f t="shared" si="317"/>
        <v>#VALUE!</v>
      </c>
      <c r="AJ514" s="19" t="e">
        <f t="shared" si="329"/>
        <v>#VALUE!</v>
      </c>
      <c r="AK514" t="e">
        <f t="shared" si="318"/>
        <v>#VALUE!</v>
      </c>
      <c r="AL514" t="e">
        <f t="shared" si="319"/>
        <v>#VALUE!</v>
      </c>
      <c r="AM514" t="e">
        <f t="shared" si="320"/>
        <v>#VALUE!</v>
      </c>
      <c r="AN514" t="e">
        <f t="shared" si="321"/>
        <v>#VALUE!</v>
      </c>
      <c r="AO514" t="e">
        <f t="shared" si="322"/>
        <v>#VALUE!</v>
      </c>
      <c r="AP514" t="e">
        <f t="shared" si="323"/>
        <v>#VALUE!</v>
      </c>
      <c r="AQ514" t="e">
        <f t="shared" si="324"/>
        <v>#VALUE!</v>
      </c>
      <c r="AR514" s="123" t="e">
        <f t="shared" si="330"/>
        <v>#VALUE!</v>
      </c>
      <c r="AS514" t="e">
        <f t="shared" si="325"/>
        <v>#VALUE!</v>
      </c>
      <c r="AT514" s="181" t="e">
        <f>INDEX('stock fisico '!N:N, MATCH(B514, 'stock fisico '!B:B, 0))</f>
        <v>#N/A</v>
      </c>
      <c r="AU514" s="179" t="e">
        <f>INDEX('stock fisico '!D:D, MATCH(B514, 'stock fisico '!B:B, 0))</f>
        <v>#N/A</v>
      </c>
      <c r="AV514" s="177" t="e">
        <f>INDEX('stock fisico '!L:L, MATCH(B514, 'stock fisico '!B:B, 0))</f>
        <v>#N/A</v>
      </c>
    </row>
    <row r="515" spans="1:48" x14ac:dyDescent="0.25">
      <c r="A515" s="181" t="e">
        <f>INDEX('stock fisico '!M:M, MATCH(B515, 'stock fisico '!B:B, 0))</f>
        <v>#N/A</v>
      </c>
      <c r="C515" s="179" t="e">
        <f>INDEX('stock fisico '!C:C, MATCH(B515, 'stock fisico '!B:B, 0))</f>
        <v>#N/A</v>
      </c>
      <c r="D515" s="178" t="e">
        <f>INDEX('stock fisico '!I:I, MATCH(B515, 'stock fisico '!B:B, 0))</f>
        <v>#N/A</v>
      </c>
      <c r="E515" s="173" t="e">
        <f t="shared" si="331"/>
        <v>#VALUE!</v>
      </c>
      <c r="F515" t="e">
        <f t="shared" si="291"/>
        <v>#VALUE!</v>
      </c>
      <c r="G515" t="e">
        <f t="shared" si="292"/>
        <v>#VALUE!</v>
      </c>
      <c r="H515" t="e">
        <f t="shared" si="293"/>
        <v>#VALUE!</v>
      </c>
      <c r="I515" t="e">
        <f t="shared" si="294"/>
        <v>#VALUE!</v>
      </c>
      <c r="J515" t="e">
        <f t="shared" si="295"/>
        <v>#VALUE!</v>
      </c>
      <c r="K515" t="e">
        <f t="shared" si="296"/>
        <v>#VALUE!</v>
      </c>
      <c r="L515" s="175" t="e">
        <f t="shared" si="326"/>
        <v>#VALUE!</v>
      </c>
      <c r="M515" t="e">
        <f t="shared" si="297"/>
        <v>#VALUE!</v>
      </c>
      <c r="N515" t="e">
        <f t="shared" si="298"/>
        <v>#VALUE!</v>
      </c>
      <c r="O515" t="e">
        <f t="shared" si="299"/>
        <v>#VALUE!</v>
      </c>
      <c r="P515" t="e">
        <f t="shared" si="300"/>
        <v>#VALUE!</v>
      </c>
      <c r="Q515" t="e">
        <f t="shared" si="301"/>
        <v>#VALUE!</v>
      </c>
      <c r="R515" t="e">
        <f t="shared" si="302"/>
        <v>#VALUE!</v>
      </c>
      <c r="S515" t="e">
        <f t="shared" si="303"/>
        <v>#VALUE!</v>
      </c>
      <c r="T515" s="174" t="e">
        <f t="shared" si="327"/>
        <v>#VALUE!</v>
      </c>
      <c r="U515" t="e">
        <f t="shared" si="304"/>
        <v>#VALUE!</v>
      </c>
      <c r="V515" t="e">
        <f t="shared" si="305"/>
        <v>#VALUE!</v>
      </c>
      <c r="W515" t="e">
        <f t="shared" si="306"/>
        <v>#VALUE!</v>
      </c>
      <c r="X515" t="e">
        <f t="shared" si="307"/>
        <v>#VALUE!</v>
      </c>
      <c r="Y515" t="e">
        <f t="shared" si="308"/>
        <v>#VALUE!</v>
      </c>
      <c r="Z515" t="e">
        <f t="shared" si="309"/>
        <v>#VALUE!</v>
      </c>
      <c r="AA515" t="e">
        <f t="shared" si="310"/>
        <v>#VALUE!</v>
      </c>
      <c r="AB515" s="23" t="e">
        <f t="shared" si="328"/>
        <v>#VALUE!</v>
      </c>
      <c r="AC515" t="e">
        <f t="shared" si="311"/>
        <v>#VALUE!</v>
      </c>
      <c r="AD515" t="e">
        <f t="shared" si="312"/>
        <v>#VALUE!</v>
      </c>
      <c r="AE515" t="e">
        <f t="shared" si="313"/>
        <v>#VALUE!</v>
      </c>
      <c r="AF515" t="e">
        <f t="shared" si="314"/>
        <v>#VALUE!</v>
      </c>
      <c r="AG515" t="e">
        <f t="shared" si="315"/>
        <v>#VALUE!</v>
      </c>
      <c r="AH515" t="e">
        <f t="shared" si="316"/>
        <v>#VALUE!</v>
      </c>
      <c r="AI515" t="e">
        <f t="shared" si="317"/>
        <v>#VALUE!</v>
      </c>
      <c r="AJ515" s="19" t="e">
        <f t="shared" si="329"/>
        <v>#VALUE!</v>
      </c>
      <c r="AK515" t="e">
        <f t="shared" si="318"/>
        <v>#VALUE!</v>
      </c>
      <c r="AL515" t="e">
        <f t="shared" si="319"/>
        <v>#VALUE!</v>
      </c>
      <c r="AM515" t="e">
        <f t="shared" si="320"/>
        <v>#VALUE!</v>
      </c>
      <c r="AN515" t="e">
        <f t="shared" si="321"/>
        <v>#VALUE!</v>
      </c>
      <c r="AO515" t="e">
        <f t="shared" si="322"/>
        <v>#VALUE!</v>
      </c>
      <c r="AP515" t="e">
        <f t="shared" si="323"/>
        <v>#VALUE!</v>
      </c>
      <c r="AQ515" t="e">
        <f t="shared" si="324"/>
        <v>#VALUE!</v>
      </c>
      <c r="AR515" s="123" t="e">
        <f t="shared" si="330"/>
        <v>#VALUE!</v>
      </c>
      <c r="AS515" t="e">
        <f t="shared" si="325"/>
        <v>#VALUE!</v>
      </c>
      <c r="AT515" s="181" t="e">
        <f>INDEX('stock fisico '!N:N, MATCH(B515, 'stock fisico '!B:B, 0))</f>
        <v>#N/A</v>
      </c>
      <c r="AU515" s="179" t="e">
        <f>INDEX('stock fisico '!D:D, MATCH(B515, 'stock fisico '!B:B, 0))</f>
        <v>#N/A</v>
      </c>
      <c r="AV515" s="177" t="e">
        <f>INDEX('stock fisico '!L:L, MATCH(B515, 'stock fisico '!B:B, 0))</f>
        <v>#N/A</v>
      </c>
    </row>
    <row r="516" spans="1:48" x14ac:dyDescent="0.25">
      <c r="A516" s="181" t="e">
        <f>INDEX('stock fisico '!M:M, MATCH(B516, 'stock fisico '!B:B, 0))</f>
        <v>#N/A</v>
      </c>
      <c r="C516" s="179" t="e">
        <f>INDEX('stock fisico '!C:C, MATCH(B516, 'stock fisico '!B:B, 0))</f>
        <v>#N/A</v>
      </c>
      <c r="D516" s="178" t="e">
        <f>INDEX('stock fisico '!I:I, MATCH(B516, 'stock fisico '!B:B, 0))</f>
        <v>#N/A</v>
      </c>
      <c r="E516" s="173" t="e">
        <f t="shared" si="331"/>
        <v>#VALUE!</v>
      </c>
      <c r="F516" t="e">
        <f t="shared" si="291"/>
        <v>#VALUE!</v>
      </c>
      <c r="G516" t="e">
        <f t="shared" si="292"/>
        <v>#VALUE!</v>
      </c>
      <c r="H516" t="e">
        <f t="shared" si="293"/>
        <v>#VALUE!</v>
      </c>
      <c r="I516" t="e">
        <f t="shared" si="294"/>
        <v>#VALUE!</v>
      </c>
      <c r="J516" t="e">
        <f t="shared" si="295"/>
        <v>#VALUE!</v>
      </c>
      <c r="K516" t="e">
        <f t="shared" si="296"/>
        <v>#VALUE!</v>
      </c>
      <c r="L516" s="175" t="e">
        <f t="shared" si="326"/>
        <v>#VALUE!</v>
      </c>
      <c r="M516" t="e">
        <f t="shared" si="297"/>
        <v>#VALUE!</v>
      </c>
      <c r="N516" t="e">
        <f t="shared" si="298"/>
        <v>#VALUE!</v>
      </c>
      <c r="O516" t="e">
        <f t="shared" si="299"/>
        <v>#VALUE!</v>
      </c>
      <c r="P516" t="e">
        <f t="shared" si="300"/>
        <v>#VALUE!</v>
      </c>
      <c r="Q516" t="e">
        <f t="shared" si="301"/>
        <v>#VALUE!</v>
      </c>
      <c r="R516" t="e">
        <f t="shared" si="302"/>
        <v>#VALUE!</v>
      </c>
      <c r="S516" t="e">
        <f t="shared" si="303"/>
        <v>#VALUE!</v>
      </c>
      <c r="T516" s="174" t="e">
        <f t="shared" si="327"/>
        <v>#VALUE!</v>
      </c>
      <c r="U516" t="e">
        <f t="shared" si="304"/>
        <v>#VALUE!</v>
      </c>
      <c r="V516" t="e">
        <f t="shared" si="305"/>
        <v>#VALUE!</v>
      </c>
      <c r="W516" t="e">
        <f t="shared" si="306"/>
        <v>#VALUE!</v>
      </c>
      <c r="X516" t="e">
        <f t="shared" si="307"/>
        <v>#VALUE!</v>
      </c>
      <c r="Y516" t="e">
        <f t="shared" si="308"/>
        <v>#VALUE!</v>
      </c>
      <c r="Z516" t="e">
        <f t="shared" si="309"/>
        <v>#VALUE!</v>
      </c>
      <c r="AA516" t="e">
        <f t="shared" si="310"/>
        <v>#VALUE!</v>
      </c>
      <c r="AB516" s="23" t="e">
        <f t="shared" si="328"/>
        <v>#VALUE!</v>
      </c>
      <c r="AC516" t="e">
        <f t="shared" si="311"/>
        <v>#VALUE!</v>
      </c>
      <c r="AD516" t="e">
        <f t="shared" si="312"/>
        <v>#VALUE!</v>
      </c>
      <c r="AE516" t="e">
        <f t="shared" si="313"/>
        <v>#VALUE!</v>
      </c>
      <c r="AF516" t="e">
        <f t="shared" si="314"/>
        <v>#VALUE!</v>
      </c>
      <c r="AG516" t="e">
        <f t="shared" si="315"/>
        <v>#VALUE!</v>
      </c>
      <c r="AH516" t="e">
        <f t="shared" si="316"/>
        <v>#VALUE!</v>
      </c>
      <c r="AI516" t="e">
        <f t="shared" si="317"/>
        <v>#VALUE!</v>
      </c>
      <c r="AJ516" s="19" t="e">
        <f t="shared" si="329"/>
        <v>#VALUE!</v>
      </c>
      <c r="AK516" t="e">
        <f t="shared" si="318"/>
        <v>#VALUE!</v>
      </c>
      <c r="AL516" t="e">
        <f t="shared" si="319"/>
        <v>#VALUE!</v>
      </c>
      <c r="AM516" t="e">
        <f t="shared" si="320"/>
        <v>#VALUE!</v>
      </c>
      <c r="AN516" t="e">
        <f t="shared" si="321"/>
        <v>#VALUE!</v>
      </c>
      <c r="AO516" t="e">
        <f t="shared" si="322"/>
        <v>#VALUE!</v>
      </c>
      <c r="AP516" t="e">
        <f t="shared" si="323"/>
        <v>#VALUE!</v>
      </c>
      <c r="AQ516" t="e">
        <f t="shared" si="324"/>
        <v>#VALUE!</v>
      </c>
      <c r="AR516" s="123" t="e">
        <f t="shared" si="330"/>
        <v>#VALUE!</v>
      </c>
      <c r="AS516" t="e">
        <f t="shared" si="325"/>
        <v>#VALUE!</v>
      </c>
      <c r="AT516" s="181" t="e">
        <f>INDEX('stock fisico '!N:N, MATCH(B516, 'stock fisico '!B:B, 0))</f>
        <v>#N/A</v>
      </c>
      <c r="AU516" s="179" t="e">
        <f>INDEX('stock fisico '!D:D, MATCH(B516, 'stock fisico '!B:B, 0))</f>
        <v>#N/A</v>
      </c>
      <c r="AV516" s="177" t="e">
        <f>INDEX('stock fisico '!L:L, MATCH(B516, 'stock fisico '!B:B, 0))</f>
        <v>#N/A</v>
      </c>
    </row>
    <row r="517" spans="1:48" x14ac:dyDescent="0.25">
      <c r="A517" s="181" t="e">
        <f>INDEX('stock fisico '!M:M, MATCH(B517, 'stock fisico '!B:B, 0))</f>
        <v>#N/A</v>
      </c>
      <c r="C517" s="179" t="e">
        <f>INDEX('stock fisico '!C:C, MATCH(B517, 'stock fisico '!B:B, 0))</f>
        <v>#N/A</v>
      </c>
      <c r="D517" s="178" t="e">
        <f>INDEX('stock fisico '!I:I, MATCH(B517, 'stock fisico '!B:B, 0))</f>
        <v>#N/A</v>
      </c>
      <c r="E517" s="173" t="e">
        <f t="shared" si="331"/>
        <v>#VALUE!</v>
      </c>
      <c r="F517" t="e">
        <f t="shared" ref="F517:F553" si="332">K517*$F$3</f>
        <v>#VALUE!</v>
      </c>
      <c r="G517" t="e">
        <f t="shared" ref="G517:G553" si="333">K517*$G$2</f>
        <v>#VALUE!</v>
      </c>
      <c r="H517" t="e">
        <f t="shared" ref="H517:H553" si="334">K517*$H$2</f>
        <v>#VALUE!</v>
      </c>
      <c r="I517" t="e">
        <f t="shared" ref="I517:I553" si="335">K517*$I$2</f>
        <v>#VALUE!</v>
      </c>
      <c r="J517" t="e">
        <f t="shared" ref="J517:J553" si="336">K517*$J$2</f>
        <v>#VALUE!</v>
      </c>
      <c r="K517" t="e">
        <f t="shared" ref="K517:K553" si="337">E517*$J$1</f>
        <v>#VALUE!</v>
      </c>
      <c r="L517" s="175" t="e">
        <f t="shared" si="326"/>
        <v>#VALUE!</v>
      </c>
      <c r="M517" t="e">
        <f t="shared" ref="M517:M553" si="338">S517*$M$3</f>
        <v>#VALUE!</v>
      </c>
      <c r="N517" t="e">
        <f t="shared" ref="N517:N553" si="339">S517*$N$2</f>
        <v>#VALUE!</v>
      </c>
      <c r="O517" t="e">
        <f t="shared" ref="O517:O553" si="340">S517*$O$2</f>
        <v>#VALUE!</v>
      </c>
      <c r="P517" t="e">
        <f t="shared" ref="P517:P553" si="341">S517*$P$2</f>
        <v>#VALUE!</v>
      </c>
      <c r="Q517" t="e">
        <f t="shared" ref="Q517:Q553" si="342">S517*$Q$2</f>
        <v>#VALUE!</v>
      </c>
      <c r="R517" t="e">
        <f t="shared" ref="R517:R553" si="343">S517*$R$3</f>
        <v>#VALUE!</v>
      </c>
      <c r="S517" t="e">
        <f t="shared" ref="S517:S553" si="344">E517*$S$1</f>
        <v>#VALUE!</v>
      </c>
      <c r="T517" s="174" t="e">
        <f t="shared" si="327"/>
        <v>#VALUE!</v>
      </c>
      <c r="U517" t="e">
        <f t="shared" ref="U517:U553" si="345">AA517*$U$3</f>
        <v>#VALUE!</v>
      </c>
      <c r="V517" t="e">
        <f t="shared" ref="V517:V553" si="346">AA517*$V$3</f>
        <v>#VALUE!</v>
      </c>
      <c r="W517" t="e">
        <f t="shared" ref="W517:W553" si="347">AA517*$W$3</f>
        <v>#VALUE!</v>
      </c>
      <c r="X517" t="e">
        <f t="shared" ref="X517:X553" si="348">AA517*$X$3</f>
        <v>#VALUE!</v>
      </c>
      <c r="Y517" t="e">
        <f t="shared" ref="Y517:Y553" si="349">AA517*$Y$3</f>
        <v>#VALUE!</v>
      </c>
      <c r="Z517" t="e">
        <f t="shared" ref="Z517:Z553" si="350">AA517*$Z$3</f>
        <v>#VALUE!</v>
      </c>
      <c r="AA517" t="e">
        <f t="shared" ref="AA517:AA553" si="351">E517*$AA$1</f>
        <v>#VALUE!</v>
      </c>
      <c r="AB517" s="23" t="e">
        <f t="shared" si="328"/>
        <v>#VALUE!</v>
      </c>
      <c r="AC517" t="e">
        <f t="shared" ref="AC517:AC553" si="352">AI517*$AC$3</f>
        <v>#VALUE!</v>
      </c>
      <c r="AD517" t="e">
        <f t="shared" ref="AD517:AD553" si="353">AI517*$AD$3</f>
        <v>#VALUE!</v>
      </c>
      <c r="AE517" t="e">
        <f t="shared" ref="AE517:AE553" si="354">AI517*$AE$3</f>
        <v>#VALUE!</v>
      </c>
      <c r="AF517" t="e">
        <f t="shared" ref="AF517:AF553" si="355">AI517*$AF$3</f>
        <v>#VALUE!</v>
      </c>
      <c r="AG517" t="e">
        <f t="shared" ref="AG517:AG553" si="356">AI517*$AG$3</f>
        <v>#VALUE!</v>
      </c>
      <c r="AH517" t="e">
        <f t="shared" ref="AH517:AH553" si="357">AI517*$AH$3</f>
        <v>#VALUE!</v>
      </c>
      <c r="AI517" t="e">
        <f t="shared" ref="AI517:AI553" si="358">E517*$AI$1</f>
        <v>#VALUE!</v>
      </c>
      <c r="AJ517" s="19" t="e">
        <f t="shared" si="329"/>
        <v>#VALUE!</v>
      </c>
      <c r="AK517" t="e">
        <f t="shared" ref="AK517:AK553" si="359">AQ517*$AK$3</f>
        <v>#VALUE!</v>
      </c>
      <c r="AL517" t="e">
        <f t="shared" ref="AL517:AL553" si="360">AQ517*$AL$3</f>
        <v>#VALUE!</v>
      </c>
      <c r="AM517" t="e">
        <f t="shared" ref="AM517:AM553" si="361">AQ517*$AM$3</f>
        <v>#VALUE!</v>
      </c>
      <c r="AN517" t="e">
        <f t="shared" ref="AN517:AN553" si="362">AQ517*$AN$3</f>
        <v>#VALUE!</v>
      </c>
      <c r="AO517" t="e">
        <f t="shared" ref="AO517:AO553" si="363">AQ517*$AO$3</f>
        <v>#VALUE!</v>
      </c>
      <c r="AP517" t="e">
        <f t="shared" ref="AP517:AP553" si="364">AQ517*$AP$3</f>
        <v>#VALUE!</v>
      </c>
      <c r="AQ517" t="e">
        <f t="shared" ref="AQ517:AQ553" si="365">E517*$AQ$1</f>
        <v>#VALUE!</v>
      </c>
      <c r="AR517" s="123" t="e">
        <f t="shared" si="330"/>
        <v>#VALUE!</v>
      </c>
      <c r="AS517" t="e">
        <f t="shared" ref="AS517:AS553" si="366">L517/1.21</f>
        <v>#VALUE!</v>
      </c>
      <c r="AT517" s="181" t="e">
        <f>INDEX('stock fisico '!N:N, MATCH(B517, 'stock fisico '!B:B, 0))</f>
        <v>#N/A</v>
      </c>
      <c r="AU517" s="179" t="e">
        <f>INDEX('stock fisico '!D:D, MATCH(B517, 'stock fisico '!B:B, 0))</f>
        <v>#N/A</v>
      </c>
      <c r="AV517" s="177" t="e">
        <f>INDEX('stock fisico '!L:L, MATCH(B517, 'stock fisico '!B:B, 0))</f>
        <v>#N/A</v>
      </c>
    </row>
    <row r="518" spans="1:48" x14ac:dyDescent="0.25">
      <c r="A518" s="181" t="e">
        <f>INDEX('stock fisico '!M:M, MATCH(B518, 'stock fisico '!B:B, 0))</f>
        <v>#N/A</v>
      </c>
      <c r="C518" s="179" t="e">
        <f>INDEX('stock fisico '!C:C, MATCH(B518, 'stock fisico '!B:B, 0))</f>
        <v>#N/A</v>
      </c>
      <c r="D518" s="178" t="e">
        <f>INDEX('stock fisico '!I:I, MATCH(B518, 'stock fisico '!B:B, 0))</f>
        <v>#N/A</v>
      </c>
      <c r="E518" s="173" t="e">
        <f t="shared" si="331"/>
        <v>#VALUE!</v>
      </c>
      <c r="F518" t="e">
        <f t="shared" si="332"/>
        <v>#VALUE!</v>
      </c>
      <c r="G518" t="e">
        <f t="shared" si="333"/>
        <v>#VALUE!</v>
      </c>
      <c r="H518" t="e">
        <f t="shared" si="334"/>
        <v>#VALUE!</v>
      </c>
      <c r="I518" t="e">
        <f t="shared" si="335"/>
        <v>#VALUE!</v>
      </c>
      <c r="J518" t="e">
        <f t="shared" si="336"/>
        <v>#VALUE!</v>
      </c>
      <c r="K518" t="e">
        <f t="shared" si="337"/>
        <v>#VALUE!</v>
      </c>
      <c r="L518" s="175" t="e">
        <f t="shared" ref="L518:L553" si="367">F518+H518+J518+E518</f>
        <v>#VALUE!</v>
      </c>
      <c r="M518" t="e">
        <f t="shared" si="338"/>
        <v>#VALUE!</v>
      </c>
      <c r="N518" t="e">
        <f t="shared" si="339"/>
        <v>#VALUE!</v>
      </c>
      <c r="O518" t="e">
        <f t="shared" si="340"/>
        <v>#VALUE!</v>
      </c>
      <c r="P518" t="e">
        <f t="shared" si="341"/>
        <v>#VALUE!</v>
      </c>
      <c r="Q518" t="e">
        <f t="shared" si="342"/>
        <v>#VALUE!</v>
      </c>
      <c r="R518" t="e">
        <f t="shared" si="343"/>
        <v>#VALUE!</v>
      </c>
      <c r="S518" t="e">
        <f t="shared" si="344"/>
        <v>#VALUE!</v>
      </c>
      <c r="T518" s="174" t="e">
        <f t="shared" ref="T518:T553" si="368">R518+Q518+O518+M518+E518</f>
        <v>#VALUE!</v>
      </c>
      <c r="U518" t="e">
        <f t="shared" si="345"/>
        <v>#VALUE!</v>
      </c>
      <c r="V518" t="e">
        <f t="shared" si="346"/>
        <v>#VALUE!</v>
      </c>
      <c r="W518" t="e">
        <f t="shared" si="347"/>
        <v>#VALUE!</v>
      </c>
      <c r="X518" t="e">
        <f t="shared" si="348"/>
        <v>#VALUE!</v>
      </c>
      <c r="Y518" t="e">
        <f t="shared" si="349"/>
        <v>#VALUE!</v>
      </c>
      <c r="Z518" t="e">
        <f t="shared" si="350"/>
        <v>#VALUE!</v>
      </c>
      <c r="AA518" t="e">
        <f t="shared" si="351"/>
        <v>#VALUE!</v>
      </c>
      <c r="AB518" s="23" t="e">
        <f t="shared" ref="AB518:AB553" si="369">U518+W518+Y518+Z518+E518</f>
        <v>#VALUE!</v>
      </c>
      <c r="AC518" t="e">
        <f t="shared" si="352"/>
        <v>#VALUE!</v>
      </c>
      <c r="AD518" t="e">
        <f t="shared" si="353"/>
        <v>#VALUE!</v>
      </c>
      <c r="AE518" t="e">
        <f t="shared" si="354"/>
        <v>#VALUE!</v>
      </c>
      <c r="AF518" t="e">
        <f t="shared" si="355"/>
        <v>#VALUE!</v>
      </c>
      <c r="AG518" t="e">
        <f t="shared" si="356"/>
        <v>#VALUE!</v>
      </c>
      <c r="AH518" t="e">
        <f t="shared" si="357"/>
        <v>#VALUE!</v>
      </c>
      <c r="AI518" t="e">
        <f t="shared" si="358"/>
        <v>#VALUE!</v>
      </c>
      <c r="AJ518" s="19" t="e">
        <f t="shared" ref="AJ518:AJ553" si="370">AC518+AE518+AG518+AH518+E518</f>
        <v>#VALUE!</v>
      </c>
      <c r="AK518" t="e">
        <f t="shared" si="359"/>
        <v>#VALUE!</v>
      </c>
      <c r="AL518" t="e">
        <f t="shared" si="360"/>
        <v>#VALUE!</v>
      </c>
      <c r="AM518" t="e">
        <f t="shared" si="361"/>
        <v>#VALUE!</v>
      </c>
      <c r="AN518" t="e">
        <f t="shared" si="362"/>
        <v>#VALUE!</v>
      </c>
      <c r="AO518" t="e">
        <f t="shared" si="363"/>
        <v>#VALUE!</v>
      </c>
      <c r="AP518" t="e">
        <f t="shared" si="364"/>
        <v>#VALUE!</v>
      </c>
      <c r="AQ518" t="e">
        <f t="shared" si="365"/>
        <v>#VALUE!</v>
      </c>
      <c r="AR518" s="123" t="e">
        <f t="shared" ref="AR518:AR553" si="371">AK518+AM518+AO518+AP518+E518</f>
        <v>#VALUE!</v>
      </c>
      <c r="AS518" t="e">
        <f t="shared" si="366"/>
        <v>#VALUE!</v>
      </c>
      <c r="AT518" s="181" t="e">
        <f>INDEX('stock fisico '!N:N, MATCH(B518, 'stock fisico '!B:B, 0))</f>
        <v>#N/A</v>
      </c>
      <c r="AU518" s="179" t="e">
        <f>INDEX('stock fisico '!D:D, MATCH(B518, 'stock fisico '!B:B, 0))</f>
        <v>#N/A</v>
      </c>
      <c r="AV518" s="177" t="e">
        <f>INDEX('stock fisico '!L:L, MATCH(B518, 'stock fisico '!B:B, 0))</f>
        <v>#N/A</v>
      </c>
    </row>
    <row r="519" spans="1:48" x14ac:dyDescent="0.25">
      <c r="A519" s="181" t="e">
        <f>INDEX('stock fisico '!M:M, MATCH(B519, 'stock fisico '!B:B, 0))</f>
        <v>#N/A</v>
      </c>
      <c r="C519" s="179" t="e">
        <f>INDEX('stock fisico '!C:C, MATCH(B519, 'stock fisico '!B:B, 0))</f>
        <v>#N/A</v>
      </c>
      <c r="D519" s="178" t="e">
        <f>INDEX('stock fisico '!I:I, MATCH(B519, 'stock fisico '!B:B, 0))</f>
        <v>#N/A</v>
      </c>
      <c r="E519" s="173" t="e">
        <f t="shared" ref="E519:E553" si="372">PrecioConMargen(D519,B519, AV519, AU519, AT519)</f>
        <v>#VALUE!</v>
      </c>
      <c r="F519" t="e">
        <f t="shared" si="332"/>
        <v>#VALUE!</v>
      </c>
      <c r="G519" t="e">
        <f t="shared" si="333"/>
        <v>#VALUE!</v>
      </c>
      <c r="H519" t="e">
        <f t="shared" si="334"/>
        <v>#VALUE!</v>
      </c>
      <c r="I519" t="e">
        <f t="shared" si="335"/>
        <v>#VALUE!</v>
      </c>
      <c r="J519" t="e">
        <f t="shared" si="336"/>
        <v>#VALUE!</v>
      </c>
      <c r="K519" t="e">
        <f t="shared" si="337"/>
        <v>#VALUE!</v>
      </c>
      <c r="L519" s="175" t="e">
        <f t="shared" si="367"/>
        <v>#VALUE!</v>
      </c>
      <c r="M519" t="e">
        <f t="shared" si="338"/>
        <v>#VALUE!</v>
      </c>
      <c r="N519" t="e">
        <f t="shared" si="339"/>
        <v>#VALUE!</v>
      </c>
      <c r="O519" t="e">
        <f t="shared" si="340"/>
        <v>#VALUE!</v>
      </c>
      <c r="P519" t="e">
        <f t="shared" si="341"/>
        <v>#VALUE!</v>
      </c>
      <c r="Q519" t="e">
        <f t="shared" si="342"/>
        <v>#VALUE!</v>
      </c>
      <c r="R519" t="e">
        <f t="shared" si="343"/>
        <v>#VALUE!</v>
      </c>
      <c r="S519" t="e">
        <f t="shared" si="344"/>
        <v>#VALUE!</v>
      </c>
      <c r="T519" s="174" t="e">
        <f t="shared" si="368"/>
        <v>#VALUE!</v>
      </c>
      <c r="U519" t="e">
        <f t="shared" si="345"/>
        <v>#VALUE!</v>
      </c>
      <c r="V519" t="e">
        <f t="shared" si="346"/>
        <v>#VALUE!</v>
      </c>
      <c r="W519" t="e">
        <f t="shared" si="347"/>
        <v>#VALUE!</v>
      </c>
      <c r="X519" t="e">
        <f t="shared" si="348"/>
        <v>#VALUE!</v>
      </c>
      <c r="Y519" t="e">
        <f t="shared" si="349"/>
        <v>#VALUE!</v>
      </c>
      <c r="Z519" t="e">
        <f t="shared" si="350"/>
        <v>#VALUE!</v>
      </c>
      <c r="AA519" t="e">
        <f t="shared" si="351"/>
        <v>#VALUE!</v>
      </c>
      <c r="AB519" s="23" t="e">
        <f t="shared" si="369"/>
        <v>#VALUE!</v>
      </c>
      <c r="AC519" t="e">
        <f t="shared" si="352"/>
        <v>#VALUE!</v>
      </c>
      <c r="AD519" t="e">
        <f t="shared" si="353"/>
        <v>#VALUE!</v>
      </c>
      <c r="AE519" t="e">
        <f t="shared" si="354"/>
        <v>#VALUE!</v>
      </c>
      <c r="AF519" t="e">
        <f t="shared" si="355"/>
        <v>#VALUE!</v>
      </c>
      <c r="AG519" t="e">
        <f t="shared" si="356"/>
        <v>#VALUE!</v>
      </c>
      <c r="AH519" t="e">
        <f t="shared" si="357"/>
        <v>#VALUE!</v>
      </c>
      <c r="AI519" t="e">
        <f t="shared" si="358"/>
        <v>#VALUE!</v>
      </c>
      <c r="AJ519" s="19" t="e">
        <f t="shared" si="370"/>
        <v>#VALUE!</v>
      </c>
      <c r="AK519" t="e">
        <f t="shared" si="359"/>
        <v>#VALUE!</v>
      </c>
      <c r="AL519" t="e">
        <f t="shared" si="360"/>
        <v>#VALUE!</v>
      </c>
      <c r="AM519" t="e">
        <f t="shared" si="361"/>
        <v>#VALUE!</v>
      </c>
      <c r="AN519" t="e">
        <f t="shared" si="362"/>
        <v>#VALUE!</v>
      </c>
      <c r="AO519" t="e">
        <f t="shared" si="363"/>
        <v>#VALUE!</v>
      </c>
      <c r="AP519" t="e">
        <f t="shared" si="364"/>
        <v>#VALUE!</v>
      </c>
      <c r="AQ519" t="e">
        <f t="shared" si="365"/>
        <v>#VALUE!</v>
      </c>
      <c r="AR519" s="123" t="e">
        <f t="shared" si="371"/>
        <v>#VALUE!</v>
      </c>
      <c r="AS519" t="e">
        <f t="shared" si="366"/>
        <v>#VALUE!</v>
      </c>
      <c r="AT519" s="181" t="e">
        <f>INDEX('stock fisico '!N:N, MATCH(B519, 'stock fisico '!B:B, 0))</f>
        <v>#N/A</v>
      </c>
      <c r="AU519" s="179" t="e">
        <f>INDEX('stock fisico '!D:D, MATCH(B519, 'stock fisico '!B:B, 0))</f>
        <v>#N/A</v>
      </c>
      <c r="AV519" s="177" t="e">
        <f>INDEX('stock fisico '!L:L, MATCH(B519, 'stock fisico '!B:B, 0))</f>
        <v>#N/A</v>
      </c>
    </row>
    <row r="520" spans="1:48" x14ac:dyDescent="0.25">
      <c r="A520" s="181" t="e">
        <f>INDEX('stock fisico '!M:M, MATCH(B520, 'stock fisico '!B:B, 0))</f>
        <v>#N/A</v>
      </c>
      <c r="C520" s="179" t="e">
        <f>INDEX('stock fisico '!C:C, MATCH(B520, 'stock fisico '!B:B, 0))</f>
        <v>#N/A</v>
      </c>
      <c r="D520" s="178" t="e">
        <f>INDEX('stock fisico '!I:I, MATCH(B520, 'stock fisico '!B:B, 0))</f>
        <v>#N/A</v>
      </c>
      <c r="E520" s="173" t="e">
        <f t="shared" si="372"/>
        <v>#VALUE!</v>
      </c>
      <c r="F520" t="e">
        <f t="shared" si="332"/>
        <v>#VALUE!</v>
      </c>
      <c r="G520" t="e">
        <f t="shared" si="333"/>
        <v>#VALUE!</v>
      </c>
      <c r="H520" t="e">
        <f t="shared" si="334"/>
        <v>#VALUE!</v>
      </c>
      <c r="I520" t="e">
        <f t="shared" si="335"/>
        <v>#VALUE!</v>
      </c>
      <c r="J520" t="e">
        <f t="shared" si="336"/>
        <v>#VALUE!</v>
      </c>
      <c r="K520" t="e">
        <f t="shared" si="337"/>
        <v>#VALUE!</v>
      </c>
      <c r="L520" s="175" t="e">
        <f t="shared" si="367"/>
        <v>#VALUE!</v>
      </c>
      <c r="M520" t="e">
        <f t="shared" si="338"/>
        <v>#VALUE!</v>
      </c>
      <c r="N520" t="e">
        <f t="shared" si="339"/>
        <v>#VALUE!</v>
      </c>
      <c r="O520" t="e">
        <f t="shared" si="340"/>
        <v>#VALUE!</v>
      </c>
      <c r="P520" t="e">
        <f t="shared" si="341"/>
        <v>#VALUE!</v>
      </c>
      <c r="Q520" t="e">
        <f t="shared" si="342"/>
        <v>#VALUE!</v>
      </c>
      <c r="R520" t="e">
        <f t="shared" si="343"/>
        <v>#VALUE!</v>
      </c>
      <c r="S520" t="e">
        <f t="shared" si="344"/>
        <v>#VALUE!</v>
      </c>
      <c r="T520" s="174" t="e">
        <f t="shared" si="368"/>
        <v>#VALUE!</v>
      </c>
      <c r="U520" t="e">
        <f t="shared" si="345"/>
        <v>#VALUE!</v>
      </c>
      <c r="V520" t="e">
        <f t="shared" si="346"/>
        <v>#VALUE!</v>
      </c>
      <c r="W520" t="e">
        <f t="shared" si="347"/>
        <v>#VALUE!</v>
      </c>
      <c r="X520" t="e">
        <f t="shared" si="348"/>
        <v>#VALUE!</v>
      </c>
      <c r="Y520" t="e">
        <f t="shared" si="349"/>
        <v>#VALUE!</v>
      </c>
      <c r="Z520" t="e">
        <f t="shared" si="350"/>
        <v>#VALUE!</v>
      </c>
      <c r="AA520" t="e">
        <f t="shared" si="351"/>
        <v>#VALUE!</v>
      </c>
      <c r="AB520" s="23" t="e">
        <f t="shared" si="369"/>
        <v>#VALUE!</v>
      </c>
      <c r="AC520" t="e">
        <f t="shared" si="352"/>
        <v>#VALUE!</v>
      </c>
      <c r="AD520" t="e">
        <f t="shared" si="353"/>
        <v>#VALUE!</v>
      </c>
      <c r="AE520" t="e">
        <f t="shared" si="354"/>
        <v>#VALUE!</v>
      </c>
      <c r="AF520" t="e">
        <f t="shared" si="355"/>
        <v>#VALUE!</v>
      </c>
      <c r="AG520" t="e">
        <f t="shared" si="356"/>
        <v>#VALUE!</v>
      </c>
      <c r="AH520" t="e">
        <f t="shared" si="357"/>
        <v>#VALUE!</v>
      </c>
      <c r="AI520" t="e">
        <f t="shared" si="358"/>
        <v>#VALUE!</v>
      </c>
      <c r="AJ520" s="19" t="e">
        <f t="shared" si="370"/>
        <v>#VALUE!</v>
      </c>
      <c r="AK520" t="e">
        <f t="shared" si="359"/>
        <v>#VALUE!</v>
      </c>
      <c r="AL520" t="e">
        <f t="shared" si="360"/>
        <v>#VALUE!</v>
      </c>
      <c r="AM520" t="e">
        <f t="shared" si="361"/>
        <v>#VALUE!</v>
      </c>
      <c r="AN520" t="e">
        <f t="shared" si="362"/>
        <v>#VALUE!</v>
      </c>
      <c r="AO520" t="e">
        <f t="shared" si="363"/>
        <v>#VALUE!</v>
      </c>
      <c r="AP520" t="e">
        <f t="shared" si="364"/>
        <v>#VALUE!</v>
      </c>
      <c r="AQ520" t="e">
        <f t="shared" si="365"/>
        <v>#VALUE!</v>
      </c>
      <c r="AR520" s="123" t="e">
        <f t="shared" si="371"/>
        <v>#VALUE!</v>
      </c>
      <c r="AS520" t="e">
        <f t="shared" si="366"/>
        <v>#VALUE!</v>
      </c>
      <c r="AT520" s="181" t="e">
        <f>INDEX('stock fisico '!N:N, MATCH(B520, 'stock fisico '!B:B, 0))</f>
        <v>#N/A</v>
      </c>
      <c r="AU520" s="179" t="e">
        <f>INDEX('stock fisico '!D:D, MATCH(B520, 'stock fisico '!B:B, 0))</f>
        <v>#N/A</v>
      </c>
      <c r="AV520" s="177" t="e">
        <f>INDEX('stock fisico '!L:L, MATCH(B520, 'stock fisico '!B:B, 0))</f>
        <v>#N/A</v>
      </c>
    </row>
    <row r="521" spans="1:48" x14ac:dyDescent="0.25">
      <c r="A521" s="181" t="e">
        <f>INDEX('stock fisico '!M:M, MATCH(B521, 'stock fisico '!B:B, 0))</f>
        <v>#N/A</v>
      </c>
      <c r="C521" s="179" t="e">
        <f>INDEX('stock fisico '!C:C, MATCH(B521, 'stock fisico '!B:B, 0))</f>
        <v>#N/A</v>
      </c>
      <c r="D521" s="178" t="e">
        <f>INDEX('stock fisico '!I:I, MATCH(B521, 'stock fisico '!B:B, 0))</f>
        <v>#N/A</v>
      </c>
      <c r="E521" s="173" t="e">
        <f t="shared" si="372"/>
        <v>#VALUE!</v>
      </c>
      <c r="F521" t="e">
        <f t="shared" si="332"/>
        <v>#VALUE!</v>
      </c>
      <c r="G521" t="e">
        <f t="shared" si="333"/>
        <v>#VALUE!</v>
      </c>
      <c r="H521" t="e">
        <f t="shared" si="334"/>
        <v>#VALUE!</v>
      </c>
      <c r="I521" t="e">
        <f t="shared" si="335"/>
        <v>#VALUE!</v>
      </c>
      <c r="J521" t="e">
        <f t="shared" si="336"/>
        <v>#VALUE!</v>
      </c>
      <c r="K521" t="e">
        <f t="shared" si="337"/>
        <v>#VALUE!</v>
      </c>
      <c r="L521" s="175" t="e">
        <f t="shared" si="367"/>
        <v>#VALUE!</v>
      </c>
      <c r="M521" t="e">
        <f t="shared" si="338"/>
        <v>#VALUE!</v>
      </c>
      <c r="N521" t="e">
        <f t="shared" si="339"/>
        <v>#VALUE!</v>
      </c>
      <c r="O521" t="e">
        <f t="shared" si="340"/>
        <v>#VALUE!</v>
      </c>
      <c r="P521" t="e">
        <f t="shared" si="341"/>
        <v>#VALUE!</v>
      </c>
      <c r="Q521" t="e">
        <f t="shared" si="342"/>
        <v>#VALUE!</v>
      </c>
      <c r="R521" t="e">
        <f t="shared" si="343"/>
        <v>#VALUE!</v>
      </c>
      <c r="S521" t="e">
        <f t="shared" si="344"/>
        <v>#VALUE!</v>
      </c>
      <c r="T521" s="174" t="e">
        <f t="shared" si="368"/>
        <v>#VALUE!</v>
      </c>
      <c r="U521" t="e">
        <f t="shared" si="345"/>
        <v>#VALUE!</v>
      </c>
      <c r="V521" t="e">
        <f t="shared" si="346"/>
        <v>#VALUE!</v>
      </c>
      <c r="W521" t="e">
        <f t="shared" si="347"/>
        <v>#VALUE!</v>
      </c>
      <c r="X521" t="e">
        <f t="shared" si="348"/>
        <v>#VALUE!</v>
      </c>
      <c r="Y521" t="e">
        <f t="shared" si="349"/>
        <v>#VALUE!</v>
      </c>
      <c r="Z521" t="e">
        <f t="shared" si="350"/>
        <v>#VALUE!</v>
      </c>
      <c r="AA521" t="e">
        <f t="shared" si="351"/>
        <v>#VALUE!</v>
      </c>
      <c r="AB521" s="23" t="e">
        <f t="shared" si="369"/>
        <v>#VALUE!</v>
      </c>
      <c r="AC521" t="e">
        <f t="shared" si="352"/>
        <v>#VALUE!</v>
      </c>
      <c r="AD521" t="e">
        <f t="shared" si="353"/>
        <v>#VALUE!</v>
      </c>
      <c r="AE521" t="e">
        <f t="shared" si="354"/>
        <v>#VALUE!</v>
      </c>
      <c r="AF521" t="e">
        <f t="shared" si="355"/>
        <v>#VALUE!</v>
      </c>
      <c r="AG521" t="e">
        <f t="shared" si="356"/>
        <v>#VALUE!</v>
      </c>
      <c r="AH521" t="e">
        <f t="shared" si="357"/>
        <v>#VALUE!</v>
      </c>
      <c r="AI521" t="e">
        <f t="shared" si="358"/>
        <v>#VALUE!</v>
      </c>
      <c r="AJ521" s="19" t="e">
        <f t="shared" si="370"/>
        <v>#VALUE!</v>
      </c>
      <c r="AK521" t="e">
        <f t="shared" si="359"/>
        <v>#VALUE!</v>
      </c>
      <c r="AL521" t="e">
        <f t="shared" si="360"/>
        <v>#VALUE!</v>
      </c>
      <c r="AM521" t="e">
        <f t="shared" si="361"/>
        <v>#VALUE!</v>
      </c>
      <c r="AN521" t="e">
        <f t="shared" si="362"/>
        <v>#VALUE!</v>
      </c>
      <c r="AO521" t="e">
        <f t="shared" si="363"/>
        <v>#VALUE!</v>
      </c>
      <c r="AP521" t="e">
        <f t="shared" si="364"/>
        <v>#VALUE!</v>
      </c>
      <c r="AQ521" t="e">
        <f t="shared" si="365"/>
        <v>#VALUE!</v>
      </c>
      <c r="AR521" s="123" t="e">
        <f t="shared" si="371"/>
        <v>#VALUE!</v>
      </c>
      <c r="AS521" t="e">
        <f t="shared" si="366"/>
        <v>#VALUE!</v>
      </c>
      <c r="AT521" s="181" t="e">
        <f>INDEX('stock fisico '!N:N, MATCH(B521, 'stock fisico '!B:B, 0))</f>
        <v>#N/A</v>
      </c>
      <c r="AU521" s="179" t="e">
        <f>INDEX('stock fisico '!D:D, MATCH(B521, 'stock fisico '!B:B, 0))</f>
        <v>#N/A</v>
      </c>
      <c r="AV521" s="177" t="e">
        <f>INDEX('stock fisico '!L:L, MATCH(B521, 'stock fisico '!B:B, 0))</f>
        <v>#N/A</v>
      </c>
    </row>
    <row r="522" spans="1:48" x14ac:dyDescent="0.25">
      <c r="A522" s="181" t="e">
        <f>INDEX('stock fisico '!M:M, MATCH(B522, 'stock fisico '!B:B, 0))</f>
        <v>#N/A</v>
      </c>
      <c r="C522" s="179" t="e">
        <f>INDEX('stock fisico '!C:C, MATCH(B522, 'stock fisico '!B:B, 0))</f>
        <v>#N/A</v>
      </c>
      <c r="D522" s="178" t="e">
        <f>INDEX('stock fisico '!I:I, MATCH(B522, 'stock fisico '!B:B, 0))</f>
        <v>#N/A</v>
      </c>
      <c r="E522" s="173" t="e">
        <f t="shared" si="372"/>
        <v>#VALUE!</v>
      </c>
      <c r="F522" t="e">
        <f t="shared" si="332"/>
        <v>#VALUE!</v>
      </c>
      <c r="G522" t="e">
        <f t="shared" si="333"/>
        <v>#VALUE!</v>
      </c>
      <c r="H522" t="e">
        <f t="shared" si="334"/>
        <v>#VALUE!</v>
      </c>
      <c r="I522" t="e">
        <f t="shared" si="335"/>
        <v>#VALUE!</v>
      </c>
      <c r="J522" t="e">
        <f t="shared" si="336"/>
        <v>#VALUE!</v>
      </c>
      <c r="K522" t="e">
        <f t="shared" si="337"/>
        <v>#VALUE!</v>
      </c>
      <c r="L522" s="175" t="e">
        <f t="shared" si="367"/>
        <v>#VALUE!</v>
      </c>
      <c r="M522" t="e">
        <f t="shared" si="338"/>
        <v>#VALUE!</v>
      </c>
      <c r="N522" t="e">
        <f t="shared" si="339"/>
        <v>#VALUE!</v>
      </c>
      <c r="O522" t="e">
        <f t="shared" si="340"/>
        <v>#VALUE!</v>
      </c>
      <c r="P522" t="e">
        <f t="shared" si="341"/>
        <v>#VALUE!</v>
      </c>
      <c r="Q522" t="e">
        <f t="shared" si="342"/>
        <v>#VALUE!</v>
      </c>
      <c r="R522" t="e">
        <f t="shared" si="343"/>
        <v>#VALUE!</v>
      </c>
      <c r="S522" t="e">
        <f t="shared" si="344"/>
        <v>#VALUE!</v>
      </c>
      <c r="T522" s="174" t="e">
        <f t="shared" si="368"/>
        <v>#VALUE!</v>
      </c>
      <c r="U522" t="e">
        <f t="shared" si="345"/>
        <v>#VALUE!</v>
      </c>
      <c r="V522" t="e">
        <f t="shared" si="346"/>
        <v>#VALUE!</v>
      </c>
      <c r="W522" t="e">
        <f t="shared" si="347"/>
        <v>#VALUE!</v>
      </c>
      <c r="X522" t="e">
        <f t="shared" si="348"/>
        <v>#VALUE!</v>
      </c>
      <c r="Y522" t="e">
        <f t="shared" si="349"/>
        <v>#VALUE!</v>
      </c>
      <c r="Z522" t="e">
        <f t="shared" si="350"/>
        <v>#VALUE!</v>
      </c>
      <c r="AA522" t="e">
        <f t="shared" si="351"/>
        <v>#VALUE!</v>
      </c>
      <c r="AB522" s="23" t="e">
        <f t="shared" si="369"/>
        <v>#VALUE!</v>
      </c>
      <c r="AC522" t="e">
        <f t="shared" si="352"/>
        <v>#VALUE!</v>
      </c>
      <c r="AD522" t="e">
        <f t="shared" si="353"/>
        <v>#VALUE!</v>
      </c>
      <c r="AE522" t="e">
        <f t="shared" si="354"/>
        <v>#VALUE!</v>
      </c>
      <c r="AF522" t="e">
        <f t="shared" si="355"/>
        <v>#VALUE!</v>
      </c>
      <c r="AG522" t="e">
        <f t="shared" si="356"/>
        <v>#VALUE!</v>
      </c>
      <c r="AH522" t="e">
        <f t="shared" si="357"/>
        <v>#VALUE!</v>
      </c>
      <c r="AI522" t="e">
        <f t="shared" si="358"/>
        <v>#VALUE!</v>
      </c>
      <c r="AJ522" s="19" t="e">
        <f t="shared" si="370"/>
        <v>#VALUE!</v>
      </c>
      <c r="AK522" t="e">
        <f t="shared" si="359"/>
        <v>#VALUE!</v>
      </c>
      <c r="AL522" t="e">
        <f t="shared" si="360"/>
        <v>#VALUE!</v>
      </c>
      <c r="AM522" t="e">
        <f t="shared" si="361"/>
        <v>#VALUE!</v>
      </c>
      <c r="AN522" t="e">
        <f t="shared" si="362"/>
        <v>#VALUE!</v>
      </c>
      <c r="AO522" t="e">
        <f t="shared" si="363"/>
        <v>#VALUE!</v>
      </c>
      <c r="AP522" t="e">
        <f t="shared" si="364"/>
        <v>#VALUE!</v>
      </c>
      <c r="AQ522" t="e">
        <f t="shared" si="365"/>
        <v>#VALUE!</v>
      </c>
      <c r="AR522" s="123" t="e">
        <f t="shared" si="371"/>
        <v>#VALUE!</v>
      </c>
      <c r="AS522" t="e">
        <f t="shared" si="366"/>
        <v>#VALUE!</v>
      </c>
      <c r="AT522" s="181" t="e">
        <f>INDEX('stock fisico '!N:N, MATCH(B522, 'stock fisico '!B:B, 0))</f>
        <v>#N/A</v>
      </c>
      <c r="AU522" s="179" t="e">
        <f>INDEX('stock fisico '!D:D, MATCH(B522, 'stock fisico '!B:B, 0))</f>
        <v>#N/A</v>
      </c>
      <c r="AV522" s="177" t="e">
        <f>INDEX('stock fisico '!L:L, MATCH(B522, 'stock fisico '!B:B, 0))</f>
        <v>#N/A</v>
      </c>
    </row>
    <row r="523" spans="1:48" x14ac:dyDescent="0.25">
      <c r="A523" s="181" t="e">
        <f>INDEX('stock fisico '!M:M, MATCH(B523, 'stock fisico '!B:B, 0))</f>
        <v>#N/A</v>
      </c>
      <c r="C523" s="179" t="e">
        <f>INDEX('stock fisico '!C:C, MATCH(B523, 'stock fisico '!B:B, 0))</f>
        <v>#N/A</v>
      </c>
      <c r="D523" s="178" t="e">
        <f>INDEX('stock fisico '!I:I, MATCH(B523, 'stock fisico '!B:B, 0))</f>
        <v>#N/A</v>
      </c>
      <c r="E523" s="173" t="e">
        <f t="shared" si="372"/>
        <v>#VALUE!</v>
      </c>
      <c r="F523" t="e">
        <f t="shared" si="332"/>
        <v>#VALUE!</v>
      </c>
      <c r="G523" t="e">
        <f t="shared" si="333"/>
        <v>#VALUE!</v>
      </c>
      <c r="H523" t="e">
        <f t="shared" si="334"/>
        <v>#VALUE!</v>
      </c>
      <c r="I523" t="e">
        <f t="shared" si="335"/>
        <v>#VALUE!</v>
      </c>
      <c r="J523" t="e">
        <f t="shared" si="336"/>
        <v>#VALUE!</v>
      </c>
      <c r="K523" t="e">
        <f t="shared" si="337"/>
        <v>#VALUE!</v>
      </c>
      <c r="L523" s="175" t="e">
        <f t="shared" si="367"/>
        <v>#VALUE!</v>
      </c>
      <c r="M523" t="e">
        <f t="shared" si="338"/>
        <v>#VALUE!</v>
      </c>
      <c r="N523" t="e">
        <f t="shared" si="339"/>
        <v>#VALUE!</v>
      </c>
      <c r="O523" t="e">
        <f t="shared" si="340"/>
        <v>#VALUE!</v>
      </c>
      <c r="P523" t="e">
        <f t="shared" si="341"/>
        <v>#VALUE!</v>
      </c>
      <c r="Q523" t="e">
        <f t="shared" si="342"/>
        <v>#VALUE!</v>
      </c>
      <c r="R523" t="e">
        <f t="shared" si="343"/>
        <v>#VALUE!</v>
      </c>
      <c r="S523" t="e">
        <f t="shared" si="344"/>
        <v>#VALUE!</v>
      </c>
      <c r="T523" s="174" t="e">
        <f t="shared" si="368"/>
        <v>#VALUE!</v>
      </c>
      <c r="U523" t="e">
        <f t="shared" si="345"/>
        <v>#VALUE!</v>
      </c>
      <c r="V523" t="e">
        <f t="shared" si="346"/>
        <v>#VALUE!</v>
      </c>
      <c r="W523" t="e">
        <f t="shared" si="347"/>
        <v>#VALUE!</v>
      </c>
      <c r="X523" t="e">
        <f t="shared" si="348"/>
        <v>#VALUE!</v>
      </c>
      <c r="Y523" t="e">
        <f t="shared" si="349"/>
        <v>#VALUE!</v>
      </c>
      <c r="Z523" t="e">
        <f t="shared" si="350"/>
        <v>#VALUE!</v>
      </c>
      <c r="AA523" t="e">
        <f t="shared" si="351"/>
        <v>#VALUE!</v>
      </c>
      <c r="AB523" s="23" t="e">
        <f t="shared" si="369"/>
        <v>#VALUE!</v>
      </c>
      <c r="AC523" t="e">
        <f t="shared" si="352"/>
        <v>#VALUE!</v>
      </c>
      <c r="AD523" t="e">
        <f t="shared" si="353"/>
        <v>#VALUE!</v>
      </c>
      <c r="AE523" t="e">
        <f t="shared" si="354"/>
        <v>#VALUE!</v>
      </c>
      <c r="AF523" t="e">
        <f t="shared" si="355"/>
        <v>#VALUE!</v>
      </c>
      <c r="AG523" t="e">
        <f t="shared" si="356"/>
        <v>#VALUE!</v>
      </c>
      <c r="AH523" t="e">
        <f t="shared" si="357"/>
        <v>#VALUE!</v>
      </c>
      <c r="AI523" t="e">
        <f t="shared" si="358"/>
        <v>#VALUE!</v>
      </c>
      <c r="AJ523" s="19" t="e">
        <f t="shared" si="370"/>
        <v>#VALUE!</v>
      </c>
      <c r="AK523" t="e">
        <f t="shared" si="359"/>
        <v>#VALUE!</v>
      </c>
      <c r="AL523" t="e">
        <f t="shared" si="360"/>
        <v>#VALUE!</v>
      </c>
      <c r="AM523" t="e">
        <f t="shared" si="361"/>
        <v>#VALUE!</v>
      </c>
      <c r="AN523" t="e">
        <f t="shared" si="362"/>
        <v>#VALUE!</v>
      </c>
      <c r="AO523" t="e">
        <f t="shared" si="363"/>
        <v>#VALUE!</v>
      </c>
      <c r="AP523" t="e">
        <f t="shared" si="364"/>
        <v>#VALUE!</v>
      </c>
      <c r="AQ523" t="e">
        <f t="shared" si="365"/>
        <v>#VALUE!</v>
      </c>
      <c r="AR523" s="123" t="e">
        <f t="shared" si="371"/>
        <v>#VALUE!</v>
      </c>
      <c r="AS523" t="e">
        <f t="shared" si="366"/>
        <v>#VALUE!</v>
      </c>
      <c r="AT523" s="181" t="e">
        <f>INDEX('stock fisico '!N:N, MATCH(B523, 'stock fisico '!B:B, 0))</f>
        <v>#N/A</v>
      </c>
      <c r="AU523" s="179" t="e">
        <f>INDEX('stock fisico '!D:D, MATCH(B523, 'stock fisico '!B:B, 0))</f>
        <v>#N/A</v>
      </c>
      <c r="AV523" s="177" t="e">
        <f>INDEX('stock fisico '!L:L, MATCH(B523, 'stock fisico '!B:B, 0))</f>
        <v>#N/A</v>
      </c>
    </row>
    <row r="524" spans="1:48" x14ac:dyDescent="0.25">
      <c r="A524" s="181" t="e">
        <f>INDEX('stock fisico '!M:M, MATCH(B524, 'stock fisico '!B:B, 0))</f>
        <v>#N/A</v>
      </c>
      <c r="C524" s="179" t="e">
        <f>INDEX('stock fisico '!C:C, MATCH(B524, 'stock fisico '!B:B, 0))</f>
        <v>#N/A</v>
      </c>
      <c r="D524" s="178" t="e">
        <f>INDEX('stock fisico '!I:I, MATCH(B524, 'stock fisico '!B:B, 0))</f>
        <v>#N/A</v>
      </c>
      <c r="E524" s="173" t="e">
        <f t="shared" si="372"/>
        <v>#VALUE!</v>
      </c>
      <c r="F524" t="e">
        <f t="shared" si="332"/>
        <v>#VALUE!</v>
      </c>
      <c r="G524" t="e">
        <f t="shared" si="333"/>
        <v>#VALUE!</v>
      </c>
      <c r="H524" t="e">
        <f t="shared" si="334"/>
        <v>#VALUE!</v>
      </c>
      <c r="I524" t="e">
        <f t="shared" si="335"/>
        <v>#VALUE!</v>
      </c>
      <c r="J524" t="e">
        <f t="shared" si="336"/>
        <v>#VALUE!</v>
      </c>
      <c r="K524" t="e">
        <f t="shared" si="337"/>
        <v>#VALUE!</v>
      </c>
      <c r="L524" s="175" t="e">
        <f t="shared" si="367"/>
        <v>#VALUE!</v>
      </c>
      <c r="M524" t="e">
        <f t="shared" si="338"/>
        <v>#VALUE!</v>
      </c>
      <c r="N524" t="e">
        <f t="shared" si="339"/>
        <v>#VALUE!</v>
      </c>
      <c r="O524" t="e">
        <f t="shared" si="340"/>
        <v>#VALUE!</v>
      </c>
      <c r="P524" t="e">
        <f t="shared" si="341"/>
        <v>#VALUE!</v>
      </c>
      <c r="Q524" t="e">
        <f t="shared" si="342"/>
        <v>#VALUE!</v>
      </c>
      <c r="R524" t="e">
        <f t="shared" si="343"/>
        <v>#VALUE!</v>
      </c>
      <c r="S524" t="e">
        <f t="shared" si="344"/>
        <v>#VALUE!</v>
      </c>
      <c r="T524" s="174" t="e">
        <f t="shared" si="368"/>
        <v>#VALUE!</v>
      </c>
      <c r="U524" t="e">
        <f t="shared" si="345"/>
        <v>#VALUE!</v>
      </c>
      <c r="V524" t="e">
        <f t="shared" si="346"/>
        <v>#VALUE!</v>
      </c>
      <c r="W524" t="e">
        <f t="shared" si="347"/>
        <v>#VALUE!</v>
      </c>
      <c r="X524" t="e">
        <f t="shared" si="348"/>
        <v>#VALUE!</v>
      </c>
      <c r="Y524" t="e">
        <f t="shared" si="349"/>
        <v>#VALUE!</v>
      </c>
      <c r="Z524" t="e">
        <f t="shared" si="350"/>
        <v>#VALUE!</v>
      </c>
      <c r="AA524" t="e">
        <f t="shared" si="351"/>
        <v>#VALUE!</v>
      </c>
      <c r="AB524" s="23" t="e">
        <f t="shared" si="369"/>
        <v>#VALUE!</v>
      </c>
      <c r="AC524" t="e">
        <f t="shared" si="352"/>
        <v>#VALUE!</v>
      </c>
      <c r="AD524" t="e">
        <f t="shared" si="353"/>
        <v>#VALUE!</v>
      </c>
      <c r="AE524" t="e">
        <f t="shared" si="354"/>
        <v>#VALUE!</v>
      </c>
      <c r="AF524" t="e">
        <f t="shared" si="355"/>
        <v>#VALUE!</v>
      </c>
      <c r="AG524" t="e">
        <f t="shared" si="356"/>
        <v>#VALUE!</v>
      </c>
      <c r="AH524" t="e">
        <f t="shared" si="357"/>
        <v>#VALUE!</v>
      </c>
      <c r="AI524" t="e">
        <f t="shared" si="358"/>
        <v>#VALUE!</v>
      </c>
      <c r="AJ524" s="19" t="e">
        <f t="shared" si="370"/>
        <v>#VALUE!</v>
      </c>
      <c r="AK524" t="e">
        <f t="shared" si="359"/>
        <v>#VALUE!</v>
      </c>
      <c r="AL524" t="e">
        <f t="shared" si="360"/>
        <v>#VALUE!</v>
      </c>
      <c r="AM524" t="e">
        <f t="shared" si="361"/>
        <v>#VALUE!</v>
      </c>
      <c r="AN524" t="e">
        <f t="shared" si="362"/>
        <v>#VALUE!</v>
      </c>
      <c r="AO524" t="e">
        <f t="shared" si="363"/>
        <v>#VALUE!</v>
      </c>
      <c r="AP524" t="e">
        <f t="shared" si="364"/>
        <v>#VALUE!</v>
      </c>
      <c r="AQ524" t="e">
        <f t="shared" si="365"/>
        <v>#VALUE!</v>
      </c>
      <c r="AR524" s="123" t="e">
        <f t="shared" si="371"/>
        <v>#VALUE!</v>
      </c>
      <c r="AS524" t="e">
        <f t="shared" si="366"/>
        <v>#VALUE!</v>
      </c>
      <c r="AT524" s="181" t="e">
        <f>INDEX('stock fisico '!N:N, MATCH(B524, 'stock fisico '!B:B, 0))</f>
        <v>#N/A</v>
      </c>
      <c r="AU524" s="179" t="e">
        <f>INDEX('stock fisico '!D:D, MATCH(B524, 'stock fisico '!B:B, 0))</f>
        <v>#N/A</v>
      </c>
      <c r="AV524" s="177" t="e">
        <f>INDEX('stock fisico '!L:L, MATCH(B524, 'stock fisico '!B:B, 0))</f>
        <v>#N/A</v>
      </c>
    </row>
    <row r="525" spans="1:48" x14ac:dyDescent="0.25">
      <c r="A525" s="181" t="e">
        <f>INDEX('stock fisico '!M:M, MATCH(B525, 'stock fisico '!B:B, 0))</f>
        <v>#N/A</v>
      </c>
      <c r="C525" s="179" t="e">
        <f>INDEX('stock fisico '!C:C, MATCH(B525, 'stock fisico '!B:B, 0))</f>
        <v>#N/A</v>
      </c>
      <c r="D525" s="178" t="e">
        <f>INDEX('stock fisico '!I:I, MATCH(B525, 'stock fisico '!B:B, 0))</f>
        <v>#N/A</v>
      </c>
      <c r="E525" s="173" t="e">
        <f t="shared" si="372"/>
        <v>#VALUE!</v>
      </c>
      <c r="F525" t="e">
        <f t="shared" si="332"/>
        <v>#VALUE!</v>
      </c>
      <c r="G525" t="e">
        <f t="shared" si="333"/>
        <v>#VALUE!</v>
      </c>
      <c r="H525" t="e">
        <f t="shared" si="334"/>
        <v>#VALUE!</v>
      </c>
      <c r="I525" t="e">
        <f t="shared" si="335"/>
        <v>#VALUE!</v>
      </c>
      <c r="J525" t="e">
        <f t="shared" si="336"/>
        <v>#VALUE!</v>
      </c>
      <c r="K525" t="e">
        <f t="shared" si="337"/>
        <v>#VALUE!</v>
      </c>
      <c r="L525" s="175" t="e">
        <f t="shared" si="367"/>
        <v>#VALUE!</v>
      </c>
      <c r="M525" t="e">
        <f t="shared" si="338"/>
        <v>#VALUE!</v>
      </c>
      <c r="N525" t="e">
        <f t="shared" si="339"/>
        <v>#VALUE!</v>
      </c>
      <c r="O525" t="e">
        <f t="shared" si="340"/>
        <v>#VALUE!</v>
      </c>
      <c r="P525" t="e">
        <f t="shared" si="341"/>
        <v>#VALUE!</v>
      </c>
      <c r="Q525" t="e">
        <f t="shared" si="342"/>
        <v>#VALUE!</v>
      </c>
      <c r="R525" t="e">
        <f t="shared" si="343"/>
        <v>#VALUE!</v>
      </c>
      <c r="S525" t="e">
        <f t="shared" si="344"/>
        <v>#VALUE!</v>
      </c>
      <c r="T525" s="174" t="e">
        <f t="shared" si="368"/>
        <v>#VALUE!</v>
      </c>
      <c r="U525" t="e">
        <f t="shared" si="345"/>
        <v>#VALUE!</v>
      </c>
      <c r="V525" t="e">
        <f t="shared" si="346"/>
        <v>#VALUE!</v>
      </c>
      <c r="W525" t="e">
        <f t="shared" si="347"/>
        <v>#VALUE!</v>
      </c>
      <c r="X525" t="e">
        <f t="shared" si="348"/>
        <v>#VALUE!</v>
      </c>
      <c r="Y525" t="e">
        <f t="shared" si="349"/>
        <v>#VALUE!</v>
      </c>
      <c r="Z525" t="e">
        <f t="shared" si="350"/>
        <v>#VALUE!</v>
      </c>
      <c r="AA525" t="e">
        <f t="shared" si="351"/>
        <v>#VALUE!</v>
      </c>
      <c r="AB525" s="23" t="e">
        <f t="shared" si="369"/>
        <v>#VALUE!</v>
      </c>
      <c r="AC525" t="e">
        <f t="shared" si="352"/>
        <v>#VALUE!</v>
      </c>
      <c r="AD525" t="e">
        <f t="shared" si="353"/>
        <v>#VALUE!</v>
      </c>
      <c r="AE525" t="e">
        <f t="shared" si="354"/>
        <v>#VALUE!</v>
      </c>
      <c r="AF525" t="e">
        <f t="shared" si="355"/>
        <v>#VALUE!</v>
      </c>
      <c r="AG525" t="e">
        <f t="shared" si="356"/>
        <v>#VALUE!</v>
      </c>
      <c r="AH525" t="e">
        <f t="shared" si="357"/>
        <v>#VALUE!</v>
      </c>
      <c r="AI525" t="e">
        <f t="shared" si="358"/>
        <v>#VALUE!</v>
      </c>
      <c r="AJ525" s="19" t="e">
        <f t="shared" si="370"/>
        <v>#VALUE!</v>
      </c>
      <c r="AK525" t="e">
        <f t="shared" si="359"/>
        <v>#VALUE!</v>
      </c>
      <c r="AL525" t="e">
        <f t="shared" si="360"/>
        <v>#VALUE!</v>
      </c>
      <c r="AM525" t="e">
        <f t="shared" si="361"/>
        <v>#VALUE!</v>
      </c>
      <c r="AN525" t="e">
        <f t="shared" si="362"/>
        <v>#VALUE!</v>
      </c>
      <c r="AO525" t="e">
        <f t="shared" si="363"/>
        <v>#VALUE!</v>
      </c>
      <c r="AP525" t="e">
        <f t="shared" si="364"/>
        <v>#VALUE!</v>
      </c>
      <c r="AQ525" t="e">
        <f t="shared" si="365"/>
        <v>#VALUE!</v>
      </c>
      <c r="AR525" s="123" t="e">
        <f t="shared" si="371"/>
        <v>#VALUE!</v>
      </c>
      <c r="AS525" t="e">
        <f t="shared" si="366"/>
        <v>#VALUE!</v>
      </c>
      <c r="AT525" s="181" t="e">
        <f>INDEX('stock fisico '!N:N, MATCH(B525, 'stock fisico '!B:B, 0))</f>
        <v>#N/A</v>
      </c>
      <c r="AU525" s="179" t="e">
        <f>INDEX('stock fisico '!D:D, MATCH(B525, 'stock fisico '!B:B, 0))</f>
        <v>#N/A</v>
      </c>
      <c r="AV525" s="177" t="e">
        <f>INDEX('stock fisico '!L:L, MATCH(B525, 'stock fisico '!B:B, 0))</f>
        <v>#N/A</v>
      </c>
    </row>
    <row r="526" spans="1:48" x14ac:dyDescent="0.25">
      <c r="A526" s="181" t="e">
        <f>INDEX('stock fisico '!M:M, MATCH(B526, 'stock fisico '!B:B, 0))</f>
        <v>#N/A</v>
      </c>
      <c r="C526" s="179" t="e">
        <f>INDEX('stock fisico '!C:C, MATCH(B526, 'stock fisico '!B:B, 0))</f>
        <v>#N/A</v>
      </c>
      <c r="D526" s="178" t="e">
        <f>INDEX('stock fisico '!I:I, MATCH(B526, 'stock fisico '!B:B, 0))</f>
        <v>#N/A</v>
      </c>
      <c r="E526" s="173" t="e">
        <f t="shared" si="372"/>
        <v>#VALUE!</v>
      </c>
      <c r="F526" t="e">
        <f t="shared" si="332"/>
        <v>#VALUE!</v>
      </c>
      <c r="G526" t="e">
        <f t="shared" si="333"/>
        <v>#VALUE!</v>
      </c>
      <c r="H526" t="e">
        <f t="shared" si="334"/>
        <v>#VALUE!</v>
      </c>
      <c r="I526" t="e">
        <f t="shared" si="335"/>
        <v>#VALUE!</v>
      </c>
      <c r="J526" t="e">
        <f t="shared" si="336"/>
        <v>#VALUE!</v>
      </c>
      <c r="K526" t="e">
        <f t="shared" si="337"/>
        <v>#VALUE!</v>
      </c>
      <c r="L526" s="175" t="e">
        <f t="shared" si="367"/>
        <v>#VALUE!</v>
      </c>
      <c r="M526" t="e">
        <f t="shared" si="338"/>
        <v>#VALUE!</v>
      </c>
      <c r="N526" t="e">
        <f t="shared" si="339"/>
        <v>#VALUE!</v>
      </c>
      <c r="O526" t="e">
        <f t="shared" si="340"/>
        <v>#VALUE!</v>
      </c>
      <c r="P526" t="e">
        <f t="shared" si="341"/>
        <v>#VALUE!</v>
      </c>
      <c r="Q526" t="e">
        <f t="shared" si="342"/>
        <v>#VALUE!</v>
      </c>
      <c r="R526" t="e">
        <f t="shared" si="343"/>
        <v>#VALUE!</v>
      </c>
      <c r="S526" t="e">
        <f t="shared" si="344"/>
        <v>#VALUE!</v>
      </c>
      <c r="T526" s="174" t="e">
        <f t="shared" si="368"/>
        <v>#VALUE!</v>
      </c>
      <c r="U526" t="e">
        <f t="shared" si="345"/>
        <v>#VALUE!</v>
      </c>
      <c r="V526" t="e">
        <f t="shared" si="346"/>
        <v>#VALUE!</v>
      </c>
      <c r="W526" t="e">
        <f t="shared" si="347"/>
        <v>#VALUE!</v>
      </c>
      <c r="X526" t="e">
        <f t="shared" si="348"/>
        <v>#VALUE!</v>
      </c>
      <c r="Y526" t="e">
        <f t="shared" si="349"/>
        <v>#VALUE!</v>
      </c>
      <c r="Z526" t="e">
        <f t="shared" si="350"/>
        <v>#VALUE!</v>
      </c>
      <c r="AA526" t="e">
        <f t="shared" si="351"/>
        <v>#VALUE!</v>
      </c>
      <c r="AB526" s="23" t="e">
        <f t="shared" si="369"/>
        <v>#VALUE!</v>
      </c>
      <c r="AC526" t="e">
        <f t="shared" si="352"/>
        <v>#VALUE!</v>
      </c>
      <c r="AD526" t="e">
        <f t="shared" si="353"/>
        <v>#VALUE!</v>
      </c>
      <c r="AE526" t="e">
        <f t="shared" si="354"/>
        <v>#VALUE!</v>
      </c>
      <c r="AF526" t="e">
        <f t="shared" si="355"/>
        <v>#VALUE!</v>
      </c>
      <c r="AG526" t="e">
        <f t="shared" si="356"/>
        <v>#VALUE!</v>
      </c>
      <c r="AH526" t="e">
        <f t="shared" si="357"/>
        <v>#VALUE!</v>
      </c>
      <c r="AI526" t="e">
        <f t="shared" si="358"/>
        <v>#VALUE!</v>
      </c>
      <c r="AJ526" s="19" t="e">
        <f t="shared" si="370"/>
        <v>#VALUE!</v>
      </c>
      <c r="AK526" t="e">
        <f t="shared" si="359"/>
        <v>#VALUE!</v>
      </c>
      <c r="AL526" t="e">
        <f t="shared" si="360"/>
        <v>#VALUE!</v>
      </c>
      <c r="AM526" t="e">
        <f t="shared" si="361"/>
        <v>#VALUE!</v>
      </c>
      <c r="AN526" t="e">
        <f t="shared" si="362"/>
        <v>#VALUE!</v>
      </c>
      <c r="AO526" t="e">
        <f t="shared" si="363"/>
        <v>#VALUE!</v>
      </c>
      <c r="AP526" t="e">
        <f t="shared" si="364"/>
        <v>#VALUE!</v>
      </c>
      <c r="AQ526" t="e">
        <f t="shared" si="365"/>
        <v>#VALUE!</v>
      </c>
      <c r="AR526" s="123" t="e">
        <f t="shared" si="371"/>
        <v>#VALUE!</v>
      </c>
      <c r="AS526" t="e">
        <f t="shared" si="366"/>
        <v>#VALUE!</v>
      </c>
      <c r="AT526" s="181" t="e">
        <f>INDEX('stock fisico '!N:N, MATCH(B526, 'stock fisico '!B:B, 0))</f>
        <v>#N/A</v>
      </c>
      <c r="AU526" s="179" t="e">
        <f>INDEX('stock fisico '!D:D, MATCH(B526, 'stock fisico '!B:B, 0))</f>
        <v>#N/A</v>
      </c>
      <c r="AV526" s="177" t="e">
        <f>INDEX('stock fisico '!L:L, MATCH(B526, 'stock fisico '!B:B, 0))</f>
        <v>#N/A</v>
      </c>
    </row>
    <row r="527" spans="1:48" x14ac:dyDescent="0.25">
      <c r="A527" s="181" t="e">
        <f>INDEX('stock fisico '!M:M, MATCH(B527, 'stock fisico '!B:B, 0))</f>
        <v>#N/A</v>
      </c>
      <c r="C527" s="179" t="e">
        <f>INDEX('stock fisico '!C:C, MATCH(B527, 'stock fisico '!B:B, 0))</f>
        <v>#N/A</v>
      </c>
      <c r="D527" s="178" t="e">
        <f>INDEX('stock fisico '!I:I, MATCH(B527, 'stock fisico '!B:B, 0))</f>
        <v>#N/A</v>
      </c>
      <c r="E527" s="173" t="e">
        <f t="shared" si="372"/>
        <v>#VALUE!</v>
      </c>
      <c r="F527" t="e">
        <f t="shared" si="332"/>
        <v>#VALUE!</v>
      </c>
      <c r="G527" t="e">
        <f t="shared" si="333"/>
        <v>#VALUE!</v>
      </c>
      <c r="H527" t="e">
        <f t="shared" si="334"/>
        <v>#VALUE!</v>
      </c>
      <c r="I527" t="e">
        <f t="shared" si="335"/>
        <v>#VALUE!</v>
      </c>
      <c r="J527" t="e">
        <f t="shared" si="336"/>
        <v>#VALUE!</v>
      </c>
      <c r="K527" t="e">
        <f t="shared" si="337"/>
        <v>#VALUE!</v>
      </c>
      <c r="L527" s="175" t="e">
        <f t="shared" si="367"/>
        <v>#VALUE!</v>
      </c>
      <c r="M527" t="e">
        <f t="shared" si="338"/>
        <v>#VALUE!</v>
      </c>
      <c r="N527" t="e">
        <f t="shared" si="339"/>
        <v>#VALUE!</v>
      </c>
      <c r="O527" t="e">
        <f t="shared" si="340"/>
        <v>#VALUE!</v>
      </c>
      <c r="P527" t="e">
        <f t="shared" si="341"/>
        <v>#VALUE!</v>
      </c>
      <c r="Q527" t="e">
        <f t="shared" si="342"/>
        <v>#VALUE!</v>
      </c>
      <c r="R527" t="e">
        <f t="shared" si="343"/>
        <v>#VALUE!</v>
      </c>
      <c r="S527" t="e">
        <f t="shared" si="344"/>
        <v>#VALUE!</v>
      </c>
      <c r="T527" s="174" t="e">
        <f t="shared" si="368"/>
        <v>#VALUE!</v>
      </c>
      <c r="U527" t="e">
        <f t="shared" si="345"/>
        <v>#VALUE!</v>
      </c>
      <c r="V527" t="e">
        <f t="shared" si="346"/>
        <v>#VALUE!</v>
      </c>
      <c r="W527" t="e">
        <f t="shared" si="347"/>
        <v>#VALUE!</v>
      </c>
      <c r="X527" t="e">
        <f t="shared" si="348"/>
        <v>#VALUE!</v>
      </c>
      <c r="Y527" t="e">
        <f t="shared" si="349"/>
        <v>#VALUE!</v>
      </c>
      <c r="Z527" t="e">
        <f t="shared" si="350"/>
        <v>#VALUE!</v>
      </c>
      <c r="AA527" t="e">
        <f t="shared" si="351"/>
        <v>#VALUE!</v>
      </c>
      <c r="AB527" s="23" t="e">
        <f t="shared" si="369"/>
        <v>#VALUE!</v>
      </c>
      <c r="AC527" t="e">
        <f t="shared" si="352"/>
        <v>#VALUE!</v>
      </c>
      <c r="AD527" t="e">
        <f t="shared" si="353"/>
        <v>#VALUE!</v>
      </c>
      <c r="AE527" t="e">
        <f t="shared" si="354"/>
        <v>#VALUE!</v>
      </c>
      <c r="AF527" t="e">
        <f t="shared" si="355"/>
        <v>#VALUE!</v>
      </c>
      <c r="AG527" t="e">
        <f t="shared" si="356"/>
        <v>#VALUE!</v>
      </c>
      <c r="AH527" t="e">
        <f t="shared" si="357"/>
        <v>#VALUE!</v>
      </c>
      <c r="AI527" t="e">
        <f t="shared" si="358"/>
        <v>#VALUE!</v>
      </c>
      <c r="AJ527" s="19" t="e">
        <f t="shared" si="370"/>
        <v>#VALUE!</v>
      </c>
      <c r="AK527" t="e">
        <f t="shared" si="359"/>
        <v>#VALUE!</v>
      </c>
      <c r="AL527" t="e">
        <f t="shared" si="360"/>
        <v>#VALUE!</v>
      </c>
      <c r="AM527" t="e">
        <f t="shared" si="361"/>
        <v>#VALUE!</v>
      </c>
      <c r="AN527" t="e">
        <f t="shared" si="362"/>
        <v>#VALUE!</v>
      </c>
      <c r="AO527" t="e">
        <f t="shared" si="363"/>
        <v>#VALUE!</v>
      </c>
      <c r="AP527" t="e">
        <f t="shared" si="364"/>
        <v>#VALUE!</v>
      </c>
      <c r="AQ527" t="e">
        <f t="shared" si="365"/>
        <v>#VALUE!</v>
      </c>
      <c r="AR527" s="123" t="e">
        <f t="shared" si="371"/>
        <v>#VALUE!</v>
      </c>
      <c r="AS527" t="e">
        <f t="shared" si="366"/>
        <v>#VALUE!</v>
      </c>
      <c r="AT527" s="181" t="e">
        <f>INDEX('stock fisico '!N:N, MATCH(B527, 'stock fisico '!B:B, 0))</f>
        <v>#N/A</v>
      </c>
      <c r="AU527" s="179" t="e">
        <f>INDEX('stock fisico '!D:D, MATCH(B527, 'stock fisico '!B:B, 0))</f>
        <v>#N/A</v>
      </c>
      <c r="AV527" s="177" t="e">
        <f>INDEX('stock fisico '!L:L, MATCH(B527, 'stock fisico '!B:B, 0))</f>
        <v>#N/A</v>
      </c>
    </row>
    <row r="528" spans="1:48" x14ac:dyDescent="0.25">
      <c r="A528" s="181" t="e">
        <f>INDEX('stock fisico '!M:M, MATCH(B528, 'stock fisico '!B:B, 0))</f>
        <v>#N/A</v>
      </c>
      <c r="C528" s="179" t="e">
        <f>INDEX('stock fisico '!C:C, MATCH(B528, 'stock fisico '!B:B, 0))</f>
        <v>#N/A</v>
      </c>
      <c r="D528" s="178" t="e">
        <f>INDEX('stock fisico '!I:I, MATCH(B528, 'stock fisico '!B:B, 0))</f>
        <v>#N/A</v>
      </c>
      <c r="E528" s="173" t="e">
        <f t="shared" si="372"/>
        <v>#VALUE!</v>
      </c>
      <c r="F528" t="e">
        <f t="shared" si="332"/>
        <v>#VALUE!</v>
      </c>
      <c r="G528" t="e">
        <f t="shared" si="333"/>
        <v>#VALUE!</v>
      </c>
      <c r="H528" t="e">
        <f t="shared" si="334"/>
        <v>#VALUE!</v>
      </c>
      <c r="I528" t="e">
        <f t="shared" si="335"/>
        <v>#VALUE!</v>
      </c>
      <c r="J528" t="e">
        <f t="shared" si="336"/>
        <v>#VALUE!</v>
      </c>
      <c r="K528" t="e">
        <f t="shared" si="337"/>
        <v>#VALUE!</v>
      </c>
      <c r="L528" s="175" t="e">
        <f t="shared" si="367"/>
        <v>#VALUE!</v>
      </c>
      <c r="M528" t="e">
        <f t="shared" si="338"/>
        <v>#VALUE!</v>
      </c>
      <c r="N528" t="e">
        <f t="shared" si="339"/>
        <v>#VALUE!</v>
      </c>
      <c r="O528" t="e">
        <f t="shared" si="340"/>
        <v>#VALUE!</v>
      </c>
      <c r="P528" t="e">
        <f t="shared" si="341"/>
        <v>#VALUE!</v>
      </c>
      <c r="Q528" t="e">
        <f t="shared" si="342"/>
        <v>#VALUE!</v>
      </c>
      <c r="R528" t="e">
        <f t="shared" si="343"/>
        <v>#VALUE!</v>
      </c>
      <c r="S528" t="e">
        <f t="shared" si="344"/>
        <v>#VALUE!</v>
      </c>
      <c r="T528" s="174" t="e">
        <f t="shared" si="368"/>
        <v>#VALUE!</v>
      </c>
      <c r="U528" t="e">
        <f t="shared" si="345"/>
        <v>#VALUE!</v>
      </c>
      <c r="V528" t="e">
        <f t="shared" si="346"/>
        <v>#VALUE!</v>
      </c>
      <c r="W528" t="e">
        <f t="shared" si="347"/>
        <v>#VALUE!</v>
      </c>
      <c r="X528" t="e">
        <f t="shared" si="348"/>
        <v>#VALUE!</v>
      </c>
      <c r="Y528" t="e">
        <f t="shared" si="349"/>
        <v>#VALUE!</v>
      </c>
      <c r="Z528" t="e">
        <f t="shared" si="350"/>
        <v>#VALUE!</v>
      </c>
      <c r="AA528" t="e">
        <f t="shared" si="351"/>
        <v>#VALUE!</v>
      </c>
      <c r="AB528" s="23" t="e">
        <f t="shared" si="369"/>
        <v>#VALUE!</v>
      </c>
      <c r="AC528" t="e">
        <f t="shared" si="352"/>
        <v>#VALUE!</v>
      </c>
      <c r="AD528" t="e">
        <f t="shared" si="353"/>
        <v>#VALUE!</v>
      </c>
      <c r="AE528" t="e">
        <f t="shared" si="354"/>
        <v>#VALUE!</v>
      </c>
      <c r="AF528" t="e">
        <f t="shared" si="355"/>
        <v>#VALUE!</v>
      </c>
      <c r="AG528" t="e">
        <f t="shared" si="356"/>
        <v>#VALUE!</v>
      </c>
      <c r="AH528" t="e">
        <f t="shared" si="357"/>
        <v>#VALUE!</v>
      </c>
      <c r="AI528" t="e">
        <f t="shared" si="358"/>
        <v>#VALUE!</v>
      </c>
      <c r="AJ528" s="19" t="e">
        <f t="shared" si="370"/>
        <v>#VALUE!</v>
      </c>
      <c r="AK528" t="e">
        <f t="shared" si="359"/>
        <v>#VALUE!</v>
      </c>
      <c r="AL528" t="e">
        <f t="shared" si="360"/>
        <v>#VALUE!</v>
      </c>
      <c r="AM528" t="e">
        <f t="shared" si="361"/>
        <v>#VALUE!</v>
      </c>
      <c r="AN528" t="e">
        <f t="shared" si="362"/>
        <v>#VALUE!</v>
      </c>
      <c r="AO528" t="e">
        <f t="shared" si="363"/>
        <v>#VALUE!</v>
      </c>
      <c r="AP528" t="e">
        <f t="shared" si="364"/>
        <v>#VALUE!</v>
      </c>
      <c r="AQ528" t="e">
        <f t="shared" si="365"/>
        <v>#VALUE!</v>
      </c>
      <c r="AR528" s="123" t="e">
        <f t="shared" si="371"/>
        <v>#VALUE!</v>
      </c>
      <c r="AS528" t="e">
        <f t="shared" si="366"/>
        <v>#VALUE!</v>
      </c>
      <c r="AT528" s="181" t="e">
        <f>INDEX('stock fisico '!N:N, MATCH(B528, 'stock fisico '!B:B, 0))</f>
        <v>#N/A</v>
      </c>
      <c r="AU528" s="179" t="e">
        <f>INDEX('stock fisico '!D:D, MATCH(B528, 'stock fisico '!B:B, 0))</f>
        <v>#N/A</v>
      </c>
      <c r="AV528" s="177" t="e">
        <f>INDEX('stock fisico '!L:L, MATCH(B528, 'stock fisico '!B:B, 0))</f>
        <v>#N/A</v>
      </c>
    </row>
    <row r="529" spans="1:48" x14ac:dyDescent="0.25">
      <c r="A529" s="181" t="e">
        <f>INDEX('stock fisico '!M:M, MATCH(B529, 'stock fisico '!B:B, 0))</f>
        <v>#N/A</v>
      </c>
      <c r="C529" s="179" t="e">
        <f>INDEX('stock fisico '!C:C, MATCH(B529, 'stock fisico '!B:B, 0))</f>
        <v>#N/A</v>
      </c>
      <c r="D529" s="178" t="e">
        <f>INDEX('stock fisico '!I:I, MATCH(B529, 'stock fisico '!B:B, 0))</f>
        <v>#N/A</v>
      </c>
      <c r="E529" s="173" t="e">
        <f t="shared" si="372"/>
        <v>#VALUE!</v>
      </c>
      <c r="F529" t="e">
        <f t="shared" si="332"/>
        <v>#VALUE!</v>
      </c>
      <c r="G529" t="e">
        <f t="shared" si="333"/>
        <v>#VALUE!</v>
      </c>
      <c r="H529" t="e">
        <f t="shared" si="334"/>
        <v>#VALUE!</v>
      </c>
      <c r="I529" t="e">
        <f t="shared" si="335"/>
        <v>#VALUE!</v>
      </c>
      <c r="J529" t="e">
        <f t="shared" si="336"/>
        <v>#VALUE!</v>
      </c>
      <c r="K529" t="e">
        <f t="shared" si="337"/>
        <v>#VALUE!</v>
      </c>
      <c r="L529" s="175" t="e">
        <f t="shared" si="367"/>
        <v>#VALUE!</v>
      </c>
      <c r="M529" t="e">
        <f t="shared" si="338"/>
        <v>#VALUE!</v>
      </c>
      <c r="N529" t="e">
        <f t="shared" si="339"/>
        <v>#VALUE!</v>
      </c>
      <c r="O529" t="e">
        <f t="shared" si="340"/>
        <v>#VALUE!</v>
      </c>
      <c r="P529" t="e">
        <f t="shared" si="341"/>
        <v>#VALUE!</v>
      </c>
      <c r="Q529" t="e">
        <f t="shared" si="342"/>
        <v>#VALUE!</v>
      </c>
      <c r="R529" t="e">
        <f t="shared" si="343"/>
        <v>#VALUE!</v>
      </c>
      <c r="S529" t="e">
        <f t="shared" si="344"/>
        <v>#VALUE!</v>
      </c>
      <c r="T529" s="174" t="e">
        <f t="shared" si="368"/>
        <v>#VALUE!</v>
      </c>
      <c r="U529" t="e">
        <f t="shared" si="345"/>
        <v>#VALUE!</v>
      </c>
      <c r="V529" t="e">
        <f t="shared" si="346"/>
        <v>#VALUE!</v>
      </c>
      <c r="W529" t="e">
        <f t="shared" si="347"/>
        <v>#VALUE!</v>
      </c>
      <c r="X529" t="e">
        <f t="shared" si="348"/>
        <v>#VALUE!</v>
      </c>
      <c r="Y529" t="e">
        <f t="shared" si="349"/>
        <v>#VALUE!</v>
      </c>
      <c r="Z529" t="e">
        <f t="shared" si="350"/>
        <v>#VALUE!</v>
      </c>
      <c r="AA529" t="e">
        <f t="shared" si="351"/>
        <v>#VALUE!</v>
      </c>
      <c r="AB529" s="23" t="e">
        <f t="shared" si="369"/>
        <v>#VALUE!</v>
      </c>
      <c r="AC529" t="e">
        <f t="shared" si="352"/>
        <v>#VALUE!</v>
      </c>
      <c r="AD529" t="e">
        <f t="shared" si="353"/>
        <v>#VALUE!</v>
      </c>
      <c r="AE529" t="e">
        <f t="shared" si="354"/>
        <v>#VALUE!</v>
      </c>
      <c r="AF529" t="e">
        <f t="shared" si="355"/>
        <v>#VALUE!</v>
      </c>
      <c r="AG529" t="e">
        <f t="shared" si="356"/>
        <v>#VALUE!</v>
      </c>
      <c r="AH529" t="e">
        <f t="shared" si="357"/>
        <v>#VALUE!</v>
      </c>
      <c r="AI529" t="e">
        <f t="shared" si="358"/>
        <v>#VALUE!</v>
      </c>
      <c r="AJ529" s="19" t="e">
        <f t="shared" si="370"/>
        <v>#VALUE!</v>
      </c>
      <c r="AK529" t="e">
        <f t="shared" si="359"/>
        <v>#VALUE!</v>
      </c>
      <c r="AL529" t="e">
        <f t="shared" si="360"/>
        <v>#VALUE!</v>
      </c>
      <c r="AM529" t="e">
        <f t="shared" si="361"/>
        <v>#VALUE!</v>
      </c>
      <c r="AN529" t="e">
        <f t="shared" si="362"/>
        <v>#VALUE!</v>
      </c>
      <c r="AO529" t="e">
        <f t="shared" si="363"/>
        <v>#VALUE!</v>
      </c>
      <c r="AP529" t="e">
        <f t="shared" si="364"/>
        <v>#VALUE!</v>
      </c>
      <c r="AQ529" t="e">
        <f t="shared" si="365"/>
        <v>#VALUE!</v>
      </c>
      <c r="AR529" s="123" t="e">
        <f t="shared" si="371"/>
        <v>#VALUE!</v>
      </c>
      <c r="AS529" t="e">
        <f t="shared" si="366"/>
        <v>#VALUE!</v>
      </c>
      <c r="AT529" s="181" t="e">
        <f>INDEX('stock fisico '!N:N, MATCH(B529, 'stock fisico '!B:B, 0))</f>
        <v>#N/A</v>
      </c>
      <c r="AU529" s="179" t="e">
        <f>INDEX('stock fisico '!D:D, MATCH(B529, 'stock fisico '!B:B, 0))</f>
        <v>#N/A</v>
      </c>
      <c r="AV529" s="177" t="e">
        <f>INDEX('stock fisico '!L:L, MATCH(B529, 'stock fisico '!B:B, 0))</f>
        <v>#N/A</v>
      </c>
    </row>
    <row r="530" spans="1:48" x14ac:dyDescent="0.25">
      <c r="A530" s="181" t="e">
        <f>INDEX('stock fisico '!M:M, MATCH(B530, 'stock fisico '!B:B, 0))</f>
        <v>#N/A</v>
      </c>
      <c r="C530" s="179" t="e">
        <f>INDEX('stock fisico '!C:C, MATCH(B530, 'stock fisico '!B:B, 0))</f>
        <v>#N/A</v>
      </c>
      <c r="D530" s="178" t="e">
        <f>INDEX('stock fisico '!I:I, MATCH(B530, 'stock fisico '!B:B, 0))</f>
        <v>#N/A</v>
      </c>
      <c r="E530" s="173" t="e">
        <f t="shared" si="372"/>
        <v>#VALUE!</v>
      </c>
      <c r="F530" t="e">
        <f t="shared" si="332"/>
        <v>#VALUE!</v>
      </c>
      <c r="G530" t="e">
        <f t="shared" si="333"/>
        <v>#VALUE!</v>
      </c>
      <c r="H530" t="e">
        <f t="shared" si="334"/>
        <v>#VALUE!</v>
      </c>
      <c r="I530" t="e">
        <f t="shared" si="335"/>
        <v>#VALUE!</v>
      </c>
      <c r="J530" t="e">
        <f t="shared" si="336"/>
        <v>#VALUE!</v>
      </c>
      <c r="K530" t="e">
        <f t="shared" si="337"/>
        <v>#VALUE!</v>
      </c>
      <c r="L530" s="175" t="e">
        <f t="shared" si="367"/>
        <v>#VALUE!</v>
      </c>
      <c r="M530" t="e">
        <f t="shared" si="338"/>
        <v>#VALUE!</v>
      </c>
      <c r="N530" t="e">
        <f t="shared" si="339"/>
        <v>#VALUE!</v>
      </c>
      <c r="O530" t="e">
        <f t="shared" si="340"/>
        <v>#VALUE!</v>
      </c>
      <c r="P530" t="e">
        <f t="shared" si="341"/>
        <v>#VALUE!</v>
      </c>
      <c r="Q530" t="e">
        <f t="shared" si="342"/>
        <v>#VALUE!</v>
      </c>
      <c r="R530" t="e">
        <f t="shared" si="343"/>
        <v>#VALUE!</v>
      </c>
      <c r="S530" t="e">
        <f t="shared" si="344"/>
        <v>#VALUE!</v>
      </c>
      <c r="T530" s="174" t="e">
        <f t="shared" si="368"/>
        <v>#VALUE!</v>
      </c>
      <c r="U530" t="e">
        <f t="shared" si="345"/>
        <v>#VALUE!</v>
      </c>
      <c r="V530" t="e">
        <f t="shared" si="346"/>
        <v>#VALUE!</v>
      </c>
      <c r="W530" t="e">
        <f t="shared" si="347"/>
        <v>#VALUE!</v>
      </c>
      <c r="X530" t="e">
        <f t="shared" si="348"/>
        <v>#VALUE!</v>
      </c>
      <c r="Y530" t="e">
        <f t="shared" si="349"/>
        <v>#VALUE!</v>
      </c>
      <c r="Z530" t="e">
        <f t="shared" si="350"/>
        <v>#VALUE!</v>
      </c>
      <c r="AA530" t="e">
        <f t="shared" si="351"/>
        <v>#VALUE!</v>
      </c>
      <c r="AB530" s="23" t="e">
        <f t="shared" si="369"/>
        <v>#VALUE!</v>
      </c>
      <c r="AC530" t="e">
        <f t="shared" si="352"/>
        <v>#VALUE!</v>
      </c>
      <c r="AD530" t="e">
        <f t="shared" si="353"/>
        <v>#VALUE!</v>
      </c>
      <c r="AE530" t="e">
        <f t="shared" si="354"/>
        <v>#VALUE!</v>
      </c>
      <c r="AF530" t="e">
        <f t="shared" si="355"/>
        <v>#VALUE!</v>
      </c>
      <c r="AG530" t="e">
        <f t="shared" si="356"/>
        <v>#VALUE!</v>
      </c>
      <c r="AH530" t="e">
        <f t="shared" si="357"/>
        <v>#VALUE!</v>
      </c>
      <c r="AI530" t="e">
        <f t="shared" si="358"/>
        <v>#VALUE!</v>
      </c>
      <c r="AJ530" s="19" t="e">
        <f t="shared" si="370"/>
        <v>#VALUE!</v>
      </c>
      <c r="AK530" t="e">
        <f t="shared" si="359"/>
        <v>#VALUE!</v>
      </c>
      <c r="AL530" t="e">
        <f t="shared" si="360"/>
        <v>#VALUE!</v>
      </c>
      <c r="AM530" t="e">
        <f t="shared" si="361"/>
        <v>#VALUE!</v>
      </c>
      <c r="AN530" t="e">
        <f t="shared" si="362"/>
        <v>#VALUE!</v>
      </c>
      <c r="AO530" t="e">
        <f t="shared" si="363"/>
        <v>#VALUE!</v>
      </c>
      <c r="AP530" t="e">
        <f t="shared" si="364"/>
        <v>#VALUE!</v>
      </c>
      <c r="AQ530" t="e">
        <f t="shared" si="365"/>
        <v>#VALUE!</v>
      </c>
      <c r="AR530" s="123" t="e">
        <f t="shared" si="371"/>
        <v>#VALUE!</v>
      </c>
      <c r="AS530" t="e">
        <f t="shared" si="366"/>
        <v>#VALUE!</v>
      </c>
      <c r="AT530" s="181" t="e">
        <f>INDEX('stock fisico '!N:N, MATCH(B530, 'stock fisico '!B:B, 0))</f>
        <v>#N/A</v>
      </c>
      <c r="AU530" s="179" t="e">
        <f>INDEX('stock fisico '!D:D, MATCH(B530, 'stock fisico '!B:B, 0))</f>
        <v>#N/A</v>
      </c>
      <c r="AV530" s="177" t="e">
        <f>INDEX('stock fisico '!L:L, MATCH(B530, 'stock fisico '!B:B, 0))</f>
        <v>#N/A</v>
      </c>
    </row>
    <row r="531" spans="1:48" x14ac:dyDescent="0.25">
      <c r="A531" s="181" t="e">
        <f>INDEX('stock fisico '!M:M, MATCH(B531, 'stock fisico '!B:B, 0))</f>
        <v>#N/A</v>
      </c>
      <c r="C531" s="179" t="e">
        <f>INDEX('stock fisico '!C:C, MATCH(B531, 'stock fisico '!B:B, 0))</f>
        <v>#N/A</v>
      </c>
      <c r="D531" s="178" t="e">
        <f>INDEX('stock fisico '!I:I, MATCH(B531, 'stock fisico '!B:B, 0))</f>
        <v>#N/A</v>
      </c>
      <c r="E531" s="173" t="e">
        <f t="shared" si="372"/>
        <v>#VALUE!</v>
      </c>
      <c r="F531" t="e">
        <f t="shared" si="332"/>
        <v>#VALUE!</v>
      </c>
      <c r="G531" t="e">
        <f t="shared" si="333"/>
        <v>#VALUE!</v>
      </c>
      <c r="H531" t="e">
        <f t="shared" si="334"/>
        <v>#VALUE!</v>
      </c>
      <c r="I531" t="e">
        <f t="shared" si="335"/>
        <v>#VALUE!</v>
      </c>
      <c r="J531" t="e">
        <f t="shared" si="336"/>
        <v>#VALUE!</v>
      </c>
      <c r="K531" t="e">
        <f t="shared" si="337"/>
        <v>#VALUE!</v>
      </c>
      <c r="L531" s="175" t="e">
        <f t="shared" si="367"/>
        <v>#VALUE!</v>
      </c>
      <c r="M531" t="e">
        <f t="shared" si="338"/>
        <v>#VALUE!</v>
      </c>
      <c r="N531" t="e">
        <f t="shared" si="339"/>
        <v>#VALUE!</v>
      </c>
      <c r="O531" t="e">
        <f t="shared" si="340"/>
        <v>#VALUE!</v>
      </c>
      <c r="P531" t="e">
        <f t="shared" si="341"/>
        <v>#VALUE!</v>
      </c>
      <c r="Q531" t="e">
        <f t="shared" si="342"/>
        <v>#VALUE!</v>
      </c>
      <c r="R531" t="e">
        <f t="shared" si="343"/>
        <v>#VALUE!</v>
      </c>
      <c r="S531" t="e">
        <f t="shared" si="344"/>
        <v>#VALUE!</v>
      </c>
      <c r="T531" s="174" t="e">
        <f t="shared" si="368"/>
        <v>#VALUE!</v>
      </c>
      <c r="U531" t="e">
        <f t="shared" si="345"/>
        <v>#VALUE!</v>
      </c>
      <c r="V531" t="e">
        <f t="shared" si="346"/>
        <v>#VALUE!</v>
      </c>
      <c r="W531" t="e">
        <f t="shared" si="347"/>
        <v>#VALUE!</v>
      </c>
      <c r="X531" t="e">
        <f t="shared" si="348"/>
        <v>#VALUE!</v>
      </c>
      <c r="Y531" t="e">
        <f t="shared" si="349"/>
        <v>#VALUE!</v>
      </c>
      <c r="Z531" t="e">
        <f t="shared" si="350"/>
        <v>#VALUE!</v>
      </c>
      <c r="AA531" t="e">
        <f t="shared" si="351"/>
        <v>#VALUE!</v>
      </c>
      <c r="AB531" s="23" t="e">
        <f t="shared" si="369"/>
        <v>#VALUE!</v>
      </c>
      <c r="AC531" t="e">
        <f t="shared" si="352"/>
        <v>#VALUE!</v>
      </c>
      <c r="AD531" t="e">
        <f t="shared" si="353"/>
        <v>#VALUE!</v>
      </c>
      <c r="AE531" t="e">
        <f t="shared" si="354"/>
        <v>#VALUE!</v>
      </c>
      <c r="AF531" t="e">
        <f t="shared" si="355"/>
        <v>#VALUE!</v>
      </c>
      <c r="AG531" t="e">
        <f t="shared" si="356"/>
        <v>#VALUE!</v>
      </c>
      <c r="AH531" t="e">
        <f t="shared" si="357"/>
        <v>#VALUE!</v>
      </c>
      <c r="AI531" t="e">
        <f t="shared" si="358"/>
        <v>#VALUE!</v>
      </c>
      <c r="AJ531" s="19" t="e">
        <f t="shared" si="370"/>
        <v>#VALUE!</v>
      </c>
      <c r="AK531" t="e">
        <f t="shared" si="359"/>
        <v>#VALUE!</v>
      </c>
      <c r="AL531" t="e">
        <f t="shared" si="360"/>
        <v>#VALUE!</v>
      </c>
      <c r="AM531" t="e">
        <f t="shared" si="361"/>
        <v>#VALUE!</v>
      </c>
      <c r="AN531" t="e">
        <f t="shared" si="362"/>
        <v>#VALUE!</v>
      </c>
      <c r="AO531" t="e">
        <f t="shared" si="363"/>
        <v>#VALUE!</v>
      </c>
      <c r="AP531" t="e">
        <f t="shared" si="364"/>
        <v>#VALUE!</v>
      </c>
      <c r="AQ531" t="e">
        <f t="shared" si="365"/>
        <v>#VALUE!</v>
      </c>
      <c r="AR531" s="123" t="e">
        <f t="shared" si="371"/>
        <v>#VALUE!</v>
      </c>
      <c r="AS531" t="e">
        <f t="shared" si="366"/>
        <v>#VALUE!</v>
      </c>
      <c r="AT531" s="181" t="e">
        <f>INDEX('stock fisico '!N:N, MATCH(B531, 'stock fisico '!B:B, 0))</f>
        <v>#N/A</v>
      </c>
      <c r="AU531" s="179" t="e">
        <f>INDEX('stock fisico '!D:D, MATCH(B531, 'stock fisico '!B:B, 0))</f>
        <v>#N/A</v>
      </c>
      <c r="AV531" s="177" t="e">
        <f>INDEX('stock fisico '!L:L, MATCH(B531, 'stock fisico '!B:B, 0))</f>
        <v>#N/A</v>
      </c>
    </row>
    <row r="532" spans="1:48" x14ac:dyDescent="0.25">
      <c r="A532" s="181" t="e">
        <f>INDEX('stock fisico '!M:M, MATCH(B532, 'stock fisico '!B:B, 0))</f>
        <v>#N/A</v>
      </c>
      <c r="C532" s="179" t="e">
        <f>INDEX('stock fisico '!C:C, MATCH(B532, 'stock fisico '!B:B, 0))</f>
        <v>#N/A</v>
      </c>
      <c r="D532" s="178" t="e">
        <f>INDEX('stock fisico '!I:I, MATCH(B532, 'stock fisico '!B:B, 0))</f>
        <v>#N/A</v>
      </c>
      <c r="E532" s="173" t="e">
        <f t="shared" si="372"/>
        <v>#VALUE!</v>
      </c>
      <c r="F532" t="e">
        <f t="shared" si="332"/>
        <v>#VALUE!</v>
      </c>
      <c r="G532" t="e">
        <f t="shared" si="333"/>
        <v>#VALUE!</v>
      </c>
      <c r="H532" t="e">
        <f t="shared" si="334"/>
        <v>#VALUE!</v>
      </c>
      <c r="I532" t="e">
        <f t="shared" si="335"/>
        <v>#VALUE!</v>
      </c>
      <c r="J532" t="e">
        <f t="shared" si="336"/>
        <v>#VALUE!</v>
      </c>
      <c r="K532" t="e">
        <f t="shared" si="337"/>
        <v>#VALUE!</v>
      </c>
      <c r="L532" s="175" t="e">
        <f t="shared" si="367"/>
        <v>#VALUE!</v>
      </c>
      <c r="M532" t="e">
        <f t="shared" si="338"/>
        <v>#VALUE!</v>
      </c>
      <c r="N532" t="e">
        <f t="shared" si="339"/>
        <v>#VALUE!</v>
      </c>
      <c r="O532" t="e">
        <f t="shared" si="340"/>
        <v>#VALUE!</v>
      </c>
      <c r="P532" t="e">
        <f t="shared" si="341"/>
        <v>#VALUE!</v>
      </c>
      <c r="Q532" t="e">
        <f t="shared" si="342"/>
        <v>#VALUE!</v>
      </c>
      <c r="R532" t="e">
        <f t="shared" si="343"/>
        <v>#VALUE!</v>
      </c>
      <c r="S532" t="e">
        <f t="shared" si="344"/>
        <v>#VALUE!</v>
      </c>
      <c r="T532" s="174" t="e">
        <f t="shared" si="368"/>
        <v>#VALUE!</v>
      </c>
      <c r="U532" t="e">
        <f t="shared" si="345"/>
        <v>#VALUE!</v>
      </c>
      <c r="V532" t="e">
        <f t="shared" si="346"/>
        <v>#VALUE!</v>
      </c>
      <c r="W532" t="e">
        <f t="shared" si="347"/>
        <v>#VALUE!</v>
      </c>
      <c r="X532" t="e">
        <f t="shared" si="348"/>
        <v>#VALUE!</v>
      </c>
      <c r="Y532" t="e">
        <f t="shared" si="349"/>
        <v>#VALUE!</v>
      </c>
      <c r="Z532" t="e">
        <f t="shared" si="350"/>
        <v>#VALUE!</v>
      </c>
      <c r="AA532" t="e">
        <f t="shared" si="351"/>
        <v>#VALUE!</v>
      </c>
      <c r="AB532" s="23" t="e">
        <f t="shared" si="369"/>
        <v>#VALUE!</v>
      </c>
      <c r="AC532" t="e">
        <f t="shared" si="352"/>
        <v>#VALUE!</v>
      </c>
      <c r="AD532" t="e">
        <f t="shared" si="353"/>
        <v>#VALUE!</v>
      </c>
      <c r="AE532" t="e">
        <f t="shared" si="354"/>
        <v>#VALUE!</v>
      </c>
      <c r="AF532" t="e">
        <f t="shared" si="355"/>
        <v>#VALUE!</v>
      </c>
      <c r="AG532" t="e">
        <f t="shared" si="356"/>
        <v>#VALUE!</v>
      </c>
      <c r="AH532" t="e">
        <f t="shared" si="357"/>
        <v>#VALUE!</v>
      </c>
      <c r="AI532" t="e">
        <f t="shared" si="358"/>
        <v>#VALUE!</v>
      </c>
      <c r="AJ532" s="19" t="e">
        <f t="shared" si="370"/>
        <v>#VALUE!</v>
      </c>
      <c r="AK532" t="e">
        <f t="shared" si="359"/>
        <v>#VALUE!</v>
      </c>
      <c r="AL532" t="e">
        <f t="shared" si="360"/>
        <v>#VALUE!</v>
      </c>
      <c r="AM532" t="e">
        <f t="shared" si="361"/>
        <v>#VALUE!</v>
      </c>
      <c r="AN532" t="e">
        <f t="shared" si="362"/>
        <v>#VALUE!</v>
      </c>
      <c r="AO532" t="e">
        <f t="shared" si="363"/>
        <v>#VALUE!</v>
      </c>
      <c r="AP532" t="e">
        <f t="shared" si="364"/>
        <v>#VALUE!</v>
      </c>
      <c r="AQ532" t="e">
        <f t="shared" si="365"/>
        <v>#VALUE!</v>
      </c>
      <c r="AR532" s="123" t="e">
        <f t="shared" si="371"/>
        <v>#VALUE!</v>
      </c>
      <c r="AS532" t="e">
        <f t="shared" si="366"/>
        <v>#VALUE!</v>
      </c>
      <c r="AT532" s="181" t="e">
        <f>INDEX('stock fisico '!N:N, MATCH(B532, 'stock fisico '!B:B, 0))</f>
        <v>#N/A</v>
      </c>
      <c r="AU532" s="179" t="e">
        <f>INDEX('stock fisico '!D:D, MATCH(B532, 'stock fisico '!B:B, 0))</f>
        <v>#N/A</v>
      </c>
      <c r="AV532" s="177" t="e">
        <f>INDEX('stock fisico '!L:L, MATCH(B532, 'stock fisico '!B:B, 0))</f>
        <v>#N/A</v>
      </c>
    </row>
    <row r="533" spans="1:48" x14ac:dyDescent="0.25">
      <c r="A533" s="181" t="e">
        <f>INDEX('stock fisico '!M:M, MATCH(B533, 'stock fisico '!B:B, 0))</f>
        <v>#N/A</v>
      </c>
      <c r="C533" s="179" t="e">
        <f>INDEX('stock fisico '!C:C, MATCH(B533, 'stock fisico '!B:B, 0))</f>
        <v>#N/A</v>
      </c>
      <c r="D533" s="178" t="e">
        <f>INDEX('stock fisico '!I:I, MATCH(B533, 'stock fisico '!B:B, 0))</f>
        <v>#N/A</v>
      </c>
      <c r="E533" s="173" t="e">
        <f t="shared" si="372"/>
        <v>#VALUE!</v>
      </c>
      <c r="F533" t="e">
        <f t="shared" si="332"/>
        <v>#VALUE!</v>
      </c>
      <c r="G533" t="e">
        <f t="shared" si="333"/>
        <v>#VALUE!</v>
      </c>
      <c r="H533" t="e">
        <f t="shared" si="334"/>
        <v>#VALUE!</v>
      </c>
      <c r="I533" t="e">
        <f t="shared" si="335"/>
        <v>#VALUE!</v>
      </c>
      <c r="J533" t="e">
        <f t="shared" si="336"/>
        <v>#VALUE!</v>
      </c>
      <c r="K533" t="e">
        <f t="shared" si="337"/>
        <v>#VALUE!</v>
      </c>
      <c r="L533" s="175" t="e">
        <f t="shared" si="367"/>
        <v>#VALUE!</v>
      </c>
      <c r="M533" t="e">
        <f t="shared" si="338"/>
        <v>#VALUE!</v>
      </c>
      <c r="N533" t="e">
        <f t="shared" si="339"/>
        <v>#VALUE!</v>
      </c>
      <c r="O533" t="e">
        <f t="shared" si="340"/>
        <v>#VALUE!</v>
      </c>
      <c r="P533" t="e">
        <f t="shared" si="341"/>
        <v>#VALUE!</v>
      </c>
      <c r="Q533" t="e">
        <f t="shared" si="342"/>
        <v>#VALUE!</v>
      </c>
      <c r="R533" t="e">
        <f t="shared" si="343"/>
        <v>#VALUE!</v>
      </c>
      <c r="S533" t="e">
        <f t="shared" si="344"/>
        <v>#VALUE!</v>
      </c>
      <c r="T533" s="174" t="e">
        <f t="shared" si="368"/>
        <v>#VALUE!</v>
      </c>
      <c r="U533" t="e">
        <f t="shared" si="345"/>
        <v>#VALUE!</v>
      </c>
      <c r="V533" t="e">
        <f t="shared" si="346"/>
        <v>#VALUE!</v>
      </c>
      <c r="W533" t="e">
        <f t="shared" si="347"/>
        <v>#VALUE!</v>
      </c>
      <c r="X533" t="e">
        <f t="shared" si="348"/>
        <v>#VALUE!</v>
      </c>
      <c r="Y533" t="e">
        <f t="shared" si="349"/>
        <v>#VALUE!</v>
      </c>
      <c r="Z533" t="e">
        <f t="shared" si="350"/>
        <v>#VALUE!</v>
      </c>
      <c r="AA533" t="e">
        <f t="shared" si="351"/>
        <v>#VALUE!</v>
      </c>
      <c r="AB533" s="23" t="e">
        <f t="shared" si="369"/>
        <v>#VALUE!</v>
      </c>
      <c r="AC533" t="e">
        <f t="shared" si="352"/>
        <v>#VALUE!</v>
      </c>
      <c r="AD533" t="e">
        <f t="shared" si="353"/>
        <v>#VALUE!</v>
      </c>
      <c r="AE533" t="e">
        <f t="shared" si="354"/>
        <v>#VALUE!</v>
      </c>
      <c r="AF533" t="e">
        <f t="shared" si="355"/>
        <v>#VALUE!</v>
      </c>
      <c r="AG533" t="e">
        <f t="shared" si="356"/>
        <v>#VALUE!</v>
      </c>
      <c r="AH533" t="e">
        <f t="shared" si="357"/>
        <v>#VALUE!</v>
      </c>
      <c r="AI533" t="e">
        <f t="shared" si="358"/>
        <v>#VALUE!</v>
      </c>
      <c r="AJ533" s="19" t="e">
        <f t="shared" si="370"/>
        <v>#VALUE!</v>
      </c>
      <c r="AK533" t="e">
        <f t="shared" si="359"/>
        <v>#VALUE!</v>
      </c>
      <c r="AL533" t="e">
        <f t="shared" si="360"/>
        <v>#VALUE!</v>
      </c>
      <c r="AM533" t="e">
        <f t="shared" si="361"/>
        <v>#VALUE!</v>
      </c>
      <c r="AN533" t="e">
        <f t="shared" si="362"/>
        <v>#VALUE!</v>
      </c>
      <c r="AO533" t="e">
        <f t="shared" si="363"/>
        <v>#VALUE!</v>
      </c>
      <c r="AP533" t="e">
        <f t="shared" si="364"/>
        <v>#VALUE!</v>
      </c>
      <c r="AQ533" t="e">
        <f t="shared" si="365"/>
        <v>#VALUE!</v>
      </c>
      <c r="AR533" s="123" t="e">
        <f t="shared" si="371"/>
        <v>#VALUE!</v>
      </c>
      <c r="AS533" t="e">
        <f t="shared" si="366"/>
        <v>#VALUE!</v>
      </c>
      <c r="AT533" s="181" t="e">
        <f>INDEX('stock fisico '!N:N, MATCH(B533, 'stock fisico '!B:B, 0))</f>
        <v>#N/A</v>
      </c>
      <c r="AU533" s="179" t="e">
        <f>INDEX('stock fisico '!D:D, MATCH(B533, 'stock fisico '!B:B, 0))</f>
        <v>#N/A</v>
      </c>
      <c r="AV533" s="177" t="e">
        <f>INDEX('stock fisico '!L:L, MATCH(B533, 'stock fisico '!B:B, 0))</f>
        <v>#N/A</v>
      </c>
    </row>
    <row r="534" spans="1:48" x14ac:dyDescent="0.25">
      <c r="A534" s="181" t="e">
        <f>INDEX('stock fisico '!M:M, MATCH(B534, 'stock fisico '!B:B, 0))</f>
        <v>#N/A</v>
      </c>
      <c r="C534" s="179" t="e">
        <f>INDEX('stock fisico '!C:C, MATCH(B534, 'stock fisico '!B:B, 0))</f>
        <v>#N/A</v>
      </c>
      <c r="D534" s="178" t="e">
        <f>INDEX('stock fisico '!I:I, MATCH(B534, 'stock fisico '!B:B, 0))</f>
        <v>#N/A</v>
      </c>
      <c r="E534" s="173" t="e">
        <f t="shared" si="372"/>
        <v>#VALUE!</v>
      </c>
      <c r="F534" t="e">
        <f t="shared" si="332"/>
        <v>#VALUE!</v>
      </c>
      <c r="G534" t="e">
        <f t="shared" si="333"/>
        <v>#VALUE!</v>
      </c>
      <c r="H534" t="e">
        <f t="shared" si="334"/>
        <v>#VALUE!</v>
      </c>
      <c r="I534" t="e">
        <f t="shared" si="335"/>
        <v>#VALUE!</v>
      </c>
      <c r="J534" t="e">
        <f t="shared" si="336"/>
        <v>#VALUE!</v>
      </c>
      <c r="K534" t="e">
        <f t="shared" si="337"/>
        <v>#VALUE!</v>
      </c>
      <c r="L534" s="175" t="e">
        <f t="shared" si="367"/>
        <v>#VALUE!</v>
      </c>
      <c r="M534" t="e">
        <f t="shared" si="338"/>
        <v>#VALUE!</v>
      </c>
      <c r="N534" t="e">
        <f t="shared" si="339"/>
        <v>#VALUE!</v>
      </c>
      <c r="O534" t="e">
        <f t="shared" si="340"/>
        <v>#VALUE!</v>
      </c>
      <c r="P534" t="e">
        <f t="shared" si="341"/>
        <v>#VALUE!</v>
      </c>
      <c r="Q534" t="e">
        <f t="shared" si="342"/>
        <v>#VALUE!</v>
      </c>
      <c r="R534" t="e">
        <f t="shared" si="343"/>
        <v>#VALUE!</v>
      </c>
      <c r="S534" t="e">
        <f t="shared" si="344"/>
        <v>#VALUE!</v>
      </c>
      <c r="T534" s="174" t="e">
        <f t="shared" si="368"/>
        <v>#VALUE!</v>
      </c>
      <c r="U534" t="e">
        <f t="shared" si="345"/>
        <v>#VALUE!</v>
      </c>
      <c r="V534" t="e">
        <f t="shared" si="346"/>
        <v>#VALUE!</v>
      </c>
      <c r="W534" t="e">
        <f t="shared" si="347"/>
        <v>#VALUE!</v>
      </c>
      <c r="X534" t="e">
        <f t="shared" si="348"/>
        <v>#VALUE!</v>
      </c>
      <c r="Y534" t="e">
        <f t="shared" si="349"/>
        <v>#VALUE!</v>
      </c>
      <c r="Z534" t="e">
        <f t="shared" si="350"/>
        <v>#VALUE!</v>
      </c>
      <c r="AA534" t="e">
        <f t="shared" si="351"/>
        <v>#VALUE!</v>
      </c>
      <c r="AB534" s="23" t="e">
        <f t="shared" si="369"/>
        <v>#VALUE!</v>
      </c>
      <c r="AC534" t="e">
        <f t="shared" si="352"/>
        <v>#VALUE!</v>
      </c>
      <c r="AD534" t="e">
        <f t="shared" si="353"/>
        <v>#VALUE!</v>
      </c>
      <c r="AE534" t="e">
        <f t="shared" si="354"/>
        <v>#VALUE!</v>
      </c>
      <c r="AF534" t="e">
        <f t="shared" si="355"/>
        <v>#VALUE!</v>
      </c>
      <c r="AG534" t="e">
        <f t="shared" si="356"/>
        <v>#VALUE!</v>
      </c>
      <c r="AH534" t="e">
        <f t="shared" si="357"/>
        <v>#VALUE!</v>
      </c>
      <c r="AI534" t="e">
        <f t="shared" si="358"/>
        <v>#VALUE!</v>
      </c>
      <c r="AJ534" s="19" t="e">
        <f t="shared" si="370"/>
        <v>#VALUE!</v>
      </c>
      <c r="AK534" t="e">
        <f t="shared" si="359"/>
        <v>#VALUE!</v>
      </c>
      <c r="AL534" t="e">
        <f t="shared" si="360"/>
        <v>#VALUE!</v>
      </c>
      <c r="AM534" t="e">
        <f t="shared" si="361"/>
        <v>#VALUE!</v>
      </c>
      <c r="AN534" t="e">
        <f t="shared" si="362"/>
        <v>#VALUE!</v>
      </c>
      <c r="AO534" t="e">
        <f t="shared" si="363"/>
        <v>#VALUE!</v>
      </c>
      <c r="AP534" t="e">
        <f t="shared" si="364"/>
        <v>#VALUE!</v>
      </c>
      <c r="AQ534" t="e">
        <f t="shared" si="365"/>
        <v>#VALUE!</v>
      </c>
      <c r="AR534" s="123" t="e">
        <f t="shared" si="371"/>
        <v>#VALUE!</v>
      </c>
      <c r="AS534" t="e">
        <f t="shared" si="366"/>
        <v>#VALUE!</v>
      </c>
      <c r="AT534" s="181" t="e">
        <f>INDEX('stock fisico '!N:N, MATCH(B534, 'stock fisico '!B:B, 0))</f>
        <v>#N/A</v>
      </c>
      <c r="AU534" s="179" t="e">
        <f>INDEX('stock fisico '!D:D, MATCH(B534, 'stock fisico '!B:B, 0))</f>
        <v>#N/A</v>
      </c>
      <c r="AV534" s="177" t="e">
        <f>INDEX('stock fisico '!L:L, MATCH(B534, 'stock fisico '!B:B, 0))</f>
        <v>#N/A</v>
      </c>
    </row>
    <row r="535" spans="1:48" x14ac:dyDescent="0.25">
      <c r="A535" s="181" t="e">
        <f>INDEX('stock fisico '!M:M, MATCH(B535, 'stock fisico '!B:B, 0))</f>
        <v>#N/A</v>
      </c>
      <c r="C535" s="179" t="e">
        <f>INDEX('stock fisico '!C:C, MATCH(B535, 'stock fisico '!B:B, 0))</f>
        <v>#N/A</v>
      </c>
      <c r="D535" s="178" t="e">
        <f>INDEX('stock fisico '!I:I, MATCH(B535, 'stock fisico '!B:B, 0))</f>
        <v>#N/A</v>
      </c>
      <c r="E535" s="173" t="e">
        <f t="shared" si="372"/>
        <v>#VALUE!</v>
      </c>
      <c r="F535" t="e">
        <f t="shared" si="332"/>
        <v>#VALUE!</v>
      </c>
      <c r="G535" t="e">
        <f t="shared" si="333"/>
        <v>#VALUE!</v>
      </c>
      <c r="H535" t="e">
        <f t="shared" si="334"/>
        <v>#VALUE!</v>
      </c>
      <c r="I535" t="e">
        <f t="shared" si="335"/>
        <v>#VALUE!</v>
      </c>
      <c r="J535" t="e">
        <f t="shared" si="336"/>
        <v>#VALUE!</v>
      </c>
      <c r="K535" t="e">
        <f t="shared" si="337"/>
        <v>#VALUE!</v>
      </c>
      <c r="L535" s="175" t="e">
        <f t="shared" si="367"/>
        <v>#VALUE!</v>
      </c>
      <c r="M535" t="e">
        <f t="shared" si="338"/>
        <v>#VALUE!</v>
      </c>
      <c r="N535" t="e">
        <f t="shared" si="339"/>
        <v>#VALUE!</v>
      </c>
      <c r="O535" t="e">
        <f t="shared" si="340"/>
        <v>#VALUE!</v>
      </c>
      <c r="P535" t="e">
        <f t="shared" si="341"/>
        <v>#VALUE!</v>
      </c>
      <c r="Q535" t="e">
        <f t="shared" si="342"/>
        <v>#VALUE!</v>
      </c>
      <c r="R535" t="e">
        <f t="shared" si="343"/>
        <v>#VALUE!</v>
      </c>
      <c r="S535" t="e">
        <f t="shared" si="344"/>
        <v>#VALUE!</v>
      </c>
      <c r="T535" s="174" t="e">
        <f t="shared" si="368"/>
        <v>#VALUE!</v>
      </c>
      <c r="U535" t="e">
        <f t="shared" si="345"/>
        <v>#VALUE!</v>
      </c>
      <c r="V535" t="e">
        <f t="shared" si="346"/>
        <v>#VALUE!</v>
      </c>
      <c r="W535" t="e">
        <f t="shared" si="347"/>
        <v>#VALUE!</v>
      </c>
      <c r="X535" t="e">
        <f t="shared" si="348"/>
        <v>#VALUE!</v>
      </c>
      <c r="Y535" t="e">
        <f t="shared" si="349"/>
        <v>#VALUE!</v>
      </c>
      <c r="Z535" t="e">
        <f t="shared" si="350"/>
        <v>#VALUE!</v>
      </c>
      <c r="AA535" t="e">
        <f t="shared" si="351"/>
        <v>#VALUE!</v>
      </c>
      <c r="AB535" s="23" t="e">
        <f t="shared" si="369"/>
        <v>#VALUE!</v>
      </c>
      <c r="AC535" t="e">
        <f t="shared" si="352"/>
        <v>#VALUE!</v>
      </c>
      <c r="AD535" t="e">
        <f t="shared" si="353"/>
        <v>#VALUE!</v>
      </c>
      <c r="AE535" t="e">
        <f t="shared" si="354"/>
        <v>#VALUE!</v>
      </c>
      <c r="AF535" t="e">
        <f t="shared" si="355"/>
        <v>#VALUE!</v>
      </c>
      <c r="AG535" t="e">
        <f t="shared" si="356"/>
        <v>#VALUE!</v>
      </c>
      <c r="AH535" t="e">
        <f t="shared" si="357"/>
        <v>#VALUE!</v>
      </c>
      <c r="AI535" t="e">
        <f t="shared" si="358"/>
        <v>#VALUE!</v>
      </c>
      <c r="AJ535" s="19" t="e">
        <f t="shared" si="370"/>
        <v>#VALUE!</v>
      </c>
      <c r="AK535" t="e">
        <f t="shared" si="359"/>
        <v>#VALUE!</v>
      </c>
      <c r="AL535" t="e">
        <f t="shared" si="360"/>
        <v>#VALUE!</v>
      </c>
      <c r="AM535" t="e">
        <f t="shared" si="361"/>
        <v>#VALUE!</v>
      </c>
      <c r="AN535" t="e">
        <f t="shared" si="362"/>
        <v>#VALUE!</v>
      </c>
      <c r="AO535" t="e">
        <f t="shared" si="363"/>
        <v>#VALUE!</v>
      </c>
      <c r="AP535" t="e">
        <f t="shared" si="364"/>
        <v>#VALUE!</v>
      </c>
      <c r="AQ535" t="e">
        <f t="shared" si="365"/>
        <v>#VALUE!</v>
      </c>
      <c r="AR535" s="123" t="e">
        <f t="shared" si="371"/>
        <v>#VALUE!</v>
      </c>
      <c r="AS535" t="e">
        <f t="shared" si="366"/>
        <v>#VALUE!</v>
      </c>
      <c r="AT535" s="181" t="e">
        <f>INDEX('stock fisico '!N:N, MATCH(B535, 'stock fisico '!B:B, 0))</f>
        <v>#N/A</v>
      </c>
      <c r="AU535" s="179" t="e">
        <f>INDEX('stock fisico '!D:D, MATCH(B535, 'stock fisico '!B:B, 0))</f>
        <v>#N/A</v>
      </c>
      <c r="AV535" s="177" t="e">
        <f>INDEX('stock fisico '!L:L, MATCH(B535, 'stock fisico '!B:B, 0))</f>
        <v>#N/A</v>
      </c>
    </row>
    <row r="536" spans="1:48" x14ac:dyDescent="0.25">
      <c r="A536" s="181" t="e">
        <f>INDEX('stock fisico '!M:M, MATCH(B536, 'stock fisico '!B:B, 0))</f>
        <v>#N/A</v>
      </c>
      <c r="C536" s="179" t="e">
        <f>INDEX('stock fisico '!C:C, MATCH(B536, 'stock fisico '!B:B, 0))</f>
        <v>#N/A</v>
      </c>
      <c r="D536" s="178" t="e">
        <f>INDEX('stock fisico '!I:I, MATCH(B536, 'stock fisico '!B:B, 0))</f>
        <v>#N/A</v>
      </c>
      <c r="E536" s="173" t="e">
        <f t="shared" si="372"/>
        <v>#VALUE!</v>
      </c>
      <c r="F536" t="e">
        <f t="shared" si="332"/>
        <v>#VALUE!</v>
      </c>
      <c r="G536" t="e">
        <f t="shared" si="333"/>
        <v>#VALUE!</v>
      </c>
      <c r="H536" t="e">
        <f t="shared" si="334"/>
        <v>#VALUE!</v>
      </c>
      <c r="I536" t="e">
        <f t="shared" si="335"/>
        <v>#VALUE!</v>
      </c>
      <c r="J536" t="e">
        <f t="shared" si="336"/>
        <v>#VALUE!</v>
      </c>
      <c r="K536" t="e">
        <f t="shared" si="337"/>
        <v>#VALUE!</v>
      </c>
      <c r="L536" s="175" t="e">
        <f t="shared" si="367"/>
        <v>#VALUE!</v>
      </c>
      <c r="M536" t="e">
        <f t="shared" si="338"/>
        <v>#VALUE!</v>
      </c>
      <c r="N536" t="e">
        <f t="shared" si="339"/>
        <v>#VALUE!</v>
      </c>
      <c r="O536" t="e">
        <f t="shared" si="340"/>
        <v>#VALUE!</v>
      </c>
      <c r="P536" t="e">
        <f t="shared" si="341"/>
        <v>#VALUE!</v>
      </c>
      <c r="Q536" t="e">
        <f t="shared" si="342"/>
        <v>#VALUE!</v>
      </c>
      <c r="R536" t="e">
        <f t="shared" si="343"/>
        <v>#VALUE!</v>
      </c>
      <c r="S536" t="e">
        <f t="shared" si="344"/>
        <v>#VALUE!</v>
      </c>
      <c r="T536" s="174" t="e">
        <f t="shared" si="368"/>
        <v>#VALUE!</v>
      </c>
      <c r="U536" t="e">
        <f t="shared" si="345"/>
        <v>#VALUE!</v>
      </c>
      <c r="V536" t="e">
        <f t="shared" si="346"/>
        <v>#VALUE!</v>
      </c>
      <c r="W536" t="e">
        <f t="shared" si="347"/>
        <v>#VALUE!</v>
      </c>
      <c r="X536" t="e">
        <f t="shared" si="348"/>
        <v>#VALUE!</v>
      </c>
      <c r="Y536" t="e">
        <f t="shared" si="349"/>
        <v>#VALUE!</v>
      </c>
      <c r="Z536" t="e">
        <f t="shared" si="350"/>
        <v>#VALUE!</v>
      </c>
      <c r="AA536" t="e">
        <f t="shared" si="351"/>
        <v>#VALUE!</v>
      </c>
      <c r="AB536" s="23" t="e">
        <f t="shared" si="369"/>
        <v>#VALUE!</v>
      </c>
      <c r="AC536" t="e">
        <f t="shared" si="352"/>
        <v>#VALUE!</v>
      </c>
      <c r="AD536" t="e">
        <f t="shared" si="353"/>
        <v>#VALUE!</v>
      </c>
      <c r="AE536" t="e">
        <f t="shared" si="354"/>
        <v>#VALUE!</v>
      </c>
      <c r="AF536" t="e">
        <f t="shared" si="355"/>
        <v>#VALUE!</v>
      </c>
      <c r="AG536" t="e">
        <f t="shared" si="356"/>
        <v>#VALUE!</v>
      </c>
      <c r="AH536" t="e">
        <f t="shared" si="357"/>
        <v>#VALUE!</v>
      </c>
      <c r="AI536" t="e">
        <f t="shared" si="358"/>
        <v>#VALUE!</v>
      </c>
      <c r="AJ536" s="19" t="e">
        <f t="shared" si="370"/>
        <v>#VALUE!</v>
      </c>
      <c r="AK536" t="e">
        <f t="shared" si="359"/>
        <v>#VALUE!</v>
      </c>
      <c r="AL536" t="e">
        <f t="shared" si="360"/>
        <v>#VALUE!</v>
      </c>
      <c r="AM536" t="e">
        <f t="shared" si="361"/>
        <v>#VALUE!</v>
      </c>
      <c r="AN536" t="e">
        <f t="shared" si="362"/>
        <v>#VALUE!</v>
      </c>
      <c r="AO536" t="e">
        <f t="shared" si="363"/>
        <v>#VALUE!</v>
      </c>
      <c r="AP536" t="e">
        <f t="shared" si="364"/>
        <v>#VALUE!</v>
      </c>
      <c r="AQ536" t="e">
        <f t="shared" si="365"/>
        <v>#VALUE!</v>
      </c>
      <c r="AR536" s="123" t="e">
        <f t="shared" si="371"/>
        <v>#VALUE!</v>
      </c>
      <c r="AS536" t="e">
        <f t="shared" si="366"/>
        <v>#VALUE!</v>
      </c>
      <c r="AT536" s="181" t="e">
        <f>INDEX('stock fisico '!N:N, MATCH(B536, 'stock fisico '!B:B, 0))</f>
        <v>#N/A</v>
      </c>
      <c r="AU536" s="179" t="e">
        <f>INDEX('stock fisico '!D:D, MATCH(B536, 'stock fisico '!B:B, 0))</f>
        <v>#N/A</v>
      </c>
      <c r="AV536" s="177" t="e">
        <f>INDEX('stock fisico '!L:L, MATCH(B536, 'stock fisico '!B:B, 0))</f>
        <v>#N/A</v>
      </c>
    </row>
    <row r="537" spans="1:48" x14ac:dyDescent="0.25">
      <c r="A537" s="181" t="e">
        <f>INDEX('stock fisico '!M:M, MATCH(B537, 'stock fisico '!B:B, 0))</f>
        <v>#N/A</v>
      </c>
      <c r="C537" s="179" t="e">
        <f>INDEX('stock fisico '!C:C, MATCH(B537, 'stock fisico '!B:B, 0))</f>
        <v>#N/A</v>
      </c>
      <c r="D537" s="178" t="e">
        <f>INDEX('stock fisico '!I:I, MATCH(B537, 'stock fisico '!B:B, 0))</f>
        <v>#N/A</v>
      </c>
      <c r="E537" s="173" t="e">
        <f t="shared" si="372"/>
        <v>#VALUE!</v>
      </c>
      <c r="F537" t="e">
        <f t="shared" si="332"/>
        <v>#VALUE!</v>
      </c>
      <c r="G537" t="e">
        <f t="shared" si="333"/>
        <v>#VALUE!</v>
      </c>
      <c r="H537" t="e">
        <f t="shared" si="334"/>
        <v>#VALUE!</v>
      </c>
      <c r="I537" t="e">
        <f t="shared" si="335"/>
        <v>#VALUE!</v>
      </c>
      <c r="J537" t="e">
        <f t="shared" si="336"/>
        <v>#VALUE!</v>
      </c>
      <c r="K537" t="e">
        <f t="shared" si="337"/>
        <v>#VALUE!</v>
      </c>
      <c r="L537" s="175" t="e">
        <f t="shared" si="367"/>
        <v>#VALUE!</v>
      </c>
      <c r="M537" t="e">
        <f t="shared" si="338"/>
        <v>#VALUE!</v>
      </c>
      <c r="N537" t="e">
        <f t="shared" si="339"/>
        <v>#VALUE!</v>
      </c>
      <c r="O537" t="e">
        <f t="shared" si="340"/>
        <v>#VALUE!</v>
      </c>
      <c r="P537" t="e">
        <f t="shared" si="341"/>
        <v>#VALUE!</v>
      </c>
      <c r="Q537" t="e">
        <f t="shared" si="342"/>
        <v>#VALUE!</v>
      </c>
      <c r="R537" t="e">
        <f t="shared" si="343"/>
        <v>#VALUE!</v>
      </c>
      <c r="S537" t="e">
        <f t="shared" si="344"/>
        <v>#VALUE!</v>
      </c>
      <c r="T537" s="174" t="e">
        <f t="shared" si="368"/>
        <v>#VALUE!</v>
      </c>
      <c r="U537" t="e">
        <f t="shared" si="345"/>
        <v>#VALUE!</v>
      </c>
      <c r="V537" t="e">
        <f t="shared" si="346"/>
        <v>#VALUE!</v>
      </c>
      <c r="W537" t="e">
        <f t="shared" si="347"/>
        <v>#VALUE!</v>
      </c>
      <c r="X537" t="e">
        <f t="shared" si="348"/>
        <v>#VALUE!</v>
      </c>
      <c r="Y537" t="e">
        <f t="shared" si="349"/>
        <v>#VALUE!</v>
      </c>
      <c r="Z537" t="e">
        <f t="shared" si="350"/>
        <v>#VALUE!</v>
      </c>
      <c r="AA537" t="e">
        <f t="shared" si="351"/>
        <v>#VALUE!</v>
      </c>
      <c r="AB537" s="23" t="e">
        <f t="shared" si="369"/>
        <v>#VALUE!</v>
      </c>
      <c r="AC537" t="e">
        <f t="shared" si="352"/>
        <v>#VALUE!</v>
      </c>
      <c r="AD537" t="e">
        <f t="shared" si="353"/>
        <v>#VALUE!</v>
      </c>
      <c r="AE537" t="e">
        <f t="shared" si="354"/>
        <v>#VALUE!</v>
      </c>
      <c r="AF537" t="e">
        <f t="shared" si="355"/>
        <v>#VALUE!</v>
      </c>
      <c r="AG537" t="e">
        <f t="shared" si="356"/>
        <v>#VALUE!</v>
      </c>
      <c r="AH537" t="e">
        <f t="shared" si="357"/>
        <v>#VALUE!</v>
      </c>
      <c r="AI537" t="e">
        <f t="shared" si="358"/>
        <v>#VALUE!</v>
      </c>
      <c r="AJ537" s="19" t="e">
        <f t="shared" si="370"/>
        <v>#VALUE!</v>
      </c>
      <c r="AK537" t="e">
        <f t="shared" si="359"/>
        <v>#VALUE!</v>
      </c>
      <c r="AL537" t="e">
        <f t="shared" si="360"/>
        <v>#VALUE!</v>
      </c>
      <c r="AM537" t="e">
        <f t="shared" si="361"/>
        <v>#VALUE!</v>
      </c>
      <c r="AN537" t="e">
        <f t="shared" si="362"/>
        <v>#VALUE!</v>
      </c>
      <c r="AO537" t="e">
        <f t="shared" si="363"/>
        <v>#VALUE!</v>
      </c>
      <c r="AP537" t="e">
        <f t="shared" si="364"/>
        <v>#VALUE!</v>
      </c>
      <c r="AQ537" t="e">
        <f t="shared" si="365"/>
        <v>#VALUE!</v>
      </c>
      <c r="AR537" s="123" t="e">
        <f t="shared" si="371"/>
        <v>#VALUE!</v>
      </c>
      <c r="AS537" t="e">
        <f t="shared" si="366"/>
        <v>#VALUE!</v>
      </c>
      <c r="AT537" s="181" t="e">
        <f>INDEX('stock fisico '!N:N, MATCH(B537, 'stock fisico '!B:B, 0))</f>
        <v>#N/A</v>
      </c>
      <c r="AU537" s="179" t="e">
        <f>INDEX('stock fisico '!D:D, MATCH(B537, 'stock fisico '!B:B, 0))</f>
        <v>#N/A</v>
      </c>
      <c r="AV537" s="177" t="e">
        <f>INDEX('stock fisico '!L:L, MATCH(B537, 'stock fisico '!B:B, 0))</f>
        <v>#N/A</v>
      </c>
    </row>
    <row r="538" spans="1:48" x14ac:dyDescent="0.25">
      <c r="A538" s="181" t="e">
        <f>INDEX('stock fisico '!M:M, MATCH(B538, 'stock fisico '!B:B, 0))</f>
        <v>#N/A</v>
      </c>
      <c r="C538" s="179" t="e">
        <f>INDEX('stock fisico '!C:C, MATCH(B538, 'stock fisico '!B:B, 0))</f>
        <v>#N/A</v>
      </c>
      <c r="D538" s="178" t="e">
        <f>INDEX('stock fisico '!I:I, MATCH(B538, 'stock fisico '!B:B, 0))</f>
        <v>#N/A</v>
      </c>
      <c r="E538" s="173" t="e">
        <f t="shared" si="372"/>
        <v>#VALUE!</v>
      </c>
      <c r="F538" t="e">
        <f t="shared" si="332"/>
        <v>#VALUE!</v>
      </c>
      <c r="G538" t="e">
        <f t="shared" si="333"/>
        <v>#VALUE!</v>
      </c>
      <c r="H538" t="e">
        <f t="shared" si="334"/>
        <v>#VALUE!</v>
      </c>
      <c r="I538" t="e">
        <f t="shared" si="335"/>
        <v>#VALUE!</v>
      </c>
      <c r="J538" t="e">
        <f t="shared" si="336"/>
        <v>#VALUE!</v>
      </c>
      <c r="K538" t="e">
        <f t="shared" si="337"/>
        <v>#VALUE!</v>
      </c>
      <c r="L538" s="175" t="e">
        <f t="shared" si="367"/>
        <v>#VALUE!</v>
      </c>
      <c r="M538" t="e">
        <f t="shared" si="338"/>
        <v>#VALUE!</v>
      </c>
      <c r="N538" t="e">
        <f t="shared" si="339"/>
        <v>#VALUE!</v>
      </c>
      <c r="O538" t="e">
        <f t="shared" si="340"/>
        <v>#VALUE!</v>
      </c>
      <c r="P538" t="e">
        <f t="shared" si="341"/>
        <v>#VALUE!</v>
      </c>
      <c r="Q538" t="e">
        <f t="shared" si="342"/>
        <v>#VALUE!</v>
      </c>
      <c r="R538" t="e">
        <f t="shared" si="343"/>
        <v>#VALUE!</v>
      </c>
      <c r="S538" t="e">
        <f t="shared" si="344"/>
        <v>#VALUE!</v>
      </c>
      <c r="T538" s="174" t="e">
        <f t="shared" si="368"/>
        <v>#VALUE!</v>
      </c>
      <c r="U538" t="e">
        <f t="shared" si="345"/>
        <v>#VALUE!</v>
      </c>
      <c r="V538" t="e">
        <f t="shared" si="346"/>
        <v>#VALUE!</v>
      </c>
      <c r="W538" t="e">
        <f t="shared" si="347"/>
        <v>#VALUE!</v>
      </c>
      <c r="X538" t="e">
        <f t="shared" si="348"/>
        <v>#VALUE!</v>
      </c>
      <c r="Y538" t="e">
        <f t="shared" si="349"/>
        <v>#VALUE!</v>
      </c>
      <c r="Z538" t="e">
        <f t="shared" si="350"/>
        <v>#VALUE!</v>
      </c>
      <c r="AA538" t="e">
        <f t="shared" si="351"/>
        <v>#VALUE!</v>
      </c>
      <c r="AB538" s="23" t="e">
        <f t="shared" si="369"/>
        <v>#VALUE!</v>
      </c>
      <c r="AC538" t="e">
        <f t="shared" si="352"/>
        <v>#VALUE!</v>
      </c>
      <c r="AD538" t="e">
        <f t="shared" si="353"/>
        <v>#VALUE!</v>
      </c>
      <c r="AE538" t="e">
        <f t="shared" si="354"/>
        <v>#VALUE!</v>
      </c>
      <c r="AF538" t="e">
        <f t="shared" si="355"/>
        <v>#VALUE!</v>
      </c>
      <c r="AG538" t="e">
        <f t="shared" si="356"/>
        <v>#VALUE!</v>
      </c>
      <c r="AH538" t="e">
        <f t="shared" si="357"/>
        <v>#VALUE!</v>
      </c>
      <c r="AI538" t="e">
        <f t="shared" si="358"/>
        <v>#VALUE!</v>
      </c>
      <c r="AJ538" s="19" t="e">
        <f t="shared" si="370"/>
        <v>#VALUE!</v>
      </c>
      <c r="AK538" t="e">
        <f t="shared" si="359"/>
        <v>#VALUE!</v>
      </c>
      <c r="AL538" t="e">
        <f t="shared" si="360"/>
        <v>#VALUE!</v>
      </c>
      <c r="AM538" t="e">
        <f t="shared" si="361"/>
        <v>#VALUE!</v>
      </c>
      <c r="AN538" t="e">
        <f t="shared" si="362"/>
        <v>#VALUE!</v>
      </c>
      <c r="AO538" t="e">
        <f t="shared" si="363"/>
        <v>#VALUE!</v>
      </c>
      <c r="AP538" t="e">
        <f t="shared" si="364"/>
        <v>#VALUE!</v>
      </c>
      <c r="AQ538" t="e">
        <f t="shared" si="365"/>
        <v>#VALUE!</v>
      </c>
      <c r="AR538" s="123" t="e">
        <f t="shared" si="371"/>
        <v>#VALUE!</v>
      </c>
      <c r="AS538" t="e">
        <f t="shared" si="366"/>
        <v>#VALUE!</v>
      </c>
      <c r="AT538" s="181" t="e">
        <f>INDEX('stock fisico '!N:N, MATCH(B538, 'stock fisico '!B:B, 0))</f>
        <v>#N/A</v>
      </c>
      <c r="AU538" s="179" t="e">
        <f>INDEX('stock fisico '!D:D, MATCH(B538, 'stock fisico '!B:B, 0))</f>
        <v>#N/A</v>
      </c>
      <c r="AV538" s="177" t="e">
        <f>INDEX('stock fisico '!L:L, MATCH(B538, 'stock fisico '!B:B, 0))</f>
        <v>#N/A</v>
      </c>
    </row>
    <row r="539" spans="1:48" x14ac:dyDescent="0.25">
      <c r="A539" s="181" t="e">
        <f>INDEX('stock fisico '!M:M, MATCH(B539, 'stock fisico '!B:B, 0))</f>
        <v>#N/A</v>
      </c>
      <c r="C539" s="179" t="e">
        <f>INDEX('stock fisico '!C:C, MATCH(B539, 'stock fisico '!B:B, 0))</f>
        <v>#N/A</v>
      </c>
      <c r="D539" s="178" t="e">
        <f>INDEX('stock fisico '!I:I, MATCH(B539, 'stock fisico '!B:B, 0))</f>
        <v>#N/A</v>
      </c>
      <c r="E539" s="173" t="e">
        <f t="shared" si="372"/>
        <v>#VALUE!</v>
      </c>
      <c r="F539" t="e">
        <f t="shared" si="332"/>
        <v>#VALUE!</v>
      </c>
      <c r="G539" t="e">
        <f t="shared" si="333"/>
        <v>#VALUE!</v>
      </c>
      <c r="H539" t="e">
        <f t="shared" si="334"/>
        <v>#VALUE!</v>
      </c>
      <c r="I539" t="e">
        <f t="shared" si="335"/>
        <v>#VALUE!</v>
      </c>
      <c r="J539" t="e">
        <f t="shared" si="336"/>
        <v>#VALUE!</v>
      </c>
      <c r="K539" t="e">
        <f t="shared" si="337"/>
        <v>#VALUE!</v>
      </c>
      <c r="L539" s="175" t="e">
        <f t="shared" si="367"/>
        <v>#VALUE!</v>
      </c>
      <c r="M539" t="e">
        <f t="shared" si="338"/>
        <v>#VALUE!</v>
      </c>
      <c r="N539" t="e">
        <f t="shared" si="339"/>
        <v>#VALUE!</v>
      </c>
      <c r="O539" t="e">
        <f t="shared" si="340"/>
        <v>#VALUE!</v>
      </c>
      <c r="P539" t="e">
        <f t="shared" si="341"/>
        <v>#VALUE!</v>
      </c>
      <c r="Q539" t="e">
        <f t="shared" si="342"/>
        <v>#VALUE!</v>
      </c>
      <c r="R539" t="e">
        <f t="shared" si="343"/>
        <v>#VALUE!</v>
      </c>
      <c r="S539" t="e">
        <f t="shared" si="344"/>
        <v>#VALUE!</v>
      </c>
      <c r="T539" s="174" t="e">
        <f t="shared" si="368"/>
        <v>#VALUE!</v>
      </c>
      <c r="U539" t="e">
        <f t="shared" si="345"/>
        <v>#VALUE!</v>
      </c>
      <c r="V539" t="e">
        <f t="shared" si="346"/>
        <v>#VALUE!</v>
      </c>
      <c r="W539" t="e">
        <f t="shared" si="347"/>
        <v>#VALUE!</v>
      </c>
      <c r="X539" t="e">
        <f t="shared" si="348"/>
        <v>#VALUE!</v>
      </c>
      <c r="Y539" t="e">
        <f t="shared" si="349"/>
        <v>#VALUE!</v>
      </c>
      <c r="Z539" t="e">
        <f t="shared" si="350"/>
        <v>#VALUE!</v>
      </c>
      <c r="AA539" t="e">
        <f t="shared" si="351"/>
        <v>#VALUE!</v>
      </c>
      <c r="AB539" s="23" t="e">
        <f t="shared" si="369"/>
        <v>#VALUE!</v>
      </c>
      <c r="AC539" t="e">
        <f t="shared" si="352"/>
        <v>#VALUE!</v>
      </c>
      <c r="AD539" t="e">
        <f t="shared" si="353"/>
        <v>#VALUE!</v>
      </c>
      <c r="AE539" t="e">
        <f t="shared" si="354"/>
        <v>#VALUE!</v>
      </c>
      <c r="AF539" t="e">
        <f t="shared" si="355"/>
        <v>#VALUE!</v>
      </c>
      <c r="AG539" t="e">
        <f t="shared" si="356"/>
        <v>#VALUE!</v>
      </c>
      <c r="AH539" t="e">
        <f t="shared" si="357"/>
        <v>#VALUE!</v>
      </c>
      <c r="AI539" t="e">
        <f t="shared" si="358"/>
        <v>#VALUE!</v>
      </c>
      <c r="AJ539" s="19" t="e">
        <f t="shared" si="370"/>
        <v>#VALUE!</v>
      </c>
      <c r="AK539" t="e">
        <f t="shared" si="359"/>
        <v>#VALUE!</v>
      </c>
      <c r="AL539" t="e">
        <f t="shared" si="360"/>
        <v>#VALUE!</v>
      </c>
      <c r="AM539" t="e">
        <f t="shared" si="361"/>
        <v>#VALUE!</v>
      </c>
      <c r="AN539" t="e">
        <f t="shared" si="362"/>
        <v>#VALUE!</v>
      </c>
      <c r="AO539" t="e">
        <f t="shared" si="363"/>
        <v>#VALUE!</v>
      </c>
      <c r="AP539" t="e">
        <f t="shared" si="364"/>
        <v>#VALUE!</v>
      </c>
      <c r="AQ539" t="e">
        <f t="shared" si="365"/>
        <v>#VALUE!</v>
      </c>
      <c r="AR539" s="123" t="e">
        <f t="shared" si="371"/>
        <v>#VALUE!</v>
      </c>
      <c r="AS539" t="e">
        <f t="shared" si="366"/>
        <v>#VALUE!</v>
      </c>
      <c r="AT539" s="181" t="e">
        <f>INDEX('stock fisico '!N:N, MATCH(B539, 'stock fisico '!B:B, 0))</f>
        <v>#N/A</v>
      </c>
      <c r="AU539" s="179" t="e">
        <f>INDEX('stock fisico '!D:D, MATCH(B539, 'stock fisico '!B:B, 0))</f>
        <v>#N/A</v>
      </c>
      <c r="AV539" s="177" t="e">
        <f>INDEX('stock fisico '!L:L, MATCH(B539, 'stock fisico '!B:B, 0))</f>
        <v>#N/A</v>
      </c>
    </row>
    <row r="540" spans="1:48" x14ac:dyDescent="0.25">
      <c r="A540" s="181" t="e">
        <f>INDEX('stock fisico '!M:M, MATCH(B540, 'stock fisico '!B:B, 0))</f>
        <v>#N/A</v>
      </c>
      <c r="C540" s="179" t="e">
        <f>INDEX('stock fisico '!C:C, MATCH(B540, 'stock fisico '!B:B, 0))</f>
        <v>#N/A</v>
      </c>
      <c r="D540" s="178" t="e">
        <f>INDEX('stock fisico '!I:I, MATCH(B540, 'stock fisico '!B:B, 0))</f>
        <v>#N/A</v>
      </c>
      <c r="E540" s="173" t="e">
        <f t="shared" si="372"/>
        <v>#VALUE!</v>
      </c>
      <c r="F540" t="e">
        <f t="shared" si="332"/>
        <v>#VALUE!</v>
      </c>
      <c r="G540" t="e">
        <f t="shared" si="333"/>
        <v>#VALUE!</v>
      </c>
      <c r="H540" t="e">
        <f t="shared" si="334"/>
        <v>#VALUE!</v>
      </c>
      <c r="I540" t="e">
        <f t="shared" si="335"/>
        <v>#VALUE!</v>
      </c>
      <c r="J540" t="e">
        <f t="shared" si="336"/>
        <v>#VALUE!</v>
      </c>
      <c r="K540" t="e">
        <f t="shared" si="337"/>
        <v>#VALUE!</v>
      </c>
      <c r="L540" s="175" t="e">
        <f t="shared" si="367"/>
        <v>#VALUE!</v>
      </c>
      <c r="M540" t="e">
        <f t="shared" si="338"/>
        <v>#VALUE!</v>
      </c>
      <c r="N540" t="e">
        <f t="shared" si="339"/>
        <v>#VALUE!</v>
      </c>
      <c r="O540" t="e">
        <f t="shared" si="340"/>
        <v>#VALUE!</v>
      </c>
      <c r="P540" t="e">
        <f t="shared" si="341"/>
        <v>#VALUE!</v>
      </c>
      <c r="Q540" t="e">
        <f t="shared" si="342"/>
        <v>#VALUE!</v>
      </c>
      <c r="R540" t="e">
        <f t="shared" si="343"/>
        <v>#VALUE!</v>
      </c>
      <c r="S540" t="e">
        <f t="shared" si="344"/>
        <v>#VALUE!</v>
      </c>
      <c r="T540" s="174" t="e">
        <f t="shared" si="368"/>
        <v>#VALUE!</v>
      </c>
      <c r="U540" t="e">
        <f t="shared" si="345"/>
        <v>#VALUE!</v>
      </c>
      <c r="V540" t="e">
        <f t="shared" si="346"/>
        <v>#VALUE!</v>
      </c>
      <c r="W540" t="e">
        <f t="shared" si="347"/>
        <v>#VALUE!</v>
      </c>
      <c r="X540" t="e">
        <f t="shared" si="348"/>
        <v>#VALUE!</v>
      </c>
      <c r="Y540" t="e">
        <f t="shared" si="349"/>
        <v>#VALUE!</v>
      </c>
      <c r="Z540" t="e">
        <f t="shared" si="350"/>
        <v>#VALUE!</v>
      </c>
      <c r="AA540" t="e">
        <f t="shared" si="351"/>
        <v>#VALUE!</v>
      </c>
      <c r="AB540" s="23" t="e">
        <f t="shared" si="369"/>
        <v>#VALUE!</v>
      </c>
      <c r="AC540" t="e">
        <f t="shared" si="352"/>
        <v>#VALUE!</v>
      </c>
      <c r="AD540" t="e">
        <f t="shared" si="353"/>
        <v>#VALUE!</v>
      </c>
      <c r="AE540" t="e">
        <f t="shared" si="354"/>
        <v>#VALUE!</v>
      </c>
      <c r="AF540" t="e">
        <f t="shared" si="355"/>
        <v>#VALUE!</v>
      </c>
      <c r="AG540" t="e">
        <f t="shared" si="356"/>
        <v>#VALUE!</v>
      </c>
      <c r="AH540" t="e">
        <f t="shared" si="357"/>
        <v>#VALUE!</v>
      </c>
      <c r="AI540" t="e">
        <f t="shared" si="358"/>
        <v>#VALUE!</v>
      </c>
      <c r="AJ540" s="19" t="e">
        <f t="shared" si="370"/>
        <v>#VALUE!</v>
      </c>
      <c r="AK540" t="e">
        <f t="shared" si="359"/>
        <v>#VALUE!</v>
      </c>
      <c r="AL540" t="e">
        <f t="shared" si="360"/>
        <v>#VALUE!</v>
      </c>
      <c r="AM540" t="e">
        <f t="shared" si="361"/>
        <v>#VALUE!</v>
      </c>
      <c r="AN540" t="e">
        <f t="shared" si="362"/>
        <v>#VALUE!</v>
      </c>
      <c r="AO540" t="e">
        <f t="shared" si="363"/>
        <v>#VALUE!</v>
      </c>
      <c r="AP540" t="e">
        <f t="shared" si="364"/>
        <v>#VALUE!</v>
      </c>
      <c r="AQ540" t="e">
        <f t="shared" si="365"/>
        <v>#VALUE!</v>
      </c>
      <c r="AR540" s="123" t="e">
        <f t="shared" si="371"/>
        <v>#VALUE!</v>
      </c>
      <c r="AS540" t="e">
        <f t="shared" si="366"/>
        <v>#VALUE!</v>
      </c>
      <c r="AT540" s="181" t="e">
        <f>INDEX('stock fisico '!N:N, MATCH(B540, 'stock fisico '!B:B, 0))</f>
        <v>#N/A</v>
      </c>
      <c r="AU540" s="179" t="e">
        <f>INDEX('stock fisico '!D:D, MATCH(B540, 'stock fisico '!B:B, 0))</f>
        <v>#N/A</v>
      </c>
      <c r="AV540" s="177" t="e">
        <f>INDEX('stock fisico '!L:L, MATCH(B540, 'stock fisico '!B:B, 0))</f>
        <v>#N/A</v>
      </c>
    </row>
    <row r="541" spans="1:48" x14ac:dyDescent="0.25">
      <c r="A541" s="181" t="e">
        <f>INDEX('stock fisico '!M:M, MATCH(B541, 'stock fisico '!B:B, 0))</f>
        <v>#N/A</v>
      </c>
      <c r="C541" s="179" t="e">
        <f>INDEX('stock fisico '!C:C, MATCH(B541, 'stock fisico '!B:B, 0))</f>
        <v>#N/A</v>
      </c>
      <c r="D541" s="178" t="e">
        <f>INDEX('stock fisico '!I:I, MATCH(B541, 'stock fisico '!B:B, 0))</f>
        <v>#N/A</v>
      </c>
      <c r="E541" s="173" t="e">
        <f t="shared" si="372"/>
        <v>#VALUE!</v>
      </c>
      <c r="F541" t="e">
        <f t="shared" si="332"/>
        <v>#VALUE!</v>
      </c>
      <c r="G541" t="e">
        <f t="shared" si="333"/>
        <v>#VALUE!</v>
      </c>
      <c r="H541" t="e">
        <f t="shared" si="334"/>
        <v>#VALUE!</v>
      </c>
      <c r="I541" t="e">
        <f t="shared" si="335"/>
        <v>#VALUE!</v>
      </c>
      <c r="J541" t="e">
        <f t="shared" si="336"/>
        <v>#VALUE!</v>
      </c>
      <c r="K541" t="e">
        <f t="shared" si="337"/>
        <v>#VALUE!</v>
      </c>
      <c r="L541" s="175" t="e">
        <f t="shared" si="367"/>
        <v>#VALUE!</v>
      </c>
      <c r="M541" t="e">
        <f t="shared" si="338"/>
        <v>#VALUE!</v>
      </c>
      <c r="N541" t="e">
        <f t="shared" si="339"/>
        <v>#VALUE!</v>
      </c>
      <c r="O541" t="e">
        <f t="shared" si="340"/>
        <v>#VALUE!</v>
      </c>
      <c r="P541" t="e">
        <f t="shared" si="341"/>
        <v>#VALUE!</v>
      </c>
      <c r="Q541" t="e">
        <f t="shared" si="342"/>
        <v>#VALUE!</v>
      </c>
      <c r="R541" t="e">
        <f t="shared" si="343"/>
        <v>#VALUE!</v>
      </c>
      <c r="S541" t="e">
        <f t="shared" si="344"/>
        <v>#VALUE!</v>
      </c>
      <c r="T541" s="174" t="e">
        <f t="shared" si="368"/>
        <v>#VALUE!</v>
      </c>
      <c r="U541" t="e">
        <f t="shared" si="345"/>
        <v>#VALUE!</v>
      </c>
      <c r="V541" t="e">
        <f t="shared" si="346"/>
        <v>#VALUE!</v>
      </c>
      <c r="W541" t="e">
        <f t="shared" si="347"/>
        <v>#VALUE!</v>
      </c>
      <c r="X541" t="e">
        <f t="shared" si="348"/>
        <v>#VALUE!</v>
      </c>
      <c r="Y541" t="e">
        <f t="shared" si="349"/>
        <v>#VALUE!</v>
      </c>
      <c r="Z541" t="e">
        <f t="shared" si="350"/>
        <v>#VALUE!</v>
      </c>
      <c r="AA541" t="e">
        <f t="shared" si="351"/>
        <v>#VALUE!</v>
      </c>
      <c r="AB541" s="23" t="e">
        <f t="shared" si="369"/>
        <v>#VALUE!</v>
      </c>
      <c r="AC541" t="e">
        <f t="shared" si="352"/>
        <v>#VALUE!</v>
      </c>
      <c r="AD541" t="e">
        <f t="shared" si="353"/>
        <v>#VALUE!</v>
      </c>
      <c r="AE541" t="e">
        <f t="shared" si="354"/>
        <v>#VALUE!</v>
      </c>
      <c r="AF541" t="e">
        <f t="shared" si="355"/>
        <v>#VALUE!</v>
      </c>
      <c r="AG541" t="e">
        <f t="shared" si="356"/>
        <v>#VALUE!</v>
      </c>
      <c r="AH541" t="e">
        <f t="shared" si="357"/>
        <v>#VALUE!</v>
      </c>
      <c r="AI541" t="e">
        <f t="shared" si="358"/>
        <v>#VALUE!</v>
      </c>
      <c r="AJ541" s="19" t="e">
        <f t="shared" si="370"/>
        <v>#VALUE!</v>
      </c>
      <c r="AK541" t="e">
        <f t="shared" si="359"/>
        <v>#VALUE!</v>
      </c>
      <c r="AL541" t="e">
        <f t="shared" si="360"/>
        <v>#VALUE!</v>
      </c>
      <c r="AM541" t="e">
        <f t="shared" si="361"/>
        <v>#VALUE!</v>
      </c>
      <c r="AN541" t="e">
        <f t="shared" si="362"/>
        <v>#VALUE!</v>
      </c>
      <c r="AO541" t="e">
        <f t="shared" si="363"/>
        <v>#VALUE!</v>
      </c>
      <c r="AP541" t="e">
        <f t="shared" si="364"/>
        <v>#VALUE!</v>
      </c>
      <c r="AQ541" t="e">
        <f t="shared" si="365"/>
        <v>#VALUE!</v>
      </c>
      <c r="AR541" s="123" t="e">
        <f t="shared" si="371"/>
        <v>#VALUE!</v>
      </c>
      <c r="AS541" t="e">
        <f t="shared" si="366"/>
        <v>#VALUE!</v>
      </c>
      <c r="AT541" s="181" t="e">
        <f>INDEX('stock fisico '!N:N, MATCH(B541, 'stock fisico '!B:B, 0))</f>
        <v>#N/A</v>
      </c>
      <c r="AU541" s="179" t="e">
        <f>INDEX('stock fisico '!D:D, MATCH(B541, 'stock fisico '!B:B, 0))</f>
        <v>#N/A</v>
      </c>
      <c r="AV541" s="177" t="e">
        <f>INDEX('stock fisico '!L:L, MATCH(B541, 'stock fisico '!B:B, 0))</f>
        <v>#N/A</v>
      </c>
    </row>
    <row r="542" spans="1:48" x14ac:dyDescent="0.25">
      <c r="A542" s="181" t="e">
        <f>INDEX('stock fisico '!M:M, MATCH(B542, 'stock fisico '!B:B, 0))</f>
        <v>#N/A</v>
      </c>
      <c r="C542" s="179" t="e">
        <f>INDEX('stock fisico '!C:C, MATCH(B542, 'stock fisico '!B:B, 0))</f>
        <v>#N/A</v>
      </c>
      <c r="D542" s="178" t="e">
        <f>INDEX('stock fisico '!I:I, MATCH(B542, 'stock fisico '!B:B, 0))</f>
        <v>#N/A</v>
      </c>
      <c r="E542" s="173" t="e">
        <f t="shared" si="372"/>
        <v>#VALUE!</v>
      </c>
      <c r="F542" t="e">
        <f t="shared" si="332"/>
        <v>#VALUE!</v>
      </c>
      <c r="G542" t="e">
        <f t="shared" si="333"/>
        <v>#VALUE!</v>
      </c>
      <c r="H542" t="e">
        <f t="shared" si="334"/>
        <v>#VALUE!</v>
      </c>
      <c r="I542" t="e">
        <f t="shared" si="335"/>
        <v>#VALUE!</v>
      </c>
      <c r="J542" t="e">
        <f t="shared" si="336"/>
        <v>#VALUE!</v>
      </c>
      <c r="K542" t="e">
        <f t="shared" si="337"/>
        <v>#VALUE!</v>
      </c>
      <c r="L542" s="175" t="e">
        <f t="shared" si="367"/>
        <v>#VALUE!</v>
      </c>
      <c r="M542" t="e">
        <f t="shared" si="338"/>
        <v>#VALUE!</v>
      </c>
      <c r="N542" t="e">
        <f t="shared" si="339"/>
        <v>#VALUE!</v>
      </c>
      <c r="O542" t="e">
        <f t="shared" si="340"/>
        <v>#VALUE!</v>
      </c>
      <c r="P542" t="e">
        <f t="shared" si="341"/>
        <v>#VALUE!</v>
      </c>
      <c r="Q542" t="e">
        <f t="shared" si="342"/>
        <v>#VALUE!</v>
      </c>
      <c r="R542" t="e">
        <f t="shared" si="343"/>
        <v>#VALUE!</v>
      </c>
      <c r="S542" t="e">
        <f t="shared" si="344"/>
        <v>#VALUE!</v>
      </c>
      <c r="T542" s="174" t="e">
        <f t="shared" si="368"/>
        <v>#VALUE!</v>
      </c>
      <c r="U542" t="e">
        <f t="shared" si="345"/>
        <v>#VALUE!</v>
      </c>
      <c r="V542" t="e">
        <f t="shared" si="346"/>
        <v>#VALUE!</v>
      </c>
      <c r="W542" t="e">
        <f t="shared" si="347"/>
        <v>#VALUE!</v>
      </c>
      <c r="X542" t="e">
        <f t="shared" si="348"/>
        <v>#VALUE!</v>
      </c>
      <c r="Y542" t="e">
        <f t="shared" si="349"/>
        <v>#VALUE!</v>
      </c>
      <c r="Z542" t="e">
        <f t="shared" si="350"/>
        <v>#VALUE!</v>
      </c>
      <c r="AA542" t="e">
        <f t="shared" si="351"/>
        <v>#VALUE!</v>
      </c>
      <c r="AB542" s="23" t="e">
        <f t="shared" si="369"/>
        <v>#VALUE!</v>
      </c>
      <c r="AC542" t="e">
        <f t="shared" si="352"/>
        <v>#VALUE!</v>
      </c>
      <c r="AD542" t="e">
        <f t="shared" si="353"/>
        <v>#VALUE!</v>
      </c>
      <c r="AE542" t="e">
        <f t="shared" si="354"/>
        <v>#VALUE!</v>
      </c>
      <c r="AF542" t="e">
        <f t="shared" si="355"/>
        <v>#VALUE!</v>
      </c>
      <c r="AG542" t="e">
        <f t="shared" si="356"/>
        <v>#VALUE!</v>
      </c>
      <c r="AH542" t="e">
        <f t="shared" si="357"/>
        <v>#VALUE!</v>
      </c>
      <c r="AI542" t="e">
        <f t="shared" si="358"/>
        <v>#VALUE!</v>
      </c>
      <c r="AJ542" s="19" t="e">
        <f t="shared" si="370"/>
        <v>#VALUE!</v>
      </c>
      <c r="AK542" t="e">
        <f t="shared" si="359"/>
        <v>#VALUE!</v>
      </c>
      <c r="AL542" t="e">
        <f t="shared" si="360"/>
        <v>#VALUE!</v>
      </c>
      <c r="AM542" t="e">
        <f t="shared" si="361"/>
        <v>#VALUE!</v>
      </c>
      <c r="AN542" t="e">
        <f t="shared" si="362"/>
        <v>#VALUE!</v>
      </c>
      <c r="AO542" t="e">
        <f t="shared" si="363"/>
        <v>#VALUE!</v>
      </c>
      <c r="AP542" t="e">
        <f t="shared" si="364"/>
        <v>#VALUE!</v>
      </c>
      <c r="AQ542" t="e">
        <f t="shared" si="365"/>
        <v>#VALUE!</v>
      </c>
      <c r="AR542" s="123" t="e">
        <f t="shared" si="371"/>
        <v>#VALUE!</v>
      </c>
      <c r="AS542" t="e">
        <f t="shared" si="366"/>
        <v>#VALUE!</v>
      </c>
      <c r="AT542" s="181" t="e">
        <f>INDEX('stock fisico '!N:N, MATCH(B542, 'stock fisico '!B:B, 0))</f>
        <v>#N/A</v>
      </c>
      <c r="AU542" s="179" t="e">
        <f>INDEX('stock fisico '!D:D, MATCH(B542, 'stock fisico '!B:B, 0))</f>
        <v>#N/A</v>
      </c>
      <c r="AV542" s="177" t="e">
        <f>INDEX('stock fisico '!L:L, MATCH(B542, 'stock fisico '!B:B, 0))</f>
        <v>#N/A</v>
      </c>
    </row>
    <row r="543" spans="1:48" x14ac:dyDescent="0.25">
      <c r="A543" s="181" t="e">
        <f>INDEX('stock fisico '!M:M, MATCH(B543, 'stock fisico '!B:B, 0))</f>
        <v>#N/A</v>
      </c>
      <c r="C543" s="179" t="e">
        <f>INDEX('stock fisico '!C:C, MATCH(B543, 'stock fisico '!B:B, 0))</f>
        <v>#N/A</v>
      </c>
      <c r="D543" s="178" t="e">
        <f>INDEX('stock fisico '!I:I, MATCH(B543, 'stock fisico '!B:B, 0))</f>
        <v>#N/A</v>
      </c>
      <c r="E543" s="173" t="e">
        <f t="shared" si="372"/>
        <v>#VALUE!</v>
      </c>
      <c r="F543" t="e">
        <f t="shared" si="332"/>
        <v>#VALUE!</v>
      </c>
      <c r="G543" t="e">
        <f t="shared" si="333"/>
        <v>#VALUE!</v>
      </c>
      <c r="H543" t="e">
        <f t="shared" si="334"/>
        <v>#VALUE!</v>
      </c>
      <c r="I543" t="e">
        <f t="shared" si="335"/>
        <v>#VALUE!</v>
      </c>
      <c r="J543" t="e">
        <f t="shared" si="336"/>
        <v>#VALUE!</v>
      </c>
      <c r="K543" t="e">
        <f t="shared" si="337"/>
        <v>#VALUE!</v>
      </c>
      <c r="L543" s="175" t="e">
        <f t="shared" si="367"/>
        <v>#VALUE!</v>
      </c>
      <c r="M543" t="e">
        <f t="shared" si="338"/>
        <v>#VALUE!</v>
      </c>
      <c r="N543" t="e">
        <f t="shared" si="339"/>
        <v>#VALUE!</v>
      </c>
      <c r="O543" t="e">
        <f t="shared" si="340"/>
        <v>#VALUE!</v>
      </c>
      <c r="P543" t="e">
        <f t="shared" si="341"/>
        <v>#VALUE!</v>
      </c>
      <c r="Q543" t="e">
        <f t="shared" si="342"/>
        <v>#VALUE!</v>
      </c>
      <c r="R543" t="e">
        <f t="shared" si="343"/>
        <v>#VALUE!</v>
      </c>
      <c r="S543" t="e">
        <f t="shared" si="344"/>
        <v>#VALUE!</v>
      </c>
      <c r="T543" s="174" t="e">
        <f t="shared" si="368"/>
        <v>#VALUE!</v>
      </c>
      <c r="U543" t="e">
        <f t="shared" si="345"/>
        <v>#VALUE!</v>
      </c>
      <c r="V543" t="e">
        <f t="shared" si="346"/>
        <v>#VALUE!</v>
      </c>
      <c r="W543" t="e">
        <f t="shared" si="347"/>
        <v>#VALUE!</v>
      </c>
      <c r="X543" t="e">
        <f t="shared" si="348"/>
        <v>#VALUE!</v>
      </c>
      <c r="Y543" t="e">
        <f t="shared" si="349"/>
        <v>#VALUE!</v>
      </c>
      <c r="Z543" t="e">
        <f t="shared" si="350"/>
        <v>#VALUE!</v>
      </c>
      <c r="AA543" t="e">
        <f t="shared" si="351"/>
        <v>#VALUE!</v>
      </c>
      <c r="AB543" s="23" t="e">
        <f t="shared" si="369"/>
        <v>#VALUE!</v>
      </c>
      <c r="AC543" t="e">
        <f t="shared" si="352"/>
        <v>#VALUE!</v>
      </c>
      <c r="AD543" t="e">
        <f t="shared" si="353"/>
        <v>#VALUE!</v>
      </c>
      <c r="AE543" t="e">
        <f t="shared" si="354"/>
        <v>#VALUE!</v>
      </c>
      <c r="AF543" t="e">
        <f t="shared" si="355"/>
        <v>#VALUE!</v>
      </c>
      <c r="AG543" t="e">
        <f t="shared" si="356"/>
        <v>#VALUE!</v>
      </c>
      <c r="AH543" t="e">
        <f t="shared" si="357"/>
        <v>#VALUE!</v>
      </c>
      <c r="AI543" t="e">
        <f t="shared" si="358"/>
        <v>#VALUE!</v>
      </c>
      <c r="AJ543" s="19" t="e">
        <f t="shared" si="370"/>
        <v>#VALUE!</v>
      </c>
      <c r="AK543" t="e">
        <f t="shared" si="359"/>
        <v>#VALUE!</v>
      </c>
      <c r="AL543" t="e">
        <f t="shared" si="360"/>
        <v>#VALUE!</v>
      </c>
      <c r="AM543" t="e">
        <f t="shared" si="361"/>
        <v>#VALUE!</v>
      </c>
      <c r="AN543" t="e">
        <f t="shared" si="362"/>
        <v>#VALUE!</v>
      </c>
      <c r="AO543" t="e">
        <f t="shared" si="363"/>
        <v>#VALUE!</v>
      </c>
      <c r="AP543" t="e">
        <f t="shared" si="364"/>
        <v>#VALUE!</v>
      </c>
      <c r="AQ543" t="e">
        <f t="shared" si="365"/>
        <v>#VALUE!</v>
      </c>
      <c r="AR543" s="123" t="e">
        <f t="shared" si="371"/>
        <v>#VALUE!</v>
      </c>
      <c r="AS543" t="e">
        <f t="shared" si="366"/>
        <v>#VALUE!</v>
      </c>
      <c r="AT543" s="181" t="e">
        <f>INDEX('stock fisico '!N:N, MATCH(B543, 'stock fisico '!B:B, 0))</f>
        <v>#N/A</v>
      </c>
      <c r="AU543" s="179" t="e">
        <f>INDEX('stock fisico '!D:D, MATCH(B543, 'stock fisico '!B:B, 0))</f>
        <v>#N/A</v>
      </c>
      <c r="AV543" s="177" t="e">
        <f>INDEX('stock fisico '!L:L, MATCH(B543, 'stock fisico '!B:B, 0))</f>
        <v>#N/A</v>
      </c>
    </row>
    <row r="544" spans="1:48" x14ac:dyDescent="0.25">
      <c r="A544" s="181" t="e">
        <f>INDEX('stock fisico '!M:M, MATCH(B544, 'stock fisico '!B:B, 0))</f>
        <v>#N/A</v>
      </c>
      <c r="C544" s="179" t="e">
        <f>INDEX('stock fisico '!C:C, MATCH(B544, 'stock fisico '!B:B, 0))</f>
        <v>#N/A</v>
      </c>
      <c r="D544" s="178" t="e">
        <f>INDEX('stock fisico '!I:I, MATCH(B544, 'stock fisico '!B:B, 0))</f>
        <v>#N/A</v>
      </c>
      <c r="E544" s="173" t="e">
        <f t="shared" si="372"/>
        <v>#VALUE!</v>
      </c>
      <c r="F544" t="e">
        <f t="shared" si="332"/>
        <v>#VALUE!</v>
      </c>
      <c r="G544" t="e">
        <f t="shared" si="333"/>
        <v>#VALUE!</v>
      </c>
      <c r="H544" t="e">
        <f t="shared" si="334"/>
        <v>#VALUE!</v>
      </c>
      <c r="I544" t="e">
        <f t="shared" si="335"/>
        <v>#VALUE!</v>
      </c>
      <c r="J544" t="e">
        <f t="shared" si="336"/>
        <v>#VALUE!</v>
      </c>
      <c r="K544" t="e">
        <f t="shared" si="337"/>
        <v>#VALUE!</v>
      </c>
      <c r="L544" s="175" t="e">
        <f t="shared" si="367"/>
        <v>#VALUE!</v>
      </c>
      <c r="M544" t="e">
        <f t="shared" si="338"/>
        <v>#VALUE!</v>
      </c>
      <c r="N544" t="e">
        <f t="shared" si="339"/>
        <v>#VALUE!</v>
      </c>
      <c r="O544" t="e">
        <f t="shared" si="340"/>
        <v>#VALUE!</v>
      </c>
      <c r="P544" t="e">
        <f t="shared" si="341"/>
        <v>#VALUE!</v>
      </c>
      <c r="Q544" t="e">
        <f t="shared" si="342"/>
        <v>#VALUE!</v>
      </c>
      <c r="R544" t="e">
        <f t="shared" si="343"/>
        <v>#VALUE!</v>
      </c>
      <c r="S544" t="e">
        <f t="shared" si="344"/>
        <v>#VALUE!</v>
      </c>
      <c r="T544" s="174" t="e">
        <f t="shared" si="368"/>
        <v>#VALUE!</v>
      </c>
      <c r="U544" t="e">
        <f t="shared" si="345"/>
        <v>#VALUE!</v>
      </c>
      <c r="V544" t="e">
        <f t="shared" si="346"/>
        <v>#VALUE!</v>
      </c>
      <c r="W544" t="e">
        <f t="shared" si="347"/>
        <v>#VALUE!</v>
      </c>
      <c r="X544" t="e">
        <f t="shared" si="348"/>
        <v>#VALUE!</v>
      </c>
      <c r="Y544" t="e">
        <f t="shared" si="349"/>
        <v>#VALUE!</v>
      </c>
      <c r="Z544" t="e">
        <f t="shared" si="350"/>
        <v>#VALUE!</v>
      </c>
      <c r="AA544" t="e">
        <f t="shared" si="351"/>
        <v>#VALUE!</v>
      </c>
      <c r="AB544" s="23" t="e">
        <f t="shared" si="369"/>
        <v>#VALUE!</v>
      </c>
      <c r="AC544" t="e">
        <f t="shared" si="352"/>
        <v>#VALUE!</v>
      </c>
      <c r="AD544" t="e">
        <f t="shared" si="353"/>
        <v>#VALUE!</v>
      </c>
      <c r="AE544" t="e">
        <f t="shared" si="354"/>
        <v>#VALUE!</v>
      </c>
      <c r="AF544" t="e">
        <f t="shared" si="355"/>
        <v>#VALUE!</v>
      </c>
      <c r="AG544" t="e">
        <f t="shared" si="356"/>
        <v>#VALUE!</v>
      </c>
      <c r="AH544" t="e">
        <f t="shared" si="357"/>
        <v>#VALUE!</v>
      </c>
      <c r="AI544" t="e">
        <f t="shared" si="358"/>
        <v>#VALUE!</v>
      </c>
      <c r="AJ544" s="19" t="e">
        <f t="shared" si="370"/>
        <v>#VALUE!</v>
      </c>
      <c r="AK544" t="e">
        <f t="shared" si="359"/>
        <v>#VALUE!</v>
      </c>
      <c r="AL544" t="e">
        <f t="shared" si="360"/>
        <v>#VALUE!</v>
      </c>
      <c r="AM544" t="e">
        <f t="shared" si="361"/>
        <v>#VALUE!</v>
      </c>
      <c r="AN544" t="e">
        <f t="shared" si="362"/>
        <v>#VALUE!</v>
      </c>
      <c r="AO544" t="e">
        <f t="shared" si="363"/>
        <v>#VALUE!</v>
      </c>
      <c r="AP544" t="e">
        <f t="shared" si="364"/>
        <v>#VALUE!</v>
      </c>
      <c r="AQ544" t="e">
        <f t="shared" si="365"/>
        <v>#VALUE!</v>
      </c>
      <c r="AR544" s="123" t="e">
        <f t="shared" si="371"/>
        <v>#VALUE!</v>
      </c>
      <c r="AS544" t="e">
        <f t="shared" si="366"/>
        <v>#VALUE!</v>
      </c>
      <c r="AT544" s="181" t="e">
        <f>INDEX('stock fisico '!N:N, MATCH(B544, 'stock fisico '!B:B, 0))</f>
        <v>#N/A</v>
      </c>
      <c r="AU544" s="179" t="e">
        <f>INDEX('stock fisico '!D:D, MATCH(B544, 'stock fisico '!B:B, 0))</f>
        <v>#N/A</v>
      </c>
      <c r="AV544" s="177" t="e">
        <f>INDEX('stock fisico '!L:L, MATCH(B544, 'stock fisico '!B:B, 0))</f>
        <v>#N/A</v>
      </c>
    </row>
    <row r="545" spans="1:48" x14ac:dyDescent="0.25">
      <c r="A545" s="181" t="e">
        <f>INDEX('stock fisico '!M:M, MATCH(B545, 'stock fisico '!B:B, 0))</f>
        <v>#N/A</v>
      </c>
      <c r="C545" s="179" t="e">
        <f>INDEX('stock fisico '!C:C, MATCH(B545, 'stock fisico '!B:B, 0))</f>
        <v>#N/A</v>
      </c>
      <c r="D545" s="178" t="e">
        <f>INDEX('stock fisico '!I:I, MATCH(B545, 'stock fisico '!B:B, 0))</f>
        <v>#N/A</v>
      </c>
      <c r="E545" s="173" t="e">
        <f t="shared" si="372"/>
        <v>#VALUE!</v>
      </c>
      <c r="F545" t="e">
        <f t="shared" si="332"/>
        <v>#VALUE!</v>
      </c>
      <c r="G545" t="e">
        <f t="shared" si="333"/>
        <v>#VALUE!</v>
      </c>
      <c r="H545" t="e">
        <f t="shared" si="334"/>
        <v>#VALUE!</v>
      </c>
      <c r="I545" t="e">
        <f t="shared" si="335"/>
        <v>#VALUE!</v>
      </c>
      <c r="J545" t="e">
        <f t="shared" si="336"/>
        <v>#VALUE!</v>
      </c>
      <c r="K545" t="e">
        <f t="shared" si="337"/>
        <v>#VALUE!</v>
      </c>
      <c r="L545" s="175" t="e">
        <f t="shared" si="367"/>
        <v>#VALUE!</v>
      </c>
      <c r="M545" t="e">
        <f t="shared" si="338"/>
        <v>#VALUE!</v>
      </c>
      <c r="N545" t="e">
        <f t="shared" si="339"/>
        <v>#VALUE!</v>
      </c>
      <c r="O545" t="e">
        <f t="shared" si="340"/>
        <v>#VALUE!</v>
      </c>
      <c r="P545" t="e">
        <f t="shared" si="341"/>
        <v>#VALUE!</v>
      </c>
      <c r="Q545" t="e">
        <f t="shared" si="342"/>
        <v>#VALUE!</v>
      </c>
      <c r="R545" t="e">
        <f t="shared" si="343"/>
        <v>#VALUE!</v>
      </c>
      <c r="S545" t="e">
        <f t="shared" si="344"/>
        <v>#VALUE!</v>
      </c>
      <c r="T545" s="174" t="e">
        <f t="shared" si="368"/>
        <v>#VALUE!</v>
      </c>
      <c r="U545" t="e">
        <f t="shared" si="345"/>
        <v>#VALUE!</v>
      </c>
      <c r="V545" t="e">
        <f t="shared" si="346"/>
        <v>#VALUE!</v>
      </c>
      <c r="W545" t="e">
        <f t="shared" si="347"/>
        <v>#VALUE!</v>
      </c>
      <c r="X545" t="e">
        <f t="shared" si="348"/>
        <v>#VALUE!</v>
      </c>
      <c r="Y545" t="e">
        <f t="shared" si="349"/>
        <v>#VALUE!</v>
      </c>
      <c r="Z545" t="e">
        <f t="shared" si="350"/>
        <v>#VALUE!</v>
      </c>
      <c r="AA545" t="e">
        <f t="shared" si="351"/>
        <v>#VALUE!</v>
      </c>
      <c r="AB545" s="23" t="e">
        <f t="shared" si="369"/>
        <v>#VALUE!</v>
      </c>
      <c r="AC545" t="e">
        <f t="shared" si="352"/>
        <v>#VALUE!</v>
      </c>
      <c r="AD545" t="e">
        <f t="shared" si="353"/>
        <v>#VALUE!</v>
      </c>
      <c r="AE545" t="e">
        <f t="shared" si="354"/>
        <v>#VALUE!</v>
      </c>
      <c r="AF545" t="e">
        <f t="shared" si="355"/>
        <v>#VALUE!</v>
      </c>
      <c r="AG545" t="e">
        <f t="shared" si="356"/>
        <v>#VALUE!</v>
      </c>
      <c r="AH545" t="e">
        <f t="shared" si="357"/>
        <v>#VALUE!</v>
      </c>
      <c r="AI545" t="e">
        <f t="shared" si="358"/>
        <v>#VALUE!</v>
      </c>
      <c r="AJ545" s="19" t="e">
        <f t="shared" si="370"/>
        <v>#VALUE!</v>
      </c>
      <c r="AK545" t="e">
        <f t="shared" si="359"/>
        <v>#VALUE!</v>
      </c>
      <c r="AL545" t="e">
        <f t="shared" si="360"/>
        <v>#VALUE!</v>
      </c>
      <c r="AM545" t="e">
        <f t="shared" si="361"/>
        <v>#VALUE!</v>
      </c>
      <c r="AN545" t="e">
        <f t="shared" si="362"/>
        <v>#VALUE!</v>
      </c>
      <c r="AO545" t="e">
        <f t="shared" si="363"/>
        <v>#VALUE!</v>
      </c>
      <c r="AP545" t="e">
        <f t="shared" si="364"/>
        <v>#VALUE!</v>
      </c>
      <c r="AQ545" t="e">
        <f t="shared" si="365"/>
        <v>#VALUE!</v>
      </c>
      <c r="AR545" s="123" t="e">
        <f t="shared" si="371"/>
        <v>#VALUE!</v>
      </c>
      <c r="AS545" t="e">
        <f t="shared" si="366"/>
        <v>#VALUE!</v>
      </c>
      <c r="AT545" s="181" t="e">
        <f>INDEX('stock fisico '!N:N, MATCH(B545, 'stock fisico '!B:B, 0))</f>
        <v>#N/A</v>
      </c>
      <c r="AU545" s="179" t="e">
        <f>INDEX('stock fisico '!D:D, MATCH(B545, 'stock fisico '!B:B, 0))</f>
        <v>#N/A</v>
      </c>
      <c r="AV545" s="177" t="e">
        <f>INDEX('stock fisico '!L:L, MATCH(B545, 'stock fisico '!B:B, 0))</f>
        <v>#N/A</v>
      </c>
    </row>
    <row r="546" spans="1:48" x14ac:dyDescent="0.25">
      <c r="A546" s="181" t="e">
        <f>INDEX('stock fisico '!M:M, MATCH(B546, 'stock fisico '!B:B, 0))</f>
        <v>#N/A</v>
      </c>
      <c r="C546" s="179" t="e">
        <f>INDEX('stock fisico '!C:C, MATCH(B546, 'stock fisico '!B:B, 0))</f>
        <v>#N/A</v>
      </c>
      <c r="D546" s="178" t="e">
        <f>INDEX('stock fisico '!I:I, MATCH(B546, 'stock fisico '!B:B, 0))</f>
        <v>#N/A</v>
      </c>
      <c r="E546" s="173" t="e">
        <f t="shared" si="372"/>
        <v>#VALUE!</v>
      </c>
      <c r="F546" t="e">
        <f t="shared" si="332"/>
        <v>#VALUE!</v>
      </c>
      <c r="G546" t="e">
        <f t="shared" si="333"/>
        <v>#VALUE!</v>
      </c>
      <c r="H546" t="e">
        <f t="shared" si="334"/>
        <v>#VALUE!</v>
      </c>
      <c r="I546" t="e">
        <f t="shared" si="335"/>
        <v>#VALUE!</v>
      </c>
      <c r="J546" t="e">
        <f t="shared" si="336"/>
        <v>#VALUE!</v>
      </c>
      <c r="K546" t="e">
        <f t="shared" si="337"/>
        <v>#VALUE!</v>
      </c>
      <c r="L546" s="175" t="e">
        <f t="shared" si="367"/>
        <v>#VALUE!</v>
      </c>
      <c r="M546" t="e">
        <f t="shared" si="338"/>
        <v>#VALUE!</v>
      </c>
      <c r="N546" t="e">
        <f t="shared" si="339"/>
        <v>#VALUE!</v>
      </c>
      <c r="O546" t="e">
        <f t="shared" si="340"/>
        <v>#VALUE!</v>
      </c>
      <c r="P546" t="e">
        <f t="shared" si="341"/>
        <v>#VALUE!</v>
      </c>
      <c r="Q546" t="e">
        <f t="shared" si="342"/>
        <v>#VALUE!</v>
      </c>
      <c r="R546" t="e">
        <f t="shared" si="343"/>
        <v>#VALUE!</v>
      </c>
      <c r="S546" t="e">
        <f t="shared" si="344"/>
        <v>#VALUE!</v>
      </c>
      <c r="T546" s="174" t="e">
        <f t="shared" si="368"/>
        <v>#VALUE!</v>
      </c>
      <c r="U546" t="e">
        <f t="shared" si="345"/>
        <v>#VALUE!</v>
      </c>
      <c r="V546" t="e">
        <f t="shared" si="346"/>
        <v>#VALUE!</v>
      </c>
      <c r="W546" t="e">
        <f t="shared" si="347"/>
        <v>#VALUE!</v>
      </c>
      <c r="X546" t="e">
        <f t="shared" si="348"/>
        <v>#VALUE!</v>
      </c>
      <c r="Y546" t="e">
        <f t="shared" si="349"/>
        <v>#VALUE!</v>
      </c>
      <c r="Z546" t="e">
        <f t="shared" si="350"/>
        <v>#VALUE!</v>
      </c>
      <c r="AA546" t="e">
        <f t="shared" si="351"/>
        <v>#VALUE!</v>
      </c>
      <c r="AB546" s="23" t="e">
        <f t="shared" si="369"/>
        <v>#VALUE!</v>
      </c>
      <c r="AC546" t="e">
        <f t="shared" si="352"/>
        <v>#VALUE!</v>
      </c>
      <c r="AD546" t="e">
        <f t="shared" si="353"/>
        <v>#VALUE!</v>
      </c>
      <c r="AE546" t="e">
        <f t="shared" si="354"/>
        <v>#VALUE!</v>
      </c>
      <c r="AF546" t="e">
        <f t="shared" si="355"/>
        <v>#VALUE!</v>
      </c>
      <c r="AG546" t="e">
        <f t="shared" si="356"/>
        <v>#VALUE!</v>
      </c>
      <c r="AH546" t="e">
        <f t="shared" si="357"/>
        <v>#VALUE!</v>
      </c>
      <c r="AI546" t="e">
        <f t="shared" si="358"/>
        <v>#VALUE!</v>
      </c>
      <c r="AJ546" s="19" t="e">
        <f t="shared" si="370"/>
        <v>#VALUE!</v>
      </c>
      <c r="AK546" t="e">
        <f t="shared" si="359"/>
        <v>#VALUE!</v>
      </c>
      <c r="AL546" t="e">
        <f t="shared" si="360"/>
        <v>#VALUE!</v>
      </c>
      <c r="AM546" t="e">
        <f t="shared" si="361"/>
        <v>#VALUE!</v>
      </c>
      <c r="AN546" t="e">
        <f t="shared" si="362"/>
        <v>#VALUE!</v>
      </c>
      <c r="AO546" t="e">
        <f t="shared" si="363"/>
        <v>#VALUE!</v>
      </c>
      <c r="AP546" t="e">
        <f t="shared" si="364"/>
        <v>#VALUE!</v>
      </c>
      <c r="AQ546" t="e">
        <f t="shared" si="365"/>
        <v>#VALUE!</v>
      </c>
      <c r="AR546" s="123" t="e">
        <f t="shared" si="371"/>
        <v>#VALUE!</v>
      </c>
      <c r="AS546" t="e">
        <f t="shared" si="366"/>
        <v>#VALUE!</v>
      </c>
      <c r="AT546" s="181" t="e">
        <f>INDEX('stock fisico '!N:N, MATCH(B546, 'stock fisico '!B:B, 0))</f>
        <v>#N/A</v>
      </c>
      <c r="AU546" s="179" t="e">
        <f>INDEX('stock fisico '!D:D, MATCH(B546, 'stock fisico '!B:B, 0))</f>
        <v>#N/A</v>
      </c>
      <c r="AV546" s="177" t="e">
        <f>INDEX('stock fisico '!L:L, MATCH(B546, 'stock fisico '!B:B, 0))</f>
        <v>#N/A</v>
      </c>
    </row>
    <row r="547" spans="1:48" x14ac:dyDescent="0.25">
      <c r="A547" s="181" t="e">
        <f>INDEX('stock fisico '!M:M, MATCH(B547, 'stock fisico '!B:B, 0))</f>
        <v>#N/A</v>
      </c>
      <c r="C547" s="179" t="e">
        <f>INDEX('stock fisico '!C:C, MATCH(B547, 'stock fisico '!B:B, 0))</f>
        <v>#N/A</v>
      </c>
      <c r="D547" s="178" t="e">
        <f>INDEX('stock fisico '!I:I, MATCH(B547, 'stock fisico '!B:B, 0))</f>
        <v>#N/A</v>
      </c>
      <c r="E547" s="173" t="e">
        <f t="shared" si="372"/>
        <v>#VALUE!</v>
      </c>
      <c r="F547" t="e">
        <f t="shared" si="332"/>
        <v>#VALUE!</v>
      </c>
      <c r="G547" t="e">
        <f t="shared" si="333"/>
        <v>#VALUE!</v>
      </c>
      <c r="H547" t="e">
        <f t="shared" si="334"/>
        <v>#VALUE!</v>
      </c>
      <c r="I547" t="e">
        <f t="shared" si="335"/>
        <v>#VALUE!</v>
      </c>
      <c r="J547" t="e">
        <f t="shared" si="336"/>
        <v>#VALUE!</v>
      </c>
      <c r="K547" t="e">
        <f t="shared" si="337"/>
        <v>#VALUE!</v>
      </c>
      <c r="L547" s="175" t="e">
        <f t="shared" si="367"/>
        <v>#VALUE!</v>
      </c>
      <c r="M547" t="e">
        <f t="shared" si="338"/>
        <v>#VALUE!</v>
      </c>
      <c r="N547" t="e">
        <f t="shared" si="339"/>
        <v>#VALUE!</v>
      </c>
      <c r="O547" t="e">
        <f t="shared" si="340"/>
        <v>#VALUE!</v>
      </c>
      <c r="P547" t="e">
        <f t="shared" si="341"/>
        <v>#VALUE!</v>
      </c>
      <c r="Q547" t="e">
        <f t="shared" si="342"/>
        <v>#VALUE!</v>
      </c>
      <c r="R547" t="e">
        <f t="shared" si="343"/>
        <v>#VALUE!</v>
      </c>
      <c r="S547" t="e">
        <f t="shared" si="344"/>
        <v>#VALUE!</v>
      </c>
      <c r="T547" s="174" t="e">
        <f t="shared" si="368"/>
        <v>#VALUE!</v>
      </c>
      <c r="U547" t="e">
        <f t="shared" si="345"/>
        <v>#VALUE!</v>
      </c>
      <c r="V547" t="e">
        <f t="shared" si="346"/>
        <v>#VALUE!</v>
      </c>
      <c r="W547" t="e">
        <f t="shared" si="347"/>
        <v>#VALUE!</v>
      </c>
      <c r="X547" t="e">
        <f t="shared" si="348"/>
        <v>#VALUE!</v>
      </c>
      <c r="Y547" t="e">
        <f t="shared" si="349"/>
        <v>#VALUE!</v>
      </c>
      <c r="Z547" t="e">
        <f t="shared" si="350"/>
        <v>#VALUE!</v>
      </c>
      <c r="AA547" t="e">
        <f t="shared" si="351"/>
        <v>#VALUE!</v>
      </c>
      <c r="AB547" s="23" t="e">
        <f t="shared" si="369"/>
        <v>#VALUE!</v>
      </c>
      <c r="AC547" t="e">
        <f t="shared" si="352"/>
        <v>#VALUE!</v>
      </c>
      <c r="AD547" t="e">
        <f t="shared" si="353"/>
        <v>#VALUE!</v>
      </c>
      <c r="AE547" t="e">
        <f t="shared" si="354"/>
        <v>#VALUE!</v>
      </c>
      <c r="AF547" t="e">
        <f t="shared" si="355"/>
        <v>#VALUE!</v>
      </c>
      <c r="AG547" t="e">
        <f t="shared" si="356"/>
        <v>#VALUE!</v>
      </c>
      <c r="AH547" t="e">
        <f t="shared" si="357"/>
        <v>#VALUE!</v>
      </c>
      <c r="AI547" t="e">
        <f t="shared" si="358"/>
        <v>#VALUE!</v>
      </c>
      <c r="AJ547" s="19" t="e">
        <f t="shared" si="370"/>
        <v>#VALUE!</v>
      </c>
      <c r="AK547" t="e">
        <f t="shared" si="359"/>
        <v>#VALUE!</v>
      </c>
      <c r="AL547" t="e">
        <f t="shared" si="360"/>
        <v>#VALUE!</v>
      </c>
      <c r="AM547" t="e">
        <f t="shared" si="361"/>
        <v>#VALUE!</v>
      </c>
      <c r="AN547" t="e">
        <f t="shared" si="362"/>
        <v>#VALUE!</v>
      </c>
      <c r="AO547" t="e">
        <f t="shared" si="363"/>
        <v>#VALUE!</v>
      </c>
      <c r="AP547" t="e">
        <f t="shared" si="364"/>
        <v>#VALUE!</v>
      </c>
      <c r="AQ547" t="e">
        <f t="shared" si="365"/>
        <v>#VALUE!</v>
      </c>
      <c r="AR547" s="123" t="e">
        <f t="shared" si="371"/>
        <v>#VALUE!</v>
      </c>
      <c r="AS547" t="e">
        <f t="shared" si="366"/>
        <v>#VALUE!</v>
      </c>
      <c r="AT547" s="181" t="e">
        <f>INDEX('stock fisico '!N:N, MATCH(B547, 'stock fisico '!B:B, 0))</f>
        <v>#N/A</v>
      </c>
      <c r="AU547" s="179" t="e">
        <f>INDEX('stock fisico '!D:D, MATCH(B547, 'stock fisico '!B:B, 0))</f>
        <v>#N/A</v>
      </c>
      <c r="AV547" s="177" t="e">
        <f>INDEX('stock fisico '!L:L, MATCH(B547, 'stock fisico '!B:B, 0))</f>
        <v>#N/A</v>
      </c>
    </row>
    <row r="548" spans="1:48" x14ac:dyDescent="0.25">
      <c r="A548" s="181" t="e">
        <f>INDEX('stock fisico '!M:M, MATCH(B548, 'stock fisico '!B:B, 0))</f>
        <v>#N/A</v>
      </c>
      <c r="C548" s="179" t="e">
        <f>INDEX('stock fisico '!C:C, MATCH(B548, 'stock fisico '!B:B, 0))</f>
        <v>#N/A</v>
      </c>
      <c r="D548" s="178" t="e">
        <f>INDEX('stock fisico '!I:I, MATCH(B548, 'stock fisico '!B:B, 0))</f>
        <v>#N/A</v>
      </c>
      <c r="E548" s="173" t="e">
        <f t="shared" si="372"/>
        <v>#VALUE!</v>
      </c>
      <c r="F548" t="e">
        <f t="shared" si="332"/>
        <v>#VALUE!</v>
      </c>
      <c r="G548" t="e">
        <f t="shared" si="333"/>
        <v>#VALUE!</v>
      </c>
      <c r="H548" t="e">
        <f t="shared" si="334"/>
        <v>#VALUE!</v>
      </c>
      <c r="I548" t="e">
        <f t="shared" si="335"/>
        <v>#VALUE!</v>
      </c>
      <c r="J548" t="e">
        <f t="shared" si="336"/>
        <v>#VALUE!</v>
      </c>
      <c r="K548" t="e">
        <f t="shared" si="337"/>
        <v>#VALUE!</v>
      </c>
      <c r="L548" s="175" t="e">
        <f t="shared" si="367"/>
        <v>#VALUE!</v>
      </c>
      <c r="M548" t="e">
        <f t="shared" si="338"/>
        <v>#VALUE!</v>
      </c>
      <c r="N548" t="e">
        <f t="shared" si="339"/>
        <v>#VALUE!</v>
      </c>
      <c r="O548" t="e">
        <f t="shared" si="340"/>
        <v>#VALUE!</v>
      </c>
      <c r="P548" t="e">
        <f t="shared" si="341"/>
        <v>#VALUE!</v>
      </c>
      <c r="Q548" t="e">
        <f t="shared" si="342"/>
        <v>#VALUE!</v>
      </c>
      <c r="R548" t="e">
        <f t="shared" si="343"/>
        <v>#VALUE!</v>
      </c>
      <c r="S548" t="e">
        <f t="shared" si="344"/>
        <v>#VALUE!</v>
      </c>
      <c r="T548" s="174" t="e">
        <f t="shared" si="368"/>
        <v>#VALUE!</v>
      </c>
      <c r="U548" t="e">
        <f t="shared" si="345"/>
        <v>#VALUE!</v>
      </c>
      <c r="V548" t="e">
        <f t="shared" si="346"/>
        <v>#VALUE!</v>
      </c>
      <c r="W548" t="e">
        <f t="shared" si="347"/>
        <v>#VALUE!</v>
      </c>
      <c r="X548" t="e">
        <f t="shared" si="348"/>
        <v>#VALUE!</v>
      </c>
      <c r="Y548" t="e">
        <f t="shared" si="349"/>
        <v>#VALUE!</v>
      </c>
      <c r="Z548" t="e">
        <f t="shared" si="350"/>
        <v>#VALUE!</v>
      </c>
      <c r="AA548" t="e">
        <f t="shared" si="351"/>
        <v>#VALUE!</v>
      </c>
      <c r="AB548" s="23" t="e">
        <f t="shared" si="369"/>
        <v>#VALUE!</v>
      </c>
      <c r="AC548" t="e">
        <f t="shared" si="352"/>
        <v>#VALUE!</v>
      </c>
      <c r="AD548" t="e">
        <f t="shared" si="353"/>
        <v>#VALUE!</v>
      </c>
      <c r="AE548" t="e">
        <f t="shared" si="354"/>
        <v>#VALUE!</v>
      </c>
      <c r="AF548" t="e">
        <f t="shared" si="355"/>
        <v>#VALUE!</v>
      </c>
      <c r="AG548" t="e">
        <f t="shared" si="356"/>
        <v>#VALUE!</v>
      </c>
      <c r="AH548" t="e">
        <f t="shared" si="357"/>
        <v>#VALUE!</v>
      </c>
      <c r="AI548" t="e">
        <f t="shared" si="358"/>
        <v>#VALUE!</v>
      </c>
      <c r="AJ548" s="19" t="e">
        <f t="shared" si="370"/>
        <v>#VALUE!</v>
      </c>
      <c r="AK548" t="e">
        <f t="shared" si="359"/>
        <v>#VALUE!</v>
      </c>
      <c r="AL548" t="e">
        <f t="shared" si="360"/>
        <v>#VALUE!</v>
      </c>
      <c r="AM548" t="e">
        <f t="shared" si="361"/>
        <v>#VALUE!</v>
      </c>
      <c r="AN548" t="e">
        <f t="shared" si="362"/>
        <v>#VALUE!</v>
      </c>
      <c r="AO548" t="e">
        <f t="shared" si="363"/>
        <v>#VALUE!</v>
      </c>
      <c r="AP548" t="e">
        <f t="shared" si="364"/>
        <v>#VALUE!</v>
      </c>
      <c r="AQ548" t="e">
        <f t="shared" si="365"/>
        <v>#VALUE!</v>
      </c>
      <c r="AR548" s="123" t="e">
        <f t="shared" si="371"/>
        <v>#VALUE!</v>
      </c>
      <c r="AS548" t="e">
        <f t="shared" si="366"/>
        <v>#VALUE!</v>
      </c>
      <c r="AT548" s="181" t="e">
        <f>INDEX('stock fisico '!N:N, MATCH(B548, 'stock fisico '!B:B, 0))</f>
        <v>#N/A</v>
      </c>
      <c r="AU548" s="179" t="e">
        <f>INDEX('stock fisico '!D:D, MATCH(B548, 'stock fisico '!B:B, 0))</f>
        <v>#N/A</v>
      </c>
      <c r="AV548" s="177" t="e">
        <f>INDEX('stock fisico '!L:L, MATCH(B548, 'stock fisico '!B:B, 0))</f>
        <v>#N/A</v>
      </c>
    </row>
    <row r="549" spans="1:48" x14ac:dyDescent="0.25">
      <c r="A549" s="181" t="e">
        <f>INDEX('stock fisico '!M:M, MATCH(B549, 'stock fisico '!B:B, 0))</f>
        <v>#N/A</v>
      </c>
      <c r="C549" s="179" t="e">
        <f>INDEX('stock fisico '!C:C, MATCH(B549, 'stock fisico '!B:B, 0))</f>
        <v>#N/A</v>
      </c>
      <c r="D549" s="178" t="e">
        <f>INDEX('stock fisico '!I:I, MATCH(B549, 'stock fisico '!B:B, 0))</f>
        <v>#N/A</v>
      </c>
      <c r="E549" s="173" t="e">
        <f t="shared" si="372"/>
        <v>#VALUE!</v>
      </c>
      <c r="F549" t="e">
        <f t="shared" si="332"/>
        <v>#VALUE!</v>
      </c>
      <c r="G549" t="e">
        <f t="shared" si="333"/>
        <v>#VALUE!</v>
      </c>
      <c r="H549" t="e">
        <f t="shared" si="334"/>
        <v>#VALUE!</v>
      </c>
      <c r="I549" t="e">
        <f t="shared" si="335"/>
        <v>#VALUE!</v>
      </c>
      <c r="J549" t="e">
        <f t="shared" si="336"/>
        <v>#VALUE!</v>
      </c>
      <c r="K549" t="e">
        <f t="shared" si="337"/>
        <v>#VALUE!</v>
      </c>
      <c r="L549" s="175" t="e">
        <f t="shared" si="367"/>
        <v>#VALUE!</v>
      </c>
      <c r="M549" t="e">
        <f t="shared" si="338"/>
        <v>#VALUE!</v>
      </c>
      <c r="N549" t="e">
        <f t="shared" si="339"/>
        <v>#VALUE!</v>
      </c>
      <c r="O549" t="e">
        <f t="shared" si="340"/>
        <v>#VALUE!</v>
      </c>
      <c r="P549" t="e">
        <f t="shared" si="341"/>
        <v>#VALUE!</v>
      </c>
      <c r="Q549" t="e">
        <f t="shared" si="342"/>
        <v>#VALUE!</v>
      </c>
      <c r="R549" t="e">
        <f t="shared" si="343"/>
        <v>#VALUE!</v>
      </c>
      <c r="S549" t="e">
        <f t="shared" si="344"/>
        <v>#VALUE!</v>
      </c>
      <c r="T549" s="174" t="e">
        <f t="shared" si="368"/>
        <v>#VALUE!</v>
      </c>
      <c r="U549" t="e">
        <f t="shared" si="345"/>
        <v>#VALUE!</v>
      </c>
      <c r="V549" t="e">
        <f t="shared" si="346"/>
        <v>#VALUE!</v>
      </c>
      <c r="W549" t="e">
        <f t="shared" si="347"/>
        <v>#VALUE!</v>
      </c>
      <c r="X549" t="e">
        <f t="shared" si="348"/>
        <v>#VALUE!</v>
      </c>
      <c r="Y549" t="e">
        <f t="shared" si="349"/>
        <v>#VALUE!</v>
      </c>
      <c r="Z549" t="e">
        <f t="shared" si="350"/>
        <v>#VALUE!</v>
      </c>
      <c r="AA549" t="e">
        <f t="shared" si="351"/>
        <v>#VALUE!</v>
      </c>
      <c r="AB549" s="23" t="e">
        <f t="shared" si="369"/>
        <v>#VALUE!</v>
      </c>
      <c r="AC549" t="e">
        <f t="shared" si="352"/>
        <v>#VALUE!</v>
      </c>
      <c r="AD549" t="e">
        <f t="shared" si="353"/>
        <v>#VALUE!</v>
      </c>
      <c r="AE549" t="e">
        <f t="shared" si="354"/>
        <v>#VALUE!</v>
      </c>
      <c r="AF549" t="e">
        <f t="shared" si="355"/>
        <v>#VALUE!</v>
      </c>
      <c r="AG549" t="e">
        <f t="shared" si="356"/>
        <v>#VALUE!</v>
      </c>
      <c r="AH549" t="e">
        <f t="shared" si="357"/>
        <v>#VALUE!</v>
      </c>
      <c r="AI549" t="e">
        <f t="shared" si="358"/>
        <v>#VALUE!</v>
      </c>
      <c r="AJ549" s="19" t="e">
        <f t="shared" si="370"/>
        <v>#VALUE!</v>
      </c>
      <c r="AK549" t="e">
        <f t="shared" si="359"/>
        <v>#VALUE!</v>
      </c>
      <c r="AL549" t="e">
        <f t="shared" si="360"/>
        <v>#VALUE!</v>
      </c>
      <c r="AM549" t="e">
        <f t="shared" si="361"/>
        <v>#VALUE!</v>
      </c>
      <c r="AN549" t="e">
        <f t="shared" si="362"/>
        <v>#VALUE!</v>
      </c>
      <c r="AO549" t="e">
        <f t="shared" si="363"/>
        <v>#VALUE!</v>
      </c>
      <c r="AP549" t="e">
        <f t="shared" si="364"/>
        <v>#VALUE!</v>
      </c>
      <c r="AQ549" t="e">
        <f t="shared" si="365"/>
        <v>#VALUE!</v>
      </c>
      <c r="AR549" s="123" t="e">
        <f t="shared" si="371"/>
        <v>#VALUE!</v>
      </c>
      <c r="AS549" t="e">
        <f t="shared" si="366"/>
        <v>#VALUE!</v>
      </c>
      <c r="AT549" s="181" t="e">
        <f>INDEX('stock fisico '!N:N, MATCH(B549, 'stock fisico '!B:B, 0))</f>
        <v>#N/A</v>
      </c>
      <c r="AU549" s="179" t="e">
        <f>INDEX('stock fisico '!D:D, MATCH(B549, 'stock fisico '!B:B, 0))</f>
        <v>#N/A</v>
      </c>
      <c r="AV549" s="177" t="e">
        <f>INDEX('stock fisico '!L:L, MATCH(B549, 'stock fisico '!B:B, 0))</f>
        <v>#N/A</v>
      </c>
    </row>
    <row r="550" spans="1:48" x14ac:dyDescent="0.25">
      <c r="A550" s="181" t="e">
        <f>INDEX('stock fisico '!M:M, MATCH(B550, 'stock fisico '!B:B, 0))</f>
        <v>#N/A</v>
      </c>
      <c r="C550" s="179" t="e">
        <f>INDEX('stock fisico '!C:C, MATCH(B550, 'stock fisico '!B:B, 0))</f>
        <v>#N/A</v>
      </c>
      <c r="D550" s="178" t="e">
        <f>INDEX('stock fisico '!I:I, MATCH(B550, 'stock fisico '!B:B, 0))</f>
        <v>#N/A</v>
      </c>
      <c r="E550" s="173" t="e">
        <f t="shared" si="372"/>
        <v>#VALUE!</v>
      </c>
      <c r="F550" t="e">
        <f t="shared" si="332"/>
        <v>#VALUE!</v>
      </c>
      <c r="G550" t="e">
        <f t="shared" si="333"/>
        <v>#VALUE!</v>
      </c>
      <c r="H550" t="e">
        <f t="shared" si="334"/>
        <v>#VALUE!</v>
      </c>
      <c r="I550" t="e">
        <f t="shared" si="335"/>
        <v>#VALUE!</v>
      </c>
      <c r="J550" t="e">
        <f t="shared" si="336"/>
        <v>#VALUE!</v>
      </c>
      <c r="K550" t="e">
        <f t="shared" si="337"/>
        <v>#VALUE!</v>
      </c>
      <c r="L550" s="175" t="e">
        <f t="shared" si="367"/>
        <v>#VALUE!</v>
      </c>
      <c r="M550" t="e">
        <f t="shared" si="338"/>
        <v>#VALUE!</v>
      </c>
      <c r="N550" t="e">
        <f t="shared" si="339"/>
        <v>#VALUE!</v>
      </c>
      <c r="O550" t="e">
        <f t="shared" si="340"/>
        <v>#VALUE!</v>
      </c>
      <c r="P550" t="e">
        <f t="shared" si="341"/>
        <v>#VALUE!</v>
      </c>
      <c r="Q550" t="e">
        <f t="shared" si="342"/>
        <v>#VALUE!</v>
      </c>
      <c r="R550" t="e">
        <f t="shared" si="343"/>
        <v>#VALUE!</v>
      </c>
      <c r="S550" t="e">
        <f t="shared" si="344"/>
        <v>#VALUE!</v>
      </c>
      <c r="T550" s="174" t="e">
        <f t="shared" si="368"/>
        <v>#VALUE!</v>
      </c>
      <c r="U550" t="e">
        <f t="shared" si="345"/>
        <v>#VALUE!</v>
      </c>
      <c r="V550" t="e">
        <f t="shared" si="346"/>
        <v>#VALUE!</v>
      </c>
      <c r="W550" t="e">
        <f t="shared" si="347"/>
        <v>#VALUE!</v>
      </c>
      <c r="X550" t="e">
        <f t="shared" si="348"/>
        <v>#VALUE!</v>
      </c>
      <c r="Y550" t="e">
        <f t="shared" si="349"/>
        <v>#VALUE!</v>
      </c>
      <c r="Z550" t="e">
        <f t="shared" si="350"/>
        <v>#VALUE!</v>
      </c>
      <c r="AA550" t="e">
        <f t="shared" si="351"/>
        <v>#VALUE!</v>
      </c>
      <c r="AB550" s="23" t="e">
        <f t="shared" si="369"/>
        <v>#VALUE!</v>
      </c>
      <c r="AC550" t="e">
        <f t="shared" si="352"/>
        <v>#VALUE!</v>
      </c>
      <c r="AD550" t="e">
        <f t="shared" si="353"/>
        <v>#VALUE!</v>
      </c>
      <c r="AE550" t="e">
        <f t="shared" si="354"/>
        <v>#VALUE!</v>
      </c>
      <c r="AF550" t="e">
        <f t="shared" si="355"/>
        <v>#VALUE!</v>
      </c>
      <c r="AG550" t="e">
        <f t="shared" si="356"/>
        <v>#VALUE!</v>
      </c>
      <c r="AH550" t="e">
        <f t="shared" si="357"/>
        <v>#VALUE!</v>
      </c>
      <c r="AI550" t="e">
        <f t="shared" si="358"/>
        <v>#VALUE!</v>
      </c>
      <c r="AJ550" s="19" t="e">
        <f t="shared" si="370"/>
        <v>#VALUE!</v>
      </c>
      <c r="AK550" t="e">
        <f t="shared" si="359"/>
        <v>#VALUE!</v>
      </c>
      <c r="AL550" t="e">
        <f t="shared" si="360"/>
        <v>#VALUE!</v>
      </c>
      <c r="AM550" t="e">
        <f t="shared" si="361"/>
        <v>#VALUE!</v>
      </c>
      <c r="AN550" t="e">
        <f t="shared" si="362"/>
        <v>#VALUE!</v>
      </c>
      <c r="AO550" t="e">
        <f t="shared" si="363"/>
        <v>#VALUE!</v>
      </c>
      <c r="AP550" t="e">
        <f t="shared" si="364"/>
        <v>#VALUE!</v>
      </c>
      <c r="AQ550" t="e">
        <f t="shared" si="365"/>
        <v>#VALUE!</v>
      </c>
      <c r="AR550" s="123" t="e">
        <f t="shared" si="371"/>
        <v>#VALUE!</v>
      </c>
      <c r="AS550" t="e">
        <f t="shared" si="366"/>
        <v>#VALUE!</v>
      </c>
      <c r="AT550" s="181" t="e">
        <f>INDEX('stock fisico '!N:N, MATCH(B550, 'stock fisico '!B:B, 0))</f>
        <v>#N/A</v>
      </c>
      <c r="AU550" s="179" t="e">
        <f>INDEX('stock fisico '!D:D, MATCH(B550, 'stock fisico '!B:B, 0))</f>
        <v>#N/A</v>
      </c>
      <c r="AV550" s="177" t="e">
        <f>INDEX('stock fisico '!L:L, MATCH(B550, 'stock fisico '!B:B, 0))</f>
        <v>#N/A</v>
      </c>
    </row>
    <row r="551" spans="1:48" x14ac:dyDescent="0.25">
      <c r="A551" s="181" t="e">
        <f>INDEX('stock fisico '!M:M, MATCH(B551, 'stock fisico '!B:B, 0))</f>
        <v>#N/A</v>
      </c>
      <c r="C551" s="179" t="e">
        <f>INDEX('stock fisico '!C:C, MATCH(B551, 'stock fisico '!B:B, 0))</f>
        <v>#N/A</v>
      </c>
      <c r="D551" s="178" t="e">
        <f>INDEX('stock fisico '!I:I, MATCH(B551, 'stock fisico '!B:B, 0))</f>
        <v>#N/A</v>
      </c>
      <c r="E551" s="173" t="e">
        <f t="shared" si="372"/>
        <v>#VALUE!</v>
      </c>
      <c r="F551" t="e">
        <f t="shared" si="332"/>
        <v>#VALUE!</v>
      </c>
      <c r="G551" t="e">
        <f t="shared" si="333"/>
        <v>#VALUE!</v>
      </c>
      <c r="H551" t="e">
        <f t="shared" si="334"/>
        <v>#VALUE!</v>
      </c>
      <c r="I551" t="e">
        <f t="shared" si="335"/>
        <v>#VALUE!</v>
      </c>
      <c r="J551" t="e">
        <f t="shared" si="336"/>
        <v>#VALUE!</v>
      </c>
      <c r="K551" t="e">
        <f t="shared" si="337"/>
        <v>#VALUE!</v>
      </c>
      <c r="L551" s="175" t="e">
        <f t="shared" si="367"/>
        <v>#VALUE!</v>
      </c>
      <c r="M551" t="e">
        <f t="shared" si="338"/>
        <v>#VALUE!</v>
      </c>
      <c r="N551" t="e">
        <f t="shared" si="339"/>
        <v>#VALUE!</v>
      </c>
      <c r="O551" t="e">
        <f t="shared" si="340"/>
        <v>#VALUE!</v>
      </c>
      <c r="P551" t="e">
        <f t="shared" si="341"/>
        <v>#VALUE!</v>
      </c>
      <c r="Q551" t="e">
        <f t="shared" si="342"/>
        <v>#VALUE!</v>
      </c>
      <c r="R551" t="e">
        <f t="shared" si="343"/>
        <v>#VALUE!</v>
      </c>
      <c r="S551" t="e">
        <f t="shared" si="344"/>
        <v>#VALUE!</v>
      </c>
      <c r="T551" s="174" t="e">
        <f t="shared" si="368"/>
        <v>#VALUE!</v>
      </c>
      <c r="U551" t="e">
        <f t="shared" si="345"/>
        <v>#VALUE!</v>
      </c>
      <c r="V551" t="e">
        <f t="shared" si="346"/>
        <v>#VALUE!</v>
      </c>
      <c r="W551" t="e">
        <f t="shared" si="347"/>
        <v>#VALUE!</v>
      </c>
      <c r="X551" t="e">
        <f t="shared" si="348"/>
        <v>#VALUE!</v>
      </c>
      <c r="Y551" t="e">
        <f t="shared" si="349"/>
        <v>#VALUE!</v>
      </c>
      <c r="Z551" t="e">
        <f t="shared" si="350"/>
        <v>#VALUE!</v>
      </c>
      <c r="AA551" t="e">
        <f t="shared" si="351"/>
        <v>#VALUE!</v>
      </c>
      <c r="AB551" s="23" t="e">
        <f t="shared" si="369"/>
        <v>#VALUE!</v>
      </c>
      <c r="AC551" t="e">
        <f t="shared" si="352"/>
        <v>#VALUE!</v>
      </c>
      <c r="AD551" t="e">
        <f t="shared" si="353"/>
        <v>#VALUE!</v>
      </c>
      <c r="AE551" t="e">
        <f t="shared" si="354"/>
        <v>#VALUE!</v>
      </c>
      <c r="AF551" t="e">
        <f t="shared" si="355"/>
        <v>#VALUE!</v>
      </c>
      <c r="AG551" t="e">
        <f t="shared" si="356"/>
        <v>#VALUE!</v>
      </c>
      <c r="AH551" t="e">
        <f t="shared" si="357"/>
        <v>#VALUE!</v>
      </c>
      <c r="AI551" t="e">
        <f t="shared" si="358"/>
        <v>#VALUE!</v>
      </c>
      <c r="AJ551" s="19" t="e">
        <f t="shared" si="370"/>
        <v>#VALUE!</v>
      </c>
      <c r="AK551" t="e">
        <f t="shared" si="359"/>
        <v>#VALUE!</v>
      </c>
      <c r="AL551" t="e">
        <f t="shared" si="360"/>
        <v>#VALUE!</v>
      </c>
      <c r="AM551" t="e">
        <f t="shared" si="361"/>
        <v>#VALUE!</v>
      </c>
      <c r="AN551" t="e">
        <f t="shared" si="362"/>
        <v>#VALUE!</v>
      </c>
      <c r="AO551" t="e">
        <f t="shared" si="363"/>
        <v>#VALUE!</v>
      </c>
      <c r="AP551" t="e">
        <f t="shared" si="364"/>
        <v>#VALUE!</v>
      </c>
      <c r="AQ551" t="e">
        <f t="shared" si="365"/>
        <v>#VALUE!</v>
      </c>
      <c r="AR551" s="123" t="e">
        <f t="shared" si="371"/>
        <v>#VALUE!</v>
      </c>
      <c r="AS551" t="e">
        <f t="shared" si="366"/>
        <v>#VALUE!</v>
      </c>
      <c r="AT551" s="181" t="e">
        <f>INDEX('stock fisico '!N:N, MATCH(B551, 'stock fisico '!B:B, 0))</f>
        <v>#N/A</v>
      </c>
      <c r="AU551" s="179" t="e">
        <f>INDEX('stock fisico '!D:D, MATCH(B551, 'stock fisico '!B:B, 0))</f>
        <v>#N/A</v>
      </c>
      <c r="AV551" s="177" t="e">
        <f>INDEX('stock fisico '!L:L, MATCH(B551, 'stock fisico '!B:B, 0))</f>
        <v>#N/A</v>
      </c>
    </row>
    <row r="552" spans="1:48" x14ac:dyDescent="0.25">
      <c r="A552" s="181" t="e">
        <f>INDEX('stock fisico '!M:M, MATCH(B552, 'stock fisico '!B:B, 0))</f>
        <v>#N/A</v>
      </c>
      <c r="C552" s="179" t="e">
        <f>INDEX('stock fisico '!C:C, MATCH(B552, 'stock fisico '!B:B, 0))</f>
        <v>#N/A</v>
      </c>
      <c r="D552" s="178" t="e">
        <f>INDEX('stock fisico '!I:I, MATCH(B552, 'stock fisico '!B:B, 0))</f>
        <v>#N/A</v>
      </c>
      <c r="E552" s="173" t="e">
        <f t="shared" si="372"/>
        <v>#VALUE!</v>
      </c>
      <c r="F552" t="e">
        <f t="shared" si="332"/>
        <v>#VALUE!</v>
      </c>
      <c r="G552" t="e">
        <f t="shared" si="333"/>
        <v>#VALUE!</v>
      </c>
      <c r="H552" t="e">
        <f t="shared" si="334"/>
        <v>#VALUE!</v>
      </c>
      <c r="I552" t="e">
        <f t="shared" si="335"/>
        <v>#VALUE!</v>
      </c>
      <c r="J552" t="e">
        <f t="shared" si="336"/>
        <v>#VALUE!</v>
      </c>
      <c r="K552" t="e">
        <f t="shared" si="337"/>
        <v>#VALUE!</v>
      </c>
      <c r="L552" s="175" t="e">
        <f t="shared" si="367"/>
        <v>#VALUE!</v>
      </c>
      <c r="M552" t="e">
        <f t="shared" si="338"/>
        <v>#VALUE!</v>
      </c>
      <c r="N552" t="e">
        <f t="shared" si="339"/>
        <v>#VALUE!</v>
      </c>
      <c r="O552" t="e">
        <f t="shared" si="340"/>
        <v>#VALUE!</v>
      </c>
      <c r="P552" t="e">
        <f t="shared" si="341"/>
        <v>#VALUE!</v>
      </c>
      <c r="Q552" t="e">
        <f t="shared" si="342"/>
        <v>#VALUE!</v>
      </c>
      <c r="R552" t="e">
        <f t="shared" si="343"/>
        <v>#VALUE!</v>
      </c>
      <c r="S552" t="e">
        <f t="shared" si="344"/>
        <v>#VALUE!</v>
      </c>
      <c r="T552" s="174" t="e">
        <f t="shared" si="368"/>
        <v>#VALUE!</v>
      </c>
      <c r="U552" t="e">
        <f t="shared" si="345"/>
        <v>#VALUE!</v>
      </c>
      <c r="V552" t="e">
        <f t="shared" si="346"/>
        <v>#VALUE!</v>
      </c>
      <c r="W552" t="e">
        <f t="shared" si="347"/>
        <v>#VALUE!</v>
      </c>
      <c r="X552" t="e">
        <f t="shared" si="348"/>
        <v>#VALUE!</v>
      </c>
      <c r="Y552" t="e">
        <f t="shared" si="349"/>
        <v>#VALUE!</v>
      </c>
      <c r="Z552" t="e">
        <f t="shared" si="350"/>
        <v>#VALUE!</v>
      </c>
      <c r="AA552" t="e">
        <f t="shared" si="351"/>
        <v>#VALUE!</v>
      </c>
      <c r="AB552" s="23" t="e">
        <f t="shared" si="369"/>
        <v>#VALUE!</v>
      </c>
      <c r="AC552" t="e">
        <f t="shared" si="352"/>
        <v>#VALUE!</v>
      </c>
      <c r="AD552" t="e">
        <f t="shared" si="353"/>
        <v>#VALUE!</v>
      </c>
      <c r="AE552" t="e">
        <f t="shared" si="354"/>
        <v>#VALUE!</v>
      </c>
      <c r="AF552" t="e">
        <f t="shared" si="355"/>
        <v>#VALUE!</v>
      </c>
      <c r="AG552" t="e">
        <f t="shared" si="356"/>
        <v>#VALUE!</v>
      </c>
      <c r="AH552" t="e">
        <f t="shared" si="357"/>
        <v>#VALUE!</v>
      </c>
      <c r="AI552" t="e">
        <f t="shared" si="358"/>
        <v>#VALUE!</v>
      </c>
      <c r="AJ552" s="19" t="e">
        <f t="shared" si="370"/>
        <v>#VALUE!</v>
      </c>
      <c r="AK552" t="e">
        <f t="shared" si="359"/>
        <v>#VALUE!</v>
      </c>
      <c r="AL552" t="e">
        <f t="shared" si="360"/>
        <v>#VALUE!</v>
      </c>
      <c r="AM552" t="e">
        <f t="shared" si="361"/>
        <v>#VALUE!</v>
      </c>
      <c r="AN552" t="e">
        <f t="shared" si="362"/>
        <v>#VALUE!</v>
      </c>
      <c r="AO552" t="e">
        <f t="shared" si="363"/>
        <v>#VALUE!</v>
      </c>
      <c r="AP552" t="e">
        <f t="shared" si="364"/>
        <v>#VALUE!</v>
      </c>
      <c r="AQ552" t="e">
        <f t="shared" si="365"/>
        <v>#VALUE!</v>
      </c>
      <c r="AR552" s="123" t="e">
        <f t="shared" si="371"/>
        <v>#VALUE!</v>
      </c>
      <c r="AS552" t="e">
        <f t="shared" si="366"/>
        <v>#VALUE!</v>
      </c>
      <c r="AT552" s="181" t="e">
        <f>INDEX('stock fisico '!N:N, MATCH(B552, 'stock fisico '!B:B, 0))</f>
        <v>#N/A</v>
      </c>
      <c r="AU552" s="179" t="e">
        <f>INDEX('stock fisico '!D:D, MATCH(B552, 'stock fisico '!B:B, 0))</f>
        <v>#N/A</v>
      </c>
      <c r="AV552" s="177" t="e">
        <f>INDEX('stock fisico '!L:L, MATCH(B552, 'stock fisico '!B:B, 0))</f>
        <v>#N/A</v>
      </c>
    </row>
    <row r="553" spans="1:48" x14ac:dyDescent="0.25">
      <c r="A553" s="181" t="e">
        <f>INDEX('stock fisico '!M:M, MATCH(B553, 'stock fisico '!B:B, 0))</f>
        <v>#N/A</v>
      </c>
      <c r="C553" s="179" t="e">
        <f>INDEX('stock fisico '!C:C, MATCH(B553, 'stock fisico '!B:B, 0))</f>
        <v>#N/A</v>
      </c>
      <c r="D553" s="178" t="e">
        <f>INDEX('stock fisico '!I:I, MATCH(B553, 'stock fisico '!B:B, 0))</f>
        <v>#N/A</v>
      </c>
      <c r="E553" s="173" t="e">
        <f t="shared" si="372"/>
        <v>#VALUE!</v>
      </c>
      <c r="F553" t="e">
        <f t="shared" si="332"/>
        <v>#VALUE!</v>
      </c>
      <c r="G553" t="e">
        <f t="shared" si="333"/>
        <v>#VALUE!</v>
      </c>
      <c r="H553" t="e">
        <f t="shared" si="334"/>
        <v>#VALUE!</v>
      </c>
      <c r="I553" t="e">
        <f t="shared" si="335"/>
        <v>#VALUE!</v>
      </c>
      <c r="J553" t="e">
        <f t="shared" si="336"/>
        <v>#VALUE!</v>
      </c>
      <c r="K553" t="e">
        <f t="shared" si="337"/>
        <v>#VALUE!</v>
      </c>
      <c r="L553" s="175" t="e">
        <f t="shared" si="367"/>
        <v>#VALUE!</v>
      </c>
      <c r="M553" t="e">
        <f t="shared" si="338"/>
        <v>#VALUE!</v>
      </c>
      <c r="N553" t="e">
        <f t="shared" si="339"/>
        <v>#VALUE!</v>
      </c>
      <c r="O553" t="e">
        <f t="shared" si="340"/>
        <v>#VALUE!</v>
      </c>
      <c r="P553" t="e">
        <f t="shared" si="341"/>
        <v>#VALUE!</v>
      </c>
      <c r="Q553" t="e">
        <f t="shared" si="342"/>
        <v>#VALUE!</v>
      </c>
      <c r="R553" t="e">
        <f t="shared" si="343"/>
        <v>#VALUE!</v>
      </c>
      <c r="S553" t="e">
        <f t="shared" si="344"/>
        <v>#VALUE!</v>
      </c>
      <c r="T553" s="174" t="e">
        <f t="shared" si="368"/>
        <v>#VALUE!</v>
      </c>
      <c r="U553" t="e">
        <f t="shared" si="345"/>
        <v>#VALUE!</v>
      </c>
      <c r="V553" t="e">
        <f t="shared" si="346"/>
        <v>#VALUE!</v>
      </c>
      <c r="W553" t="e">
        <f t="shared" si="347"/>
        <v>#VALUE!</v>
      </c>
      <c r="X553" t="e">
        <f t="shared" si="348"/>
        <v>#VALUE!</v>
      </c>
      <c r="Y553" t="e">
        <f t="shared" si="349"/>
        <v>#VALUE!</v>
      </c>
      <c r="Z553" t="e">
        <f t="shared" si="350"/>
        <v>#VALUE!</v>
      </c>
      <c r="AA553" t="e">
        <f t="shared" si="351"/>
        <v>#VALUE!</v>
      </c>
      <c r="AB553" s="23" t="e">
        <f t="shared" si="369"/>
        <v>#VALUE!</v>
      </c>
      <c r="AC553" t="e">
        <f t="shared" si="352"/>
        <v>#VALUE!</v>
      </c>
      <c r="AD553" t="e">
        <f t="shared" si="353"/>
        <v>#VALUE!</v>
      </c>
      <c r="AE553" t="e">
        <f t="shared" si="354"/>
        <v>#VALUE!</v>
      </c>
      <c r="AF553" t="e">
        <f t="shared" si="355"/>
        <v>#VALUE!</v>
      </c>
      <c r="AG553" t="e">
        <f t="shared" si="356"/>
        <v>#VALUE!</v>
      </c>
      <c r="AH553" t="e">
        <f t="shared" si="357"/>
        <v>#VALUE!</v>
      </c>
      <c r="AI553" t="e">
        <f t="shared" si="358"/>
        <v>#VALUE!</v>
      </c>
      <c r="AJ553" s="19" t="e">
        <f t="shared" si="370"/>
        <v>#VALUE!</v>
      </c>
      <c r="AK553" t="e">
        <f t="shared" si="359"/>
        <v>#VALUE!</v>
      </c>
      <c r="AL553" t="e">
        <f t="shared" si="360"/>
        <v>#VALUE!</v>
      </c>
      <c r="AM553" t="e">
        <f t="shared" si="361"/>
        <v>#VALUE!</v>
      </c>
      <c r="AN553" t="e">
        <f t="shared" si="362"/>
        <v>#VALUE!</v>
      </c>
      <c r="AO553" t="e">
        <f t="shared" si="363"/>
        <v>#VALUE!</v>
      </c>
      <c r="AP553" t="e">
        <f t="shared" si="364"/>
        <v>#VALUE!</v>
      </c>
      <c r="AQ553" t="e">
        <f t="shared" si="365"/>
        <v>#VALUE!</v>
      </c>
      <c r="AR553" s="123" t="e">
        <f t="shared" si="371"/>
        <v>#VALUE!</v>
      </c>
      <c r="AS553" t="e">
        <f t="shared" si="366"/>
        <v>#VALUE!</v>
      </c>
      <c r="AT553" s="181" t="e">
        <f>INDEX('stock fisico '!N:N, MATCH(B553, 'stock fisico '!B:B, 0))</f>
        <v>#N/A</v>
      </c>
      <c r="AU553" s="179" t="e">
        <f>INDEX('stock fisico '!D:D, MATCH(B553, 'stock fisico '!B:B, 0))</f>
        <v>#N/A</v>
      </c>
      <c r="AV553" s="177" t="e">
        <f>INDEX('stock fisico '!L:L, MATCH(B553, 'stock fisico '!B:B, 0))</f>
        <v>#N/A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H7"/>
  <sheetViews>
    <sheetView workbookViewId="0">
      <selection activeCell="H11" sqref="H11"/>
    </sheetView>
  </sheetViews>
  <sheetFormatPr baseColWidth="10" defaultRowHeight="15" x14ac:dyDescent="0.25"/>
  <cols>
    <col min="1" max="1" width="15.140625" style="166" customWidth="1"/>
    <col min="2" max="2" width="27.28515625" style="166" customWidth="1"/>
    <col min="3" max="3" width="11.42578125" style="166"/>
    <col min="4" max="4" width="11.42578125" hidden="1" customWidth="1"/>
    <col min="5" max="5" width="3.28515625" style="153" customWidth="1"/>
    <col min="6" max="6" width="26.7109375" customWidth="1"/>
    <col min="7" max="7" width="9.28515625" customWidth="1"/>
    <col min="8" max="8" width="72.42578125" customWidth="1"/>
  </cols>
  <sheetData>
    <row r="1" spans="1:8" ht="15.75" thickBot="1" x14ac:dyDescent="0.3">
      <c r="A1" s="151" t="s">
        <v>1675</v>
      </c>
      <c r="B1" s="151" t="s">
        <v>1676</v>
      </c>
      <c r="C1" s="152" t="s">
        <v>1677</v>
      </c>
      <c r="F1" s="154" t="s">
        <v>1678</v>
      </c>
      <c r="G1" s="155" t="s">
        <v>1679</v>
      </c>
      <c r="H1" s="156" t="s">
        <v>1680</v>
      </c>
    </row>
    <row r="2" spans="1:8" x14ac:dyDescent="0.25">
      <c r="A2" s="157" t="s">
        <v>146</v>
      </c>
      <c r="B2" s="157" t="s">
        <v>146</v>
      </c>
      <c r="C2" s="158">
        <v>10</v>
      </c>
      <c r="D2" t="str">
        <f t="shared" ref="D2:D3" si="0">LOWER(SUBSTITUTE(SUBSTITUTE(SUBSTITUTE(SUBSTITUTE(SUBSTITUTE(B2,"á","a"),"é","e"),"í","i"),"ó","o"),"ú","u"))</f>
        <v>global</v>
      </c>
      <c r="F2" s="159" t="s">
        <v>1681</v>
      </c>
      <c r="G2" s="160">
        <v>1</v>
      </c>
      <c r="H2" s="161" t="s">
        <v>1682</v>
      </c>
    </row>
    <row r="3" spans="1:8" x14ac:dyDescent="0.25">
      <c r="A3" s="157"/>
      <c r="B3" s="168"/>
      <c r="C3" s="158"/>
      <c r="D3" t="str">
        <f t="shared" si="0"/>
        <v/>
      </c>
      <c r="F3" s="162" t="s">
        <v>1683</v>
      </c>
      <c r="G3" s="163">
        <v>2</v>
      </c>
    </row>
    <row r="4" spans="1:8" x14ac:dyDescent="0.25">
      <c r="A4" s="167"/>
      <c r="B4" s="168"/>
      <c r="C4" s="158"/>
      <c r="D4" t="e">
        <f>LOWER(SUBSTITUTE(SUBSTITUTE(SUBSTITUTE(SUBSTITUTE(SUBSTITUTE(#REF!,"á","a"),"é","e"),"í","i"),"ó","o"),"ú","u"))</f>
        <v>#REF!</v>
      </c>
      <c r="F4" s="162" t="s">
        <v>1684</v>
      </c>
      <c r="G4" s="163">
        <v>3</v>
      </c>
    </row>
    <row r="5" spans="1:8" x14ac:dyDescent="0.25">
      <c r="A5" s="157"/>
      <c r="B5" s="157"/>
      <c r="C5" s="158"/>
      <c r="D5" t="str">
        <f>LOWER(SUBSTITUTE(SUBSTITUTE(SUBSTITUTE(SUBSTITUTE(SUBSTITUTE(B4,"á","a"),"é","e"),"í","i"),"ó","o"),"ú","u"))</f>
        <v/>
      </c>
      <c r="F5" s="162" t="s">
        <v>1685</v>
      </c>
      <c r="G5" s="163">
        <v>4</v>
      </c>
    </row>
    <row r="6" spans="1:8" ht="15.75" thickBot="1" x14ac:dyDescent="0.3">
      <c r="A6" s="157"/>
      <c r="B6" s="157"/>
      <c r="C6" s="158"/>
      <c r="D6" t="str">
        <f>LOWER(SUBSTITUTE(SUBSTITUTE(SUBSTITUTE(SUBSTITUTE(SUBSTITUTE(B5,"á","a"),"é","e"),"í","i"),"ó","o"),"ú","u"))</f>
        <v/>
      </c>
      <c r="F6" s="164" t="s">
        <v>146</v>
      </c>
      <c r="G6" s="165">
        <v>5</v>
      </c>
    </row>
    <row r="7" spans="1:8" x14ac:dyDescent="0.25">
      <c r="D7" t="str">
        <f>LOWER(SUBSTITUTE(SUBSTITUTE(SUBSTITUTE(SUBSTITUTE(SUBSTITUTE(B6,"á","a"),"é","e"),"í","i"),"ó","o"),"ú","u"))</f>
        <v/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D6:H12"/>
  <sheetViews>
    <sheetView workbookViewId="0">
      <selection activeCell="B29" sqref="B29"/>
    </sheetView>
  </sheetViews>
  <sheetFormatPr baseColWidth="10" defaultRowHeight="15" x14ac:dyDescent="0.25"/>
  <cols>
    <col min="2" max="2" width="13.28515625" bestFit="1" customWidth="1"/>
    <col min="5" max="6" width="14.28515625" bestFit="1" customWidth="1"/>
    <col min="8" max="8" width="14.28515625" bestFit="1" customWidth="1"/>
  </cols>
  <sheetData>
    <row r="6" spans="4:8" x14ac:dyDescent="0.25">
      <c r="E6" t="s">
        <v>1547</v>
      </c>
      <c r="F6" t="s">
        <v>1548</v>
      </c>
      <c r="G6" t="s">
        <v>1549</v>
      </c>
      <c r="H6" t="s">
        <v>1550</v>
      </c>
    </row>
    <row r="7" spans="4:8" x14ac:dyDescent="0.25">
      <c r="D7" t="s">
        <v>1653</v>
      </c>
      <c r="E7">
        <v>647000</v>
      </c>
      <c r="F7">
        <v>703999</v>
      </c>
      <c r="G7">
        <v>8</v>
      </c>
      <c r="H7">
        <f>F7*G7%-F7</f>
        <v>-647679.07999999996</v>
      </c>
    </row>
    <row r="8" spans="4:8" x14ac:dyDescent="0.25">
      <c r="D8" t="s">
        <v>1654</v>
      </c>
      <c r="E8">
        <v>695000</v>
      </c>
      <c r="F8">
        <v>754999</v>
      </c>
      <c r="G8">
        <v>8</v>
      </c>
      <c r="H8">
        <f t="shared" ref="H8:H12" si="0">F8*G8%-F8</f>
        <v>-694599.08</v>
      </c>
    </row>
    <row r="9" spans="4:8" x14ac:dyDescent="0.25">
      <c r="D9" t="s">
        <v>1655</v>
      </c>
      <c r="E9">
        <v>757199</v>
      </c>
      <c r="F9">
        <v>822999</v>
      </c>
      <c r="G9">
        <v>8</v>
      </c>
      <c r="H9">
        <f t="shared" si="0"/>
        <v>-757159.08</v>
      </c>
    </row>
    <row r="10" spans="4:8" x14ac:dyDescent="0.25">
      <c r="D10" t="s">
        <v>1656</v>
      </c>
      <c r="E10">
        <v>839699</v>
      </c>
      <c r="F10">
        <v>912709</v>
      </c>
      <c r="G10">
        <v>8</v>
      </c>
      <c r="H10">
        <f t="shared" si="0"/>
        <v>-839692.28</v>
      </c>
    </row>
    <row r="11" spans="4:8" x14ac:dyDescent="0.25">
      <c r="D11" t="s">
        <v>1657</v>
      </c>
      <c r="E11">
        <v>244300</v>
      </c>
      <c r="F11">
        <v>265499</v>
      </c>
      <c r="G11">
        <v>8</v>
      </c>
      <c r="H11">
        <f t="shared" si="0"/>
        <v>-244259.08</v>
      </c>
    </row>
    <row r="12" spans="4:8" x14ac:dyDescent="0.25">
      <c r="D12" t="s">
        <v>1658</v>
      </c>
      <c r="E12">
        <v>1043699</v>
      </c>
      <c r="F12">
        <v>1133999</v>
      </c>
      <c r="G12">
        <v>8</v>
      </c>
      <c r="H12">
        <f t="shared" si="0"/>
        <v>-1043279.08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Q40"/>
  <sheetViews>
    <sheetView topLeftCell="A19" workbookViewId="0">
      <selection activeCell="M48" sqref="M48"/>
    </sheetView>
  </sheetViews>
  <sheetFormatPr baseColWidth="10" defaultColWidth="9.140625" defaultRowHeight="15" x14ac:dyDescent="0.25"/>
  <cols>
    <col min="1" max="1" width="7.85546875" bestFit="1" customWidth="1"/>
    <col min="2" max="2" width="13" customWidth="1"/>
    <col min="3" max="3" width="11.28515625" bestFit="1" customWidth="1"/>
    <col min="4" max="4" width="3.42578125" bestFit="1" customWidth="1"/>
    <col min="5" max="6" width="5.28515625" bestFit="1" customWidth="1"/>
    <col min="7" max="7" width="31.85546875" customWidth="1"/>
    <col min="8" max="8" width="5.7109375" customWidth="1"/>
    <col min="9" max="10" width="11.140625" bestFit="1" customWidth="1"/>
    <col min="11" max="11" width="6" bestFit="1" customWidth="1"/>
    <col min="12" max="13" width="10.28515625" bestFit="1" customWidth="1"/>
    <col min="14" max="14" width="14.85546875" bestFit="1" customWidth="1"/>
    <col min="15" max="15" width="6.7109375" bestFit="1" customWidth="1"/>
    <col min="16" max="16" width="10.5703125" bestFit="1" customWidth="1"/>
    <col min="17" max="17" width="6.140625" bestFit="1" customWidth="1"/>
  </cols>
  <sheetData>
    <row r="1" spans="1:17" hidden="1" x14ac:dyDescent="0.25"/>
    <row r="2" spans="1:17" hidden="1" x14ac:dyDescent="0.25"/>
    <row r="3" spans="1:17" hidden="1" x14ac:dyDescent="0.25">
      <c r="G3" t="s">
        <v>902</v>
      </c>
      <c r="H3">
        <v>0</v>
      </c>
      <c r="J3">
        <v>100</v>
      </c>
    </row>
    <row r="4" spans="1:17" hidden="1" x14ac:dyDescent="0.25">
      <c r="B4" t="s">
        <v>1189</v>
      </c>
      <c r="G4" t="s">
        <v>903</v>
      </c>
      <c r="H4">
        <v>0</v>
      </c>
    </row>
    <row r="5" spans="1:17" hidden="1" x14ac:dyDescent="0.25">
      <c r="B5" t="s">
        <v>904</v>
      </c>
      <c r="G5" t="s">
        <v>1237</v>
      </c>
      <c r="H5">
        <v>4.84</v>
      </c>
    </row>
    <row r="6" spans="1:17" hidden="1" x14ac:dyDescent="0.25">
      <c r="B6" t="s">
        <v>905</v>
      </c>
      <c r="G6" t="s">
        <v>1233</v>
      </c>
      <c r="H6">
        <v>9.68</v>
      </c>
    </row>
    <row r="7" spans="1:17" hidden="1" x14ac:dyDescent="0.25">
      <c r="B7" t="s">
        <v>906</v>
      </c>
      <c r="G7" t="s">
        <v>1234</v>
      </c>
      <c r="H7">
        <v>15.851000000000001</v>
      </c>
    </row>
    <row r="8" spans="1:17" hidden="1" x14ac:dyDescent="0.25">
      <c r="B8" t="s">
        <v>907</v>
      </c>
      <c r="G8" t="s">
        <v>1236</v>
      </c>
      <c r="H8">
        <v>21.658999999999999</v>
      </c>
    </row>
    <row r="9" spans="1:17" hidden="1" x14ac:dyDescent="0.25">
      <c r="B9" t="s">
        <v>908</v>
      </c>
      <c r="G9" t="s">
        <v>1235</v>
      </c>
      <c r="H9">
        <v>27.466999999999999</v>
      </c>
    </row>
    <row r="10" spans="1:17" hidden="1" x14ac:dyDescent="0.25">
      <c r="B10" t="s">
        <v>909</v>
      </c>
      <c r="G10" t="s">
        <v>1231</v>
      </c>
      <c r="H10">
        <v>8.5909999999999993</v>
      </c>
    </row>
    <row r="11" spans="1:17" hidden="1" x14ac:dyDescent="0.25">
      <c r="B11" t="s">
        <v>910</v>
      </c>
      <c r="G11" t="s">
        <v>1232</v>
      </c>
      <c r="H11">
        <v>16.335000000000001</v>
      </c>
    </row>
    <row r="12" spans="1:17" hidden="1" x14ac:dyDescent="0.25"/>
    <row r="13" spans="1:17" x14ac:dyDescent="0.25">
      <c r="A13" t="s">
        <v>0</v>
      </c>
      <c r="B13" t="s">
        <v>1</v>
      </c>
      <c r="C13" t="s">
        <v>918</v>
      </c>
      <c r="D13" t="s">
        <v>921</v>
      </c>
      <c r="E13" t="s">
        <v>913</v>
      </c>
      <c r="F13" t="s">
        <v>914</v>
      </c>
      <c r="G13" t="s">
        <v>915</v>
      </c>
      <c r="H13" t="s">
        <v>920</v>
      </c>
      <c r="I13" t="s">
        <v>911</v>
      </c>
      <c r="J13" t="s">
        <v>912</v>
      </c>
      <c r="K13" t="s">
        <v>916</v>
      </c>
      <c r="L13" t="s">
        <v>919</v>
      </c>
      <c r="M13" t="s">
        <v>922</v>
      </c>
      <c r="N13" t="s">
        <v>917</v>
      </c>
      <c r="O13" t="s">
        <v>3</v>
      </c>
      <c r="P13" t="s">
        <v>2</v>
      </c>
    </row>
    <row r="14" spans="1:17" x14ac:dyDescent="0.25">
      <c r="A14" t="s">
        <v>157</v>
      </c>
      <c r="B14" t="s">
        <v>158</v>
      </c>
      <c r="C14">
        <v>52613</v>
      </c>
      <c r="D14">
        <v>3</v>
      </c>
      <c r="E14">
        <v>14.15</v>
      </c>
      <c r="F14">
        <f t="shared" ref="F14:F32" si="0">E14*1.21</f>
        <v>17.121500000000001</v>
      </c>
      <c r="G14" t="s">
        <v>903</v>
      </c>
      <c r="H14">
        <f t="shared" ref="H14:H32" si="1">(IF(G14=$G$3,$H$3)+IF(G14=$G$4,$H$4)+IF(G14=$G$5,$H$5)+IF(G14=$G$6,$H$6)+IF(G14=$G$7,$H$7)+IF(G14=$G$8,$H$8)+IF(G14=$G$9,$H$9)+IF(G14=$G$10,$H$10)+IF(G14=$G$11,$H$11))</f>
        <v>0</v>
      </c>
      <c r="I14">
        <f t="shared" ref="I14:I32" si="2">(C14/(($J$3-D14)/100))</f>
        <v>54240.206185567011</v>
      </c>
      <c r="J14">
        <f t="shared" ref="J14:J32" si="3">(C14/(($J$3-D14)/100-(0.08)))</f>
        <v>59115.730337078654</v>
      </c>
      <c r="K14">
        <f t="shared" ref="K14:K32" si="4">(D14+8+1.2)+(F14+H14)</f>
        <v>29.3215</v>
      </c>
      <c r="L14">
        <v>11350</v>
      </c>
      <c r="M14">
        <f t="shared" ref="M14:M32" si="5">L14*1.21</f>
        <v>13733.5</v>
      </c>
      <c r="N14">
        <f t="shared" ref="N14:N32" si="6">C14/((100-K14)/100)+M14</f>
        <v>88173.393319750699</v>
      </c>
      <c r="O14" t="s">
        <v>35</v>
      </c>
      <c r="P14" t="s">
        <v>78</v>
      </c>
    </row>
    <row r="15" spans="1:17" x14ac:dyDescent="0.25">
      <c r="A15" t="s">
        <v>1217</v>
      </c>
      <c r="B15" t="s">
        <v>1222</v>
      </c>
      <c r="C15">
        <v>58993</v>
      </c>
      <c r="D15">
        <v>10</v>
      </c>
      <c r="E15">
        <v>14.15</v>
      </c>
      <c r="F15">
        <f t="shared" si="0"/>
        <v>17.121500000000001</v>
      </c>
      <c r="G15" t="s">
        <v>903</v>
      </c>
      <c r="H15">
        <f t="shared" si="1"/>
        <v>0</v>
      </c>
      <c r="I15">
        <f t="shared" si="2"/>
        <v>65547.777777777781</v>
      </c>
      <c r="J15">
        <f t="shared" si="3"/>
        <v>71942.682926829264</v>
      </c>
      <c r="K15">
        <f t="shared" si="4"/>
        <v>36.3215</v>
      </c>
      <c r="L15">
        <v>11350</v>
      </c>
      <c r="M15">
        <f t="shared" si="5"/>
        <v>13733.5</v>
      </c>
      <c r="N15">
        <f t="shared" si="6"/>
        <v>106375.44351311667</v>
      </c>
      <c r="O15" t="s">
        <v>35</v>
      </c>
      <c r="P15" t="s">
        <v>78</v>
      </c>
      <c r="Q15">
        <v>212000</v>
      </c>
    </row>
    <row r="16" spans="1:17" x14ac:dyDescent="0.25">
      <c r="A16" t="s">
        <v>1218</v>
      </c>
      <c r="B16" t="s">
        <v>1223</v>
      </c>
      <c r="C16">
        <v>58993</v>
      </c>
      <c r="D16">
        <v>10</v>
      </c>
      <c r="E16">
        <v>14.15</v>
      </c>
      <c r="F16">
        <f t="shared" si="0"/>
        <v>17.121500000000001</v>
      </c>
      <c r="G16" t="s">
        <v>903</v>
      </c>
      <c r="H16">
        <f t="shared" si="1"/>
        <v>0</v>
      </c>
      <c r="I16">
        <f t="shared" si="2"/>
        <v>65547.777777777781</v>
      </c>
      <c r="J16">
        <f t="shared" si="3"/>
        <v>71942.682926829264</v>
      </c>
      <c r="K16">
        <f t="shared" si="4"/>
        <v>36.3215</v>
      </c>
      <c r="L16">
        <v>11350</v>
      </c>
      <c r="M16">
        <f t="shared" si="5"/>
        <v>13733.5</v>
      </c>
      <c r="N16">
        <f t="shared" si="6"/>
        <v>106375.44351311667</v>
      </c>
      <c r="O16" t="s">
        <v>35</v>
      </c>
      <c r="P16" t="s">
        <v>78</v>
      </c>
      <c r="Q16">
        <v>212000</v>
      </c>
    </row>
    <row r="17" spans="1:17" x14ac:dyDescent="0.25">
      <c r="A17" t="s">
        <v>1219</v>
      </c>
      <c r="B17" t="s">
        <v>1224</v>
      </c>
      <c r="C17">
        <v>35527</v>
      </c>
      <c r="D17">
        <v>3</v>
      </c>
      <c r="E17">
        <v>14.15</v>
      </c>
      <c r="F17">
        <f t="shared" si="0"/>
        <v>17.121500000000001</v>
      </c>
      <c r="G17" t="s">
        <v>903</v>
      </c>
      <c r="H17">
        <f t="shared" si="1"/>
        <v>0</v>
      </c>
      <c r="I17">
        <f t="shared" si="2"/>
        <v>36625.773195876289</v>
      </c>
      <c r="J17">
        <f t="shared" si="3"/>
        <v>39917.97752808989</v>
      </c>
      <c r="K17">
        <f t="shared" si="4"/>
        <v>29.3215</v>
      </c>
      <c r="L17">
        <v>11350</v>
      </c>
      <c r="M17">
        <f t="shared" si="5"/>
        <v>13733.5</v>
      </c>
      <c r="N17">
        <f t="shared" si="6"/>
        <v>63999.139480181388</v>
      </c>
      <c r="O17" t="s">
        <v>35</v>
      </c>
      <c r="P17" t="s">
        <v>78</v>
      </c>
      <c r="Q17">
        <v>118000</v>
      </c>
    </row>
    <row r="18" spans="1:17" x14ac:dyDescent="0.25">
      <c r="A18" t="s">
        <v>1220</v>
      </c>
      <c r="B18" t="s">
        <v>1225</v>
      </c>
      <c r="C18">
        <v>43387</v>
      </c>
      <c r="D18">
        <v>10</v>
      </c>
      <c r="E18">
        <v>14.15</v>
      </c>
      <c r="F18">
        <f t="shared" si="0"/>
        <v>17.121500000000001</v>
      </c>
      <c r="G18" t="s">
        <v>903</v>
      </c>
      <c r="H18">
        <f t="shared" si="1"/>
        <v>0</v>
      </c>
      <c r="I18">
        <f t="shared" si="2"/>
        <v>48207.777777777774</v>
      </c>
      <c r="J18">
        <f t="shared" si="3"/>
        <v>52910.975609756097</v>
      </c>
      <c r="K18">
        <f t="shared" si="4"/>
        <v>36.3215</v>
      </c>
      <c r="L18">
        <v>11350</v>
      </c>
      <c r="M18">
        <f t="shared" si="5"/>
        <v>13733.5</v>
      </c>
      <c r="N18">
        <f t="shared" si="6"/>
        <v>81867.956684752309</v>
      </c>
      <c r="O18" t="s">
        <v>35</v>
      </c>
      <c r="P18" t="s">
        <v>78</v>
      </c>
      <c r="Q18">
        <v>150000</v>
      </c>
    </row>
    <row r="19" spans="1:17" x14ac:dyDescent="0.25">
      <c r="A19" t="s">
        <v>1221</v>
      </c>
      <c r="B19" t="s">
        <v>1226</v>
      </c>
      <c r="C19">
        <v>43387</v>
      </c>
      <c r="D19">
        <v>10</v>
      </c>
      <c r="E19">
        <v>14.15</v>
      </c>
      <c r="F19">
        <f t="shared" si="0"/>
        <v>17.121500000000001</v>
      </c>
      <c r="G19" t="s">
        <v>903</v>
      </c>
      <c r="H19">
        <f t="shared" si="1"/>
        <v>0</v>
      </c>
      <c r="I19">
        <f t="shared" si="2"/>
        <v>48207.777777777774</v>
      </c>
      <c r="J19">
        <f t="shared" si="3"/>
        <v>52910.975609756097</v>
      </c>
      <c r="K19">
        <f t="shared" si="4"/>
        <v>36.3215</v>
      </c>
      <c r="L19">
        <v>11350</v>
      </c>
      <c r="M19">
        <f t="shared" si="5"/>
        <v>13733.5</v>
      </c>
      <c r="N19">
        <f t="shared" si="6"/>
        <v>81867.956684752309</v>
      </c>
      <c r="O19" t="s">
        <v>35</v>
      </c>
      <c r="P19" t="s">
        <v>78</v>
      </c>
      <c r="Q19">
        <v>120000</v>
      </c>
    </row>
    <row r="20" spans="1:17" x14ac:dyDescent="0.25">
      <c r="A20" t="s">
        <v>1244</v>
      </c>
      <c r="B20" t="s">
        <v>196</v>
      </c>
      <c r="C20">
        <v>28631</v>
      </c>
      <c r="D20">
        <v>3</v>
      </c>
      <c r="E20">
        <v>14.15</v>
      </c>
      <c r="F20">
        <f t="shared" si="0"/>
        <v>17.121500000000001</v>
      </c>
      <c r="G20" t="s">
        <v>903</v>
      </c>
      <c r="H20">
        <f t="shared" si="1"/>
        <v>0</v>
      </c>
      <c r="I20">
        <f t="shared" si="2"/>
        <v>29516.494845360827</v>
      </c>
      <c r="J20">
        <f t="shared" si="3"/>
        <v>32169.662921348314</v>
      </c>
      <c r="K20">
        <f t="shared" si="4"/>
        <v>29.3215</v>
      </c>
      <c r="L20">
        <v>11350</v>
      </c>
      <c r="M20">
        <f t="shared" si="5"/>
        <v>13733.5</v>
      </c>
      <c r="N20">
        <f t="shared" si="6"/>
        <v>54242.282727420643</v>
      </c>
      <c r="O20" t="s">
        <v>35</v>
      </c>
      <c r="P20" t="s">
        <v>78</v>
      </c>
      <c r="Q20">
        <v>0</v>
      </c>
    </row>
    <row r="21" spans="1:17" x14ac:dyDescent="0.25">
      <c r="A21" t="s">
        <v>1240</v>
      </c>
      <c r="B21" t="s">
        <v>1241</v>
      </c>
      <c r="C21">
        <v>69587</v>
      </c>
      <c r="D21">
        <v>10</v>
      </c>
      <c r="E21">
        <v>14.15</v>
      </c>
      <c r="F21">
        <f t="shared" si="0"/>
        <v>17.121500000000001</v>
      </c>
      <c r="G21" t="s">
        <v>903</v>
      </c>
      <c r="H21">
        <f t="shared" si="1"/>
        <v>0</v>
      </c>
      <c r="I21">
        <f t="shared" si="2"/>
        <v>77318.888888888891</v>
      </c>
      <c r="J21">
        <f t="shared" si="3"/>
        <v>84862.195121951212</v>
      </c>
      <c r="K21">
        <f t="shared" si="4"/>
        <v>36.3215</v>
      </c>
      <c r="L21">
        <v>11350</v>
      </c>
      <c r="M21">
        <f t="shared" si="5"/>
        <v>13733.5</v>
      </c>
      <c r="N21">
        <f t="shared" si="6"/>
        <v>123012.14192780922</v>
      </c>
      <c r="O21" t="s">
        <v>35</v>
      </c>
      <c r="P21" t="s">
        <v>78</v>
      </c>
      <c r="Q21">
        <v>226000</v>
      </c>
    </row>
    <row r="22" spans="1:17" x14ac:dyDescent="0.25">
      <c r="A22" t="s">
        <v>1242</v>
      </c>
      <c r="B22" t="s">
        <v>1243</v>
      </c>
      <c r="C22">
        <v>39088</v>
      </c>
      <c r="D22">
        <v>10</v>
      </c>
      <c r="E22">
        <v>14.15</v>
      </c>
      <c r="F22">
        <f t="shared" si="0"/>
        <v>17.121500000000001</v>
      </c>
      <c r="G22" t="s">
        <v>903</v>
      </c>
      <c r="H22">
        <f t="shared" si="1"/>
        <v>0</v>
      </c>
      <c r="I22">
        <f t="shared" si="2"/>
        <v>43431.111111111109</v>
      </c>
      <c r="J22">
        <f t="shared" si="3"/>
        <v>47668.292682926825</v>
      </c>
      <c r="K22">
        <f t="shared" si="4"/>
        <v>36.3215</v>
      </c>
      <c r="L22">
        <v>11350</v>
      </c>
      <c r="M22">
        <f t="shared" si="5"/>
        <v>13733.5</v>
      </c>
      <c r="N22">
        <f t="shared" si="6"/>
        <v>75116.85544964156</v>
      </c>
      <c r="O22" t="s">
        <v>35</v>
      </c>
      <c r="P22" t="s">
        <v>78</v>
      </c>
      <c r="Q22">
        <v>125000</v>
      </c>
    </row>
    <row r="23" spans="1:17" x14ac:dyDescent="0.25">
      <c r="A23" t="s">
        <v>98</v>
      </c>
      <c r="B23" t="s">
        <v>99</v>
      </c>
      <c r="C23">
        <v>40555</v>
      </c>
      <c r="D23">
        <v>10</v>
      </c>
      <c r="E23">
        <v>14.15</v>
      </c>
      <c r="F23">
        <f t="shared" si="0"/>
        <v>17.121500000000001</v>
      </c>
      <c r="G23" t="s">
        <v>903</v>
      </c>
      <c r="H23">
        <f t="shared" si="1"/>
        <v>0</v>
      </c>
      <c r="I23">
        <f t="shared" si="2"/>
        <v>45061.111111111109</v>
      </c>
      <c r="J23">
        <f t="shared" si="3"/>
        <v>49457.317073170729</v>
      </c>
      <c r="K23">
        <f t="shared" si="4"/>
        <v>36.3215</v>
      </c>
      <c r="L23">
        <v>11350</v>
      </c>
      <c r="M23">
        <f t="shared" si="5"/>
        <v>13733.5</v>
      </c>
      <c r="N23">
        <f t="shared" si="6"/>
        <v>77420.615745502786</v>
      </c>
      <c r="O23" t="s">
        <v>35</v>
      </c>
      <c r="P23" t="s">
        <v>78</v>
      </c>
      <c r="Q23">
        <v>0</v>
      </c>
    </row>
    <row r="24" spans="1:17" x14ac:dyDescent="0.25">
      <c r="A24" t="s">
        <v>325</v>
      </c>
      <c r="B24" t="s">
        <v>326</v>
      </c>
      <c r="C24">
        <v>45913</v>
      </c>
      <c r="D24">
        <v>5</v>
      </c>
      <c r="E24">
        <v>14.15</v>
      </c>
      <c r="F24">
        <f t="shared" si="0"/>
        <v>17.121500000000001</v>
      </c>
      <c r="G24" t="s">
        <v>903</v>
      </c>
      <c r="H24">
        <f t="shared" si="1"/>
        <v>0</v>
      </c>
      <c r="I24">
        <f t="shared" si="2"/>
        <v>48329.473684210527</v>
      </c>
      <c r="J24">
        <f t="shared" si="3"/>
        <v>52773.563218390802</v>
      </c>
      <c r="K24">
        <f t="shared" si="4"/>
        <v>31.3215</v>
      </c>
      <c r="L24">
        <v>11350</v>
      </c>
      <c r="M24">
        <f t="shared" si="5"/>
        <v>13733.5</v>
      </c>
      <c r="N24">
        <f t="shared" si="6"/>
        <v>80585.571609018836</v>
      </c>
      <c r="O24" t="s">
        <v>35</v>
      </c>
      <c r="P24" t="s">
        <v>78</v>
      </c>
    </row>
    <row r="25" spans="1:17" x14ac:dyDescent="0.25">
      <c r="A25" t="s">
        <v>1245</v>
      </c>
      <c r="B25" t="s">
        <v>1248</v>
      </c>
      <c r="C25">
        <v>55670</v>
      </c>
      <c r="D25">
        <v>10</v>
      </c>
      <c r="E25">
        <v>14.15</v>
      </c>
      <c r="F25">
        <f t="shared" si="0"/>
        <v>17.121500000000001</v>
      </c>
      <c r="G25" t="s">
        <v>903</v>
      </c>
      <c r="H25">
        <f t="shared" si="1"/>
        <v>0</v>
      </c>
      <c r="I25">
        <f t="shared" si="2"/>
        <v>61855.555555555555</v>
      </c>
      <c r="J25">
        <f t="shared" si="3"/>
        <v>67890.243902439019</v>
      </c>
      <c r="K25">
        <f t="shared" si="4"/>
        <v>36.3215</v>
      </c>
      <c r="L25">
        <v>11350</v>
      </c>
      <c r="M25">
        <f t="shared" si="5"/>
        <v>13733.5</v>
      </c>
      <c r="N25">
        <f t="shared" si="6"/>
        <v>101157.04169774728</v>
      </c>
      <c r="O25" t="s">
        <v>35</v>
      </c>
      <c r="P25" t="s">
        <v>78</v>
      </c>
    </row>
    <row r="26" spans="1:17" x14ac:dyDescent="0.25">
      <c r="A26" t="s">
        <v>1257</v>
      </c>
      <c r="B26" t="s">
        <v>1258</v>
      </c>
      <c r="C26">
        <v>51722</v>
      </c>
      <c r="D26">
        <v>10</v>
      </c>
      <c r="E26">
        <v>14.15</v>
      </c>
      <c r="F26">
        <f t="shared" si="0"/>
        <v>17.121500000000001</v>
      </c>
      <c r="G26" t="s">
        <v>903</v>
      </c>
      <c r="H26">
        <f t="shared" si="1"/>
        <v>0</v>
      </c>
      <c r="I26">
        <f t="shared" si="2"/>
        <v>57468.888888888891</v>
      </c>
      <c r="J26">
        <f t="shared" si="3"/>
        <v>63075.609756097554</v>
      </c>
      <c r="K26">
        <f t="shared" si="4"/>
        <v>36.3215</v>
      </c>
      <c r="L26">
        <v>11350</v>
      </c>
      <c r="M26">
        <f t="shared" si="5"/>
        <v>13733.5</v>
      </c>
      <c r="N26">
        <f t="shared" si="6"/>
        <v>94957.146913793506</v>
      </c>
      <c r="O26" t="s">
        <v>35</v>
      </c>
      <c r="P26" t="s">
        <v>78</v>
      </c>
    </row>
    <row r="27" spans="1:17" x14ac:dyDescent="0.25">
      <c r="A27" t="s">
        <v>1055</v>
      </c>
      <c r="B27" t="s">
        <v>1247</v>
      </c>
      <c r="C27">
        <v>35577</v>
      </c>
      <c r="D27">
        <v>10</v>
      </c>
      <c r="E27">
        <v>14.15</v>
      </c>
      <c r="F27">
        <f t="shared" si="0"/>
        <v>17.121500000000001</v>
      </c>
      <c r="G27" t="s">
        <v>903</v>
      </c>
      <c r="H27">
        <f t="shared" si="1"/>
        <v>0</v>
      </c>
      <c r="I27">
        <f t="shared" si="2"/>
        <v>39530</v>
      </c>
      <c r="J27">
        <f t="shared" si="3"/>
        <v>43386.585365853658</v>
      </c>
      <c r="K27">
        <f t="shared" si="4"/>
        <v>36.3215</v>
      </c>
      <c r="L27">
        <v>11350</v>
      </c>
      <c r="M27">
        <f t="shared" si="5"/>
        <v>13733.5</v>
      </c>
      <c r="N27">
        <f t="shared" si="6"/>
        <v>69603.220549321981</v>
      </c>
      <c r="O27" t="s">
        <v>35</v>
      </c>
      <c r="P27" t="s">
        <v>78</v>
      </c>
    </row>
    <row r="28" spans="1:17" x14ac:dyDescent="0.25">
      <c r="A28" t="s">
        <v>1249</v>
      </c>
      <c r="B28" t="s">
        <v>1250</v>
      </c>
      <c r="C28">
        <v>36844</v>
      </c>
      <c r="D28">
        <v>3</v>
      </c>
      <c r="E28">
        <v>14.15</v>
      </c>
      <c r="F28">
        <f t="shared" si="0"/>
        <v>17.121500000000001</v>
      </c>
      <c r="G28" t="s">
        <v>903</v>
      </c>
      <c r="H28">
        <f t="shared" si="1"/>
        <v>0</v>
      </c>
      <c r="I28">
        <f t="shared" si="2"/>
        <v>37983.505154639177</v>
      </c>
      <c r="J28">
        <f t="shared" si="3"/>
        <v>41397.752808988764</v>
      </c>
      <c r="K28">
        <f t="shared" si="4"/>
        <v>29.3215</v>
      </c>
      <c r="L28">
        <v>11350</v>
      </c>
      <c r="M28">
        <f t="shared" si="5"/>
        <v>13733.5</v>
      </c>
      <c r="N28">
        <f t="shared" si="6"/>
        <v>65862.506699349877</v>
      </c>
      <c r="O28" t="s">
        <v>35</v>
      </c>
      <c r="P28" t="s">
        <v>78</v>
      </c>
    </row>
    <row r="29" spans="1:17" x14ac:dyDescent="0.25">
      <c r="A29" t="s">
        <v>1259</v>
      </c>
      <c r="B29" t="s">
        <v>1260</v>
      </c>
      <c r="C29">
        <v>48756</v>
      </c>
      <c r="D29">
        <v>8</v>
      </c>
      <c r="E29">
        <v>14.15</v>
      </c>
      <c r="F29">
        <f t="shared" si="0"/>
        <v>17.121500000000001</v>
      </c>
      <c r="G29" t="s">
        <v>903</v>
      </c>
      <c r="H29">
        <f t="shared" si="1"/>
        <v>0</v>
      </c>
      <c r="I29">
        <f t="shared" si="2"/>
        <v>52995.65217391304</v>
      </c>
      <c r="J29">
        <f t="shared" si="3"/>
        <v>58042.857142857138</v>
      </c>
      <c r="K29">
        <f t="shared" si="4"/>
        <v>34.3215</v>
      </c>
      <c r="L29">
        <v>11350</v>
      </c>
      <c r="M29">
        <f t="shared" si="5"/>
        <v>13733.5</v>
      </c>
      <c r="N29">
        <f t="shared" si="6"/>
        <v>87967.838482151696</v>
      </c>
      <c r="O29" t="s">
        <v>35</v>
      </c>
      <c r="P29" t="s">
        <v>78</v>
      </c>
    </row>
    <row r="30" spans="1:17" x14ac:dyDescent="0.25">
      <c r="A30" t="s">
        <v>1253</v>
      </c>
      <c r="B30" t="s">
        <v>1254</v>
      </c>
      <c r="C30">
        <v>48756</v>
      </c>
      <c r="D30">
        <v>10</v>
      </c>
      <c r="E30">
        <v>14.15</v>
      </c>
      <c r="F30">
        <f t="shared" si="0"/>
        <v>17.121500000000001</v>
      </c>
      <c r="G30" t="s">
        <v>903</v>
      </c>
      <c r="H30">
        <f t="shared" si="1"/>
        <v>0</v>
      </c>
      <c r="I30">
        <f t="shared" si="2"/>
        <v>54173.333333333328</v>
      </c>
      <c r="J30">
        <f t="shared" si="3"/>
        <v>59458.536585365851</v>
      </c>
      <c r="K30">
        <f t="shared" si="4"/>
        <v>36.3215</v>
      </c>
      <c r="L30">
        <v>11350</v>
      </c>
      <c r="M30">
        <f t="shared" si="5"/>
        <v>13733.5</v>
      </c>
      <c r="N30">
        <f t="shared" si="6"/>
        <v>90299.373882079497</v>
      </c>
      <c r="O30" t="s">
        <v>35</v>
      </c>
      <c r="P30" t="s">
        <v>78</v>
      </c>
    </row>
    <row r="31" spans="1:17" x14ac:dyDescent="0.25">
      <c r="A31" t="s">
        <v>1251</v>
      </c>
      <c r="B31" t="s">
        <v>1252</v>
      </c>
      <c r="C31">
        <v>53245</v>
      </c>
      <c r="D31">
        <v>10</v>
      </c>
      <c r="E31">
        <v>14.15</v>
      </c>
      <c r="F31">
        <f t="shared" si="0"/>
        <v>17.121500000000001</v>
      </c>
      <c r="G31" t="s">
        <v>903</v>
      </c>
      <c r="H31">
        <f t="shared" si="1"/>
        <v>0</v>
      </c>
      <c r="I31">
        <f t="shared" si="2"/>
        <v>59161.111111111109</v>
      </c>
      <c r="J31">
        <f t="shared" si="3"/>
        <v>64932.92682926829</v>
      </c>
      <c r="K31">
        <f t="shared" si="4"/>
        <v>36.3215</v>
      </c>
      <c r="L31">
        <v>11350</v>
      </c>
      <c r="M31">
        <f t="shared" si="5"/>
        <v>13733.5</v>
      </c>
      <c r="N31">
        <f t="shared" si="6"/>
        <v>97348.848979639908</v>
      </c>
      <c r="O31" t="s">
        <v>35</v>
      </c>
      <c r="P31" t="s">
        <v>78</v>
      </c>
    </row>
    <row r="32" spans="1:17" x14ac:dyDescent="0.25">
      <c r="A32" t="s">
        <v>1255</v>
      </c>
      <c r="B32" t="s">
        <v>1256</v>
      </c>
      <c r="C32">
        <v>64170</v>
      </c>
      <c r="D32">
        <v>10</v>
      </c>
      <c r="E32">
        <v>14.15</v>
      </c>
      <c r="F32">
        <f t="shared" si="0"/>
        <v>17.121500000000001</v>
      </c>
      <c r="G32" t="s">
        <v>903</v>
      </c>
      <c r="H32">
        <f t="shared" si="1"/>
        <v>0</v>
      </c>
      <c r="I32">
        <f t="shared" si="2"/>
        <v>71300</v>
      </c>
      <c r="J32">
        <f t="shared" si="3"/>
        <v>78256.097560975599</v>
      </c>
      <c r="K32">
        <f t="shared" si="4"/>
        <v>36.3215</v>
      </c>
      <c r="L32">
        <v>11350</v>
      </c>
      <c r="M32">
        <f t="shared" si="5"/>
        <v>13733.5</v>
      </c>
      <c r="N32">
        <f t="shared" si="6"/>
        <v>114505.34607049475</v>
      </c>
      <c r="O32" t="s">
        <v>35</v>
      </c>
      <c r="P32" t="s">
        <v>78</v>
      </c>
    </row>
    <row r="33" spans="2:15" x14ac:dyDescent="0.25">
      <c r="B33" t="s">
        <v>1465</v>
      </c>
      <c r="C33">
        <v>142000</v>
      </c>
      <c r="D33">
        <v>3</v>
      </c>
      <c r="E33">
        <v>14.15</v>
      </c>
      <c r="F33">
        <f t="shared" ref="F33:F40" si="7">E33*1.21</f>
        <v>17.121500000000001</v>
      </c>
      <c r="G33" t="s">
        <v>903</v>
      </c>
      <c r="H33">
        <f t="shared" ref="H33:H40" si="8">(IF(G33=$G$3,$H$3)+IF(G33=$G$4,$H$4)+IF(G33=$G$5,$H$5)+IF(G33=$G$6,$H$6)+IF(G33=$G$7,$H$7)+IF(G33=$G$8,$H$8)+IF(G33=$G$9,$H$9)+IF(G33=$G$10,$H$10)+IF(G33=$G$11,$H$11))</f>
        <v>0</v>
      </c>
      <c r="I33">
        <f t="shared" ref="I33:I40" si="9">(C33/(($J$3-D33)/100))</f>
        <v>146391.7525773196</v>
      </c>
      <c r="J33">
        <f t="shared" ref="J33:J40" si="10">(C33/(($J$3-D33)/100-(0.08)))</f>
        <v>159550.5617977528</v>
      </c>
      <c r="K33">
        <f t="shared" ref="K33:K40" si="11">(D33+8+1.2)+(F33+H33)</f>
        <v>29.3215</v>
      </c>
      <c r="L33">
        <v>11351</v>
      </c>
      <c r="M33">
        <f t="shared" ref="M33:M40" si="12">L33*1.21</f>
        <v>13734.71</v>
      </c>
      <c r="N33">
        <f t="shared" ref="N33:N40" si="13">C33/((100-K33)/100)+M33</f>
        <v>214644.4633196092</v>
      </c>
      <c r="O33" t="s">
        <v>35</v>
      </c>
    </row>
    <row r="34" spans="2:15" x14ac:dyDescent="0.25">
      <c r="B34" t="s">
        <v>1466</v>
      </c>
      <c r="C34">
        <v>166000</v>
      </c>
      <c r="D34">
        <v>3</v>
      </c>
      <c r="E34">
        <v>14.15</v>
      </c>
      <c r="F34">
        <f t="shared" si="7"/>
        <v>17.121500000000001</v>
      </c>
      <c r="G34" t="s">
        <v>903</v>
      </c>
      <c r="H34">
        <f t="shared" si="8"/>
        <v>0</v>
      </c>
      <c r="I34">
        <f t="shared" si="9"/>
        <v>171134.02061855671</v>
      </c>
      <c r="J34">
        <f t="shared" si="10"/>
        <v>186516.85393258426</v>
      </c>
      <c r="K34">
        <f t="shared" si="11"/>
        <v>29.3215</v>
      </c>
      <c r="L34">
        <v>11352</v>
      </c>
      <c r="M34">
        <f t="shared" si="12"/>
        <v>13735.92</v>
      </c>
      <c r="N34">
        <f t="shared" si="13"/>
        <v>248602.25134545867</v>
      </c>
      <c r="O34" t="s">
        <v>35</v>
      </c>
    </row>
    <row r="35" spans="2:15" x14ac:dyDescent="0.25">
      <c r="B35" t="s">
        <v>1467</v>
      </c>
      <c r="C35">
        <v>233000</v>
      </c>
      <c r="D35">
        <v>3</v>
      </c>
      <c r="E35">
        <v>14.15</v>
      </c>
      <c r="F35">
        <f t="shared" si="7"/>
        <v>17.121500000000001</v>
      </c>
      <c r="G35" t="s">
        <v>903</v>
      </c>
      <c r="H35">
        <f t="shared" si="8"/>
        <v>0</v>
      </c>
      <c r="I35">
        <f t="shared" si="9"/>
        <v>240206.18556701031</v>
      </c>
      <c r="J35">
        <f t="shared" si="10"/>
        <v>261797.75280898876</v>
      </c>
      <c r="K35">
        <f t="shared" si="11"/>
        <v>29.3215</v>
      </c>
      <c r="L35">
        <v>11353</v>
      </c>
      <c r="M35">
        <v>22500</v>
      </c>
      <c r="N35">
        <f t="shared" si="13"/>
        <v>352161.77833428839</v>
      </c>
      <c r="O35" t="s">
        <v>35</v>
      </c>
    </row>
    <row r="36" spans="2:15" x14ac:dyDescent="0.25">
      <c r="D36">
        <v>3</v>
      </c>
      <c r="E36">
        <v>14.15</v>
      </c>
      <c r="F36">
        <f t="shared" si="7"/>
        <v>17.121500000000001</v>
      </c>
      <c r="G36" t="s">
        <v>903</v>
      </c>
      <c r="H36">
        <f t="shared" si="8"/>
        <v>0</v>
      </c>
      <c r="I36">
        <f t="shared" si="9"/>
        <v>0</v>
      </c>
      <c r="J36">
        <f t="shared" si="10"/>
        <v>0</v>
      </c>
      <c r="K36">
        <f t="shared" si="11"/>
        <v>29.3215</v>
      </c>
      <c r="L36">
        <v>11354</v>
      </c>
      <c r="M36">
        <f t="shared" si="12"/>
        <v>13738.34</v>
      </c>
      <c r="N36">
        <f t="shared" si="13"/>
        <v>13738.34</v>
      </c>
      <c r="O36" t="s">
        <v>35</v>
      </c>
    </row>
    <row r="37" spans="2:15" x14ac:dyDescent="0.25">
      <c r="D37">
        <v>3</v>
      </c>
      <c r="E37">
        <v>14.15</v>
      </c>
      <c r="F37">
        <f t="shared" si="7"/>
        <v>17.121500000000001</v>
      </c>
      <c r="G37" t="s">
        <v>903</v>
      </c>
      <c r="H37">
        <f t="shared" si="8"/>
        <v>0</v>
      </c>
      <c r="I37">
        <f t="shared" si="9"/>
        <v>0</v>
      </c>
      <c r="J37">
        <f t="shared" si="10"/>
        <v>0</v>
      </c>
      <c r="K37">
        <f t="shared" si="11"/>
        <v>29.3215</v>
      </c>
      <c r="L37">
        <v>11355</v>
      </c>
      <c r="M37">
        <f t="shared" si="12"/>
        <v>13739.55</v>
      </c>
      <c r="N37">
        <f t="shared" si="13"/>
        <v>13739.55</v>
      </c>
      <c r="O37" t="s">
        <v>35</v>
      </c>
    </row>
    <row r="38" spans="2:15" x14ac:dyDescent="0.25">
      <c r="D38">
        <v>3</v>
      </c>
      <c r="E38">
        <v>14.15</v>
      </c>
      <c r="F38">
        <f t="shared" si="7"/>
        <v>17.121500000000001</v>
      </c>
      <c r="G38" t="s">
        <v>903</v>
      </c>
      <c r="H38">
        <f t="shared" si="8"/>
        <v>0</v>
      </c>
      <c r="I38">
        <f t="shared" si="9"/>
        <v>0</v>
      </c>
      <c r="J38">
        <f t="shared" si="10"/>
        <v>0</v>
      </c>
      <c r="K38">
        <f t="shared" si="11"/>
        <v>29.3215</v>
      </c>
      <c r="L38">
        <v>11356</v>
      </c>
      <c r="M38">
        <f t="shared" si="12"/>
        <v>13740.76</v>
      </c>
      <c r="N38">
        <f t="shared" si="13"/>
        <v>13740.76</v>
      </c>
      <c r="O38" t="s">
        <v>35</v>
      </c>
    </row>
    <row r="39" spans="2:15" x14ac:dyDescent="0.25">
      <c r="D39">
        <v>3</v>
      </c>
      <c r="E39">
        <v>14.15</v>
      </c>
      <c r="F39">
        <f t="shared" si="7"/>
        <v>17.121500000000001</v>
      </c>
      <c r="G39" t="s">
        <v>903</v>
      </c>
      <c r="H39">
        <f t="shared" si="8"/>
        <v>0</v>
      </c>
      <c r="I39">
        <f t="shared" si="9"/>
        <v>0</v>
      </c>
      <c r="J39">
        <f t="shared" si="10"/>
        <v>0</v>
      </c>
      <c r="K39">
        <f t="shared" si="11"/>
        <v>29.3215</v>
      </c>
      <c r="L39">
        <v>11357</v>
      </c>
      <c r="M39">
        <f t="shared" si="12"/>
        <v>13741.97</v>
      </c>
      <c r="N39">
        <f t="shared" si="13"/>
        <v>13741.97</v>
      </c>
      <c r="O39" t="s">
        <v>35</v>
      </c>
    </row>
    <row r="40" spans="2:15" x14ac:dyDescent="0.25">
      <c r="D40">
        <v>3</v>
      </c>
      <c r="E40">
        <v>14.15</v>
      </c>
      <c r="F40">
        <f t="shared" si="7"/>
        <v>17.121500000000001</v>
      </c>
      <c r="G40" t="s">
        <v>903</v>
      </c>
      <c r="H40">
        <f t="shared" si="8"/>
        <v>0</v>
      </c>
      <c r="I40">
        <f t="shared" si="9"/>
        <v>0</v>
      </c>
      <c r="J40">
        <f t="shared" si="10"/>
        <v>0</v>
      </c>
      <c r="K40">
        <f t="shared" si="11"/>
        <v>29.3215</v>
      </c>
      <c r="L40">
        <v>11358</v>
      </c>
      <c r="M40">
        <f t="shared" si="12"/>
        <v>13743.18</v>
      </c>
      <c r="N40">
        <f t="shared" si="13"/>
        <v>13743.18</v>
      </c>
      <c r="O40" t="s">
        <v>35</v>
      </c>
    </row>
  </sheetData>
  <dataValidations count="2">
    <dataValidation type="list" allowBlank="1" showInputMessage="1" showErrorMessage="1" sqref="G14:G40">
      <formula1>$G$3:$G$11</formula1>
    </dataValidation>
    <dataValidation type="list" allowBlank="1" showInputMessage="1" showErrorMessage="1" sqref="B5:B11">
      <formula1>#REF!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5:P115"/>
  <sheetViews>
    <sheetView workbookViewId="0">
      <selection activeCell="J87" sqref="J87"/>
    </sheetView>
  </sheetViews>
  <sheetFormatPr baseColWidth="10" defaultRowHeight="15" x14ac:dyDescent="0.25"/>
  <cols>
    <col min="2" max="2" width="80.42578125" bestFit="1" customWidth="1"/>
  </cols>
  <sheetData>
    <row r="5" spans="1:16" x14ac:dyDescent="0.25">
      <c r="A5" t="s">
        <v>892</v>
      </c>
      <c r="B5" t="s">
        <v>893</v>
      </c>
      <c r="C5">
        <v>45.17</v>
      </c>
      <c r="D5">
        <v>3</v>
      </c>
      <c r="E5">
        <v>16</v>
      </c>
      <c r="F5">
        <f t="shared" ref="F5:F30" si="0">E5*1.21</f>
        <v>19.36</v>
      </c>
      <c r="G5" t="s">
        <v>903</v>
      </c>
      <c r="H5">
        <f>(IF(G5='base para costos'!$G$3,'base para costos'!$H$3)+IF(G5='base para costos'!$G$4,'base para costos'!$H$4)+IF(G5='base para costos'!$G$5,'base para costos'!$H$5)+IF(G5='base para costos'!$G$6,'base para costos'!$H$6)+IF(G5='base para costos'!$G$7,'base para costos'!$H$7)+IF(G5='base para costos'!$G$8,'base para costos'!$H$8)+IF(G5='base para costos'!$G$9,'base para costos'!$H$9)+IF(G5='base para costos'!$G$10,'base para costos'!$H$10)+IF(G5='base para costos'!$G$11,'base para costos'!$H$11))</f>
        <v>0</v>
      </c>
      <c r="I5">
        <f>(C5/(('base para costos'!$J$3-D5)/100))</f>
        <v>46.567010309278352</v>
      </c>
      <c r="J5">
        <f>(C5/(('base para costos'!$J$3-D5)/100-(0.08)))</f>
        <v>50.752808988764045</v>
      </c>
      <c r="K5">
        <f t="shared" ref="K5:K30" si="1">(D5+8+1.2)+(F5+H5)</f>
        <v>31.56</v>
      </c>
      <c r="M5">
        <f t="shared" ref="M5:M30" si="2">L5*1.21</f>
        <v>0</v>
      </c>
      <c r="N5">
        <f t="shared" ref="N5:N30" si="3">C5/((100-K5)/100)+M5</f>
        <v>65.999415546464064</v>
      </c>
      <c r="O5" t="s">
        <v>299</v>
      </c>
      <c r="P5" t="s">
        <v>482</v>
      </c>
    </row>
    <row r="6" spans="1:16" x14ac:dyDescent="0.25">
      <c r="A6" t="s">
        <v>896</v>
      </c>
      <c r="B6" t="s">
        <v>897</v>
      </c>
      <c r="C6">
        <v>30.91</v>
      </c>
      <c r="D6">
        <v>3</v>
      </c>
      <c r="E6">
        <v>16</v>
      </c>
      <c r="F6">
        <f t="shared" si="0"/>
        <v>19.36</v>
      </c>
      <c r="G6" t="s">
        <v>903</v>
      </c>
      <c r="H6">
        <f>(IF(G6='base para costos'!$G$3,'base para costos'!$H$3)+IF(G6='base para costos'!$G$4,'base para costos'!$H$4)+IF(G6='base para costos'!$G$5,'base para costos'!$H$5)+IF(G6='base para costos'!$G$6,'base para costos'!$H$6)+IF(G6='base para costos'!$G$7,'base para costos'!$H$7)+IF(G6='base para costos'!$G$8,'base para costos'!$H$8)+IF(G6='base para costos'!$G$9,'base para costos'!$H$9)+IF(G6='base para costos'!$G$10,'base para costos'!$H$10)+IF(G6='base para costos'!$G$11,'base para costos'!$H$11))</f>
        <v>0</v>
      </c>
      <c r="I6">
        <f>(C6/(('base para costos'!$J$3-D6)/100))</f>
        <v>31.865979381443299</v>
      </c>
      <c r="J6">
        <f>(C6/(('base para costos'!$J$3-D6)/100-(0.08)))</f>
        <v>34.730337078651687</v>
      </c>
      <c r="K6">
        <f t="shared" si="1"/>
        <v>31.56</v>
      </c>
      <c r="M6">
        <f t="shared" si="2"/>
        <v>0</v>
      </c>
      <c r="N6">
        <f t="shared" si="3"/>
        <v>45.163646990064287</v>
      </c>
      <c r="O6" t="s">
        <v>299</v>
      </c>
      <c r="P6" t="s">
        <v>482</v>
      </c>
    </row>
    <row r="7" spans="1:16" x14ac:dyDescent="0.25">
      <c r="A7" t="s">
        <v>898</v>
      </c>
      <c r="B7" t="s">
        <v>899</v>
      </c>
      <c r="C7">
        <v>23.77</v>
      </c>
      <c r="D7">
        <v>3</v>
      </c>
      <c r="E7">
        <v>16</v>
      </c>
      <c r="F7">
        <f t="shared" si="0"/>
        <v>19.36</v>
      </c>
      <c r="G7" t="s">
        <v>903</v>
      </c>
      <c r="H7">
        <f>(IF(G7='base para costos'!$G$3,'base para costos'!$H$3)+IF(G7='base para costos'!$G$4,'base para costos'!$H$4)+IF(G7='base para costos'!$G$5,'base para costos'!$H$5)+IF(G7='base para costos'!$G$6,'base para costos'!$H$6)+IF(G7='base para costos'!$G$7,'base para costos'!$H$7)+IF(G7='base para costos'!$G$8,'base para costos'!$H$8)+IF(G7='base para costos'!$G$9,'base para costos'!$H$9)+IF(G7='base para costos'!$G$10,'base para costos'!$H$10)+IF(G7='base para costos'!$G$11,'base para costos'!$H$11))</f>
        <v>0</v>
      </c>
      <c r="I7">
        <f>(C7/(('base para costos'!$J$3-D7)/100))</f>
        <v>24.505154639175259</v>
      </c>
      <c r="J7">
        <f>(C7/(('base para costos'!$J$3-D7)/100-(0.08)))</f>
        <v>26.707865168539325</v>
      </c>
      <c r="K7">
        <f t="shared" si="1"/>
        <v>31.56</v>
      </c>
      <c r="M7">
        <f t="shared" si="2"/>
        <v>0</v>
      </c>
      <c r="N7">
        <f t="shared" si="3"/>
        <v>34.731151373465806</v>
      </c>
      <c r="O7" t="s">
        <v>299</v>
      </c>
      <c r="P7" t="s">
        <v>482</v>
      </c>
    </row>
    <row r="8" spans="1:16" x14ac:dyDescent="0.25">
      <c r="A8" t="s">
        <v>900</v>
      </c>
      <c r="B8" t="s">
        <v>901</v>
      </c>
      <c r="C8">
        <v>45.17</v>
      </c>
      <c r="D8">
        <v>3</v>
      </c>
      <c r="E8">
        <v>16</v>
      </c>
      <c r="F8">
        <f t="shared" si="0"/>
        <v>19.36</v>
      </c>
      <c r="G8" t="s">
        <v>903</v>
      </c>
      <c r="H8">
        <f>(IF(G8='base para costos'!$G$3,'base para costos'!$H$3)+IF(G8='base para costos'!$G$4,'base para costos'!$H$4)+IF(G8='base para costos'!$G$5,'base para costos'!$H$5)+IF(G8='base para costos'!$G$6,'base para costos'!$H$6)+IF(G8='base para costos'!$G$7,'base para costos'!$H$7)+IF(G8='base para costos'!$G$8,'base para costos'!$H$8)+IF(G8='base para costos'!$G$9,'base para costos'!$H$9)+IF(G8='base para costos'!$G$10,'base para costos'!$H$10)+IF(G8='base para costos'!$G$11,'base para costos'!$H$11))</f>
        <v>0</v>
      </c>
      <c r="I8">
        <f>(C8/(('base para costos'!$J$3-D8)/100))</f>
        <v>46.567010309278352</v>
      </c>
      <c r="J8">
        <f>(C8/(('base para costos'!$J$3-D8)/100-(0.08)))</f>
        <v>50.752808988764045</v>
      </c>
      <c r="K8">
        <f t="shared" si="1"/>
        <v>31.56</v>
      </c>
      <c r="M8">
        <f t="shared" si="2"/>
        <v>0</v>
      </c>
      <c r="N8">
        <f t="shared" si="3"/>
        <v>65.999415546464064</v>
      </c>
      <c r="O8" t="s">
        <v>299</v>
      </c>
      <c r="P8" t="s">
        <v>482</v>
      </c>
    </row>
    <row r="9" spans="1:16" x14ac:dyDescent="0.25">
      <c r="A9" t="s">
        <v>1065</v>
      </c>
      <c r="B9" t="s">
        <v>1066</v>
      </c>
      <c r="C9">
        <v>750000</v>
      </c>
      <c r="D9">
        <v>10</v>
      </c>
      <c r="E9">
        <v>13.5</v>
      </c>
      <c r="F9">
        <f t="shared" si="0"/>
        <v>16.335000000000001</v>
      </c>
      <c r="G9" t="s">
        <v>903</v>
      </c>
      <c r="H9">
        <f>(IF(G9='base para costos'!$G$3,'base para costos'!$H$3)+IF(G9='base para costos'!$G$4,'base para costos'!$H$4)+IF(G9='base para costos'!$G$5,'base para costos'!$H$5)+IF(G9='base para costos'!$G$6,'base para costos'!$H$6)+IF(G9='base para costos'!$G$7,'base para costos'!$H$7)+IF(G9='base para costos'!$G$8,'base para costos'!$H$8)+IF(G9='base para costos'!$G$9,'base para costos'!$H$9)+IF(G9='base para costos'!$G$10,'base para costos'!$H$10)+IF(G9='base para costos'!$G$11,'base para costos'!$H$11))</f>
        <v>0</v>
      </c>
      <c r="I9">
        <f>(C9/(('base para costos'!$J$3-D9)/100))</f>
        <v>833333.33333333326</v>
      </c>
      <c r="J9">
        <f>(C9/(('base para costos'!$J$3-D9)/100-(0.08)))</f>
        <v>914634.14634146332</v>
      </c>
      <c r="K9">
        <f t="shared" si="1"/>
        <v>35.534999999999997</v>
      </c>
      <c r="M9">
        <f t="shared" si="2"/>
        <v>0</v>
      </c>
      <c r="N9">
        <f t="shared" si="3"/>
        <v>1163422.0119444658</v>
      </c>
      <c r="O9" t="s">
        <v>1094</v>
      </c>
      <c r="P9" t="s">
        <v>1096</v>
      </c>
    </row>
    <row r="10" spans="1:16" x14ac:dyDescent="0.25">
      <c r="A10" t="s">
        <v>1063</v>
      </c>
      <c r="B10" t="s">
        <v>1064</v>
      </c>
      <c r="C10">
        <v>300000</v>
      </c>
      <c r="D10">
        <v>3</v>
      </c>
      <c r="E10">
        <v>13.5</v>
      </c>
      <c r="F10">
        <f t="shared" si="0"/>
        <v>16.335000000000001</v>
      </c>
      <c r="G10" t="s">
        <v>903</v>
      </c>
      <c r="H10">
        <f>(IF(G10='base para costos'!$G$3,'base para costos'!$H$3)+IF(G10='base para costos'!$G$4,'base para costos'!$H$4)+IF(G10='base para costos'!$G$5,'base para costos'!$H$5)+IF(G10='base para costos'!$G$6,'base para costos'!$H$6)+IF(G10='base para costos'!$G$7,'base para costos'!$H$7)+IF(G10='base para costos'!$G$8,'base para costos'!$H$8)+IF(G10='base para costos'!$G$9,'base para costos'!$H$9)+IF(G10='base para costos'!$G$10,'base para costos'!$H$10)+IF(G10='base para costos'!$G$11,'base para costos'!$H$11))</f>
        <v>0</v>
      </c>
      <c r="I10">
        <f>(C10/(('base para costos'!$J$3-D10)/100))</f>
        <v>309278.35051546391</v>
      </c>
      <c r="J10">
        <f>(C10/(('base para costos'!$J$3-D10)/100-(0.08)))</f>
        <v>337078.65168539324</v>
      </c>
      <c r="K10">
        <f t="shared" si="1"/>
        <v>28.535</v>
      </c>
      <c r="M10">
        <f t="shared" si="2"/>
        <v>0</v>
      </c>
      <c r="N10">
        <f t="shared" si="3"/>
        <v>419785.90918631497</v>
      </c>
      <c r="O10" t="s">
        <v>1094</v>
      </c>
      <c r="P10" t="s">
        <v>1096</v>
      </c>
    </row>
    <row r="11" spans="1:16" x14ac:dyDescent="0.25">
      <c r="A11" t="s">
        <v>960</v>
      </c>
      <c r="B11" t="s">
        <v>961</v>
      </c>
      <c r="C11">
        <v>149213</v>
      </c>
      <c r="D11">
        <v>3</v>
      </c>
      <c r="E11">
        <v>12.15</v>
      </c>
      <c r="F11">
        <f t="shared" si="0"/>
        <v>14.701499999999999</v>
      </c>
      <c r="G11" t="s">
        <v>903</v>
      </c>
      <c r="H11">
        <f>(IF(G11='base para costos'!$G$3,'base para costos'!$H$3)+IF(G11='base para costos'!$G$4,'base para costos'!$H$4)+IF(G11='base para costos'!$G$5,'base para costos'!$H$5)+IF(G11='base para costos'!$G$6,'base para costos'!$H$6)+IF(G11='base para costos'!$G$7,'base para costos'!$H$7)+IF(G11='base para costos'!$G$8,'base para costos'!$H$8)+IF(G11='base para costos'!$G$9,'base para costos'!$H$9)+IF(G11='base para costos'!$G$10,'base para costos'!$H$10)+IF(G11='base para costos'!$G$11,'base para costos'!$H$11))</f>
        <v>0</v>
      </c>
      <c r="I11">
        <f>(C11/(('base para costos'!$J$3-D11)/100))</f>
        <v>153827.8350515464</v>
      </c>
      <c r="J11">
        <f>(C11/(('base para costos'!$J$3-D11)/100-(0.08)))</f>
        <v>167655.05617977527</v>
      </c>
      <c r="K11">
        <f t="shared" si="1"/>
        <v>26.901499999999999</v>
      </c>
      <c r="L11">
        <v>3600</v>
      </c>
      <c r="M11">
        <f t="shared" si="2"/>
        <v>4356</v>
      </c>
      <c r="N11">
        <f t="shared" si="3"/>
        <v>208481.9396567645</v>
      </c>
      <c r="O11" t="s">
        <v>979</v>
      </c>
      <c r="P11" t="s">
        <v>472</v>
      </c>
    </row>
    <row r="12" spans="1:16" x14ac:dyDescent="0.25">
      <c r="A12" t="s">
        <v>1053</v>
      </c>
      <c r="B12" t="s">
        <v>1054</v>
      </c>
      <c r="C12">
        <v>470000</v>
      </c>
      <c r="D12">
        <v>3</v>
      </c>
      <c r="E12">
        <v>14.15</v>
      </c>
      <c r="F12">
        <f t="shared" si="0"/>
        <v>17.121500000000001</v>
      </c>
      <c r="G12" t="s">
        <v>903</v>
      </c>
      <c r="H12">
        <f>(IF(G12='base para costos'!$G$3,'base para costos'!$H$3)+IF(G12='base para costos'!$G$4,'base para costos'!$H$4)+IF(G12='base para costos'!$G$5,'base para costos'!$H$5)+IF(G12='base para costos'!$G$6,'base para costos'!$H$6)+IF(G12='base para costos'!$G$7,'base para costos'!$H$7)+IF(G12='base para costos'!$G$8,'base para costos'!$H$8)+IF(G12='base para costos'!$G$9,'base para costos'!$H$9)+IF(G12='base para costos'!$G$10,'base para costos'!$H$10)+IF(G12='base para costos'!$G$11,'base para costos'!$H$11))</f>
        <v>0</v>
      </c>
      <c r="I12">
        <f>(C12/(('base para costos'!$J$3-D12)/100))</f>
        <v>484536.08247422683</v>
      </c>
      <c r="J12">
        <f>(C12/(('base para costos'!$J$3-D12)/100-(0.08)))</f>
        <v>528089.88764044945</v>
      </c>
      <c r="K12">
        <f t="shared" si="1"/>
        <v>29.3215</v>
      </c>
      <c r="M12">
        <f t="shared" si="2"/>
        <v>0</v>
      </c>
      <c r="N12">
        <f t="shared" si="3"/>
        <v>664982.98633955163</v>
      </c>
      <c r="O12" t="s">
        <v>1094</v>
      </c>
      <c r="P12" t="s">
        <v>1095</v>
      </c>
    </row>
    <row r="13" spans="1:16" x14ac:dyDescent="0.25">
      <c r="A13" t="s">
        <v>1129</v>
      </c>
      <c r="B13" t="s">
        <v>1130</v>
      </c>
      <c r="C13">
        <v>219990</v>
      </c>
      <c r="D13">
        <v>5</v>
      </c>
      <c r="E13">
        <v>14</v>
      </c>
      <c r="F13">
        <f t="shared" si="0"/>
        <v>16.939999999999998</v>
      </c>
      <c r="G13" t="s">
        <v>903</v>
      </c>
      <c r="H13">
        <f>(IF(G13='base para costos'!$G$3,'base para costos'!$H$3)+IF(G13='base para costos'!$G$4,'base para costos'!$H$4)+IF(G13='base para costos'!$G$5,'base para costos'!$H$5)+IF(G13='base para costos'!$G$6,'base para costos'!$H$6)+IF(G13='base para costos'!$G$7,'base para costos'!$H$7)+IF(G13='base para costos'!$G$8,'base para costos'!$H$8)+IF(G13='base para costos'!$G$9,'base para costos'!$H$9)+IF(G13='base para costos'!$G$10,'base para costos'!$H$10)+IF(G13='base para costos'!$G$11,'base para costos'!$H$11))</f>
        <v>0</v>
      </c>
      <c r="I13">
        <f>(C13/(('base para costos'!$J$3-D13)/100))</f>
        <v>231568.4210526316</v>
      </c>
      <c r="J13">
        <f>(C13/(('base para costos'!$J$3-D13)/100-(0.08)))</f>
        <v>252862.06896551725</v>
      </c>
      <c r="K13">
        <f t="shared" si="1"/>
        <v>31.139999999999997</v>
      </c>
      <c r="M13">
        <f t="shared" si="2"/>
        <v>0</v>
      </c>
      <c r="N13">
        <f t="shared" si="3"/>
        <v>319474.29567237874</v>
      </c>
      <c r="O13" t="s">
        <v>15</v>
      </c>
      <c r="P13" t="s">
        <v>1135</v>
      </c>
    </row>
    <row r="14" spans="1:16" x14ac:dyDescent="0.25">
      <c r="A14" t="s">
        <v>210</v>
      </c>
      <c r="B14" t="s">
        <v>211</v>
      </c>
      <c r="C14">
        <v>289250</v>
      </c>
      <c r="D14">
        <v>3</v>
      </c>
      <c r="E14">
        <v>15.5</v>
      </c>
      <c r="F14">
        <f t="shared" si="0"/>
        <v>18.754999999999999</v>
      </c>
      <c r="G14" t="s">
        <v>903</v>
      </c>
      <c r="H14">
        <f>(IF(G14='base para costos'!$G$3,'base para costos'!$H$3)+IF(G14='base para costos'!$G$4,'base para costos'!$H$4)+IF(G14='base para costos'!$G$5,'base para costos'!$H$5)+IF(G14='base para costos'!$G$6,'base para costos'!$H$6)+IF(G14='base para costos'!$G$7,'base para costos'!$H$7)+IF(G14='base para costos'!$G$8,'base para costos'!$H$8)+IF(G14='base para costos'!$G$9,'base para costos'!$H$9)+IF(G14='base para costos'!$G$10,'base para costos'!$H$10)+IF(G14='base para costos'!$G$11,'base para costos'!$H$11))</f>
        <v>0</v>
      </c>
      <c r="I14">
        <f>(C14/(('base para costos'!$J$3-D14)/100))</f>
        <v>298195.87628865981</v>
      </c>
      <c r="J14">
        <f>(C14/(('base para costos'!$J$3-D14)/100-(0.08)))</f>
        <v>325000</v>
      </c>
      <c r="K14">
        <f t="shared" si="1"/>
        <v>30.954999999999998</v>
      </c>
      <c r="M14">
        <f t="shared" si="2"/>
        <v>0</v>
      </c>
      <c r="N14">
        <f t="shared" si="3"/>
        <v>418929.68353972048</v>
      </c>
      <c r="O14" t="s">
        <v>213</v>
      </c>
      <c r="P14" t="s">
        <v>212</v>
      </c>
    </row>
    <row r="15" spans="1:16" x14ac:dyDescent="0.25">
      <c r="A15" t="s">
        <v>251</v>
      </c>
      <c r="B15" t="s">
        <v>252</v>
      </c>
      <c r="C15">
        <v>26918.52</v>
      </c>
      <c r="D15">
        <v>3</v>
      </c>
      <c r="E15">
        <v>14</v>
      </c>
      <c r="F15">
        <f t="shared" si="0"/>
        <v>16.939999999999998</v>
      </c>
      <c r="G15" t="s">
        <v>903</v>
      </c>
      <c r="H15">
        <f>(IF(G15='base para costos'!$G$3,'base para costos'!$H$3)+IF(G15='base para costos'!$G$4,'base para costos'!$H$4)+IF(G15='base para costos'!$G$5,'base para costos'!$H$5)+IF(G15='base para costos'!$G$6,'base para costos'!$H$6)+IF(G15='base para costos'!$G$7,'base para costos'!$H$7)+IF(G15='base para costos'!$G$8,'base para costos'!$H$8)+IF(G15='base para costos'!$G$9,'base para costos'!$H$9)+IF(G15='base para costos'!$G$10,'base para costos'!$H$10)+IF(G15='base para costos'!$G$11,'base para costos'!$H$11))</f>
        <v>0</v>
      </c>
      <c r="I15">
        <f>(C15/(('base para costos'!$J$3-D15)/100))</f>
        <v>27751.051546391755</v>
      </c>
      <c r="J15">
        <f>(C15/(('base para costos'!$J$3-D15)/100-(0.08)))</f>
        <v>30245.528089887641</v>
      </c>
      <c r="K15">
        <f t="shared" si="1"/>
        <v>29.139999999999997</v>
      </c>
      <c r="M15">
        <f t="shared" si="2"/>
        <v>0</v>
      </c>
      <c r="N15">
        <f t="shared" si="3"/>
        <v>37988.314987298902</v>
      </c>
      <c r="O15" t="s">
        <v>73</v>
      </c>
      <c r="P15" t="s">
        <v>253</v>
      </c>
    </row>
    <row r="16" spans="1:16" x14ac:dyDescent="0.25">
      <c r="A16" t="s">
        <v>282</v>
      </c>
      <c r="B16" t="s">
        <v>283</v>
      </c>
      <c r="C16">
        <v>21000</v>
      </c>
      <c r="D16">
        <v>3</v>
      </c>
      <c r="E16">
        <v>14</v>
      </c>
      <c r="F16">
        <f t="shared" si="0"/>
        <v>16.939999999999998</v>
      </c>
      <c r="G16" t="s">
        <v>903</v>
      </c>
      <c r="H16">
        <f>(IF(G16='base para costos'!$G$3,'base para costos'!$H$3)+IF(G16='base para costos'!$G$4,'base para costos'!$H$4)+IF(G16='base para costos'!$G$5,'base para costos'!$H$5)+IF(G16='base para costos'!$G$6,'base para costos'!$H$6)+IF(G16='base para costos'!$G$7,'base para costos'!$H$7)+IF(G16='base para costos'!$G$8,'base para costos'!$H$8)+IF(G16='base para costos'!$G$9,'base para costos'!$H$9)+IF(G16='base para costos'!$G$10,'base para costos'!$H$10)+IF(G16='base para costos'!$G$11,'base para costos'!$H$11))</f>
        <v>0</v>
      </c>
      <c r="I16">
        <f>(C16/(('base para costos'!$J$3-D16)/100))</f>
        <v>21649.484536082477</v>
      </c>
      <c r="J16">
        <f>(C16/(('base para costos'!$J$3-D16)/100-(0.08)))</f>
        <v>23595.505617977527</v>
      </c>
      <c r="K16">
        <f t="shared" si="1"/>
        <v>29.139999999999997</v>
      </c>
      <c r="M16">
        <f t="shared" si="2"/>
        <v>0</v>
      </c>
      <c r="N16">
        <f t="shared" si="3"/>
        <v>29635.901778154108</v>
      </c>
      <c r="O16" t="s">
        <v>73</v>
      </c>
      <c r="P16" t="s">
        <v>253</v>
      </c>
    </row>
    <row r="17" spans="1:16" x14ac:dyDescent="0.25">
      <c r="A17" t="s">
        <v>327</v>
      </c>
      <c r="B17" t="s">
        <v>328</v>
      </c>
      <c r="C17">
        <v>79999</v>
      </c>
      <c r="D17">
        <v>3</v>
      </c>
      <c r="E17">
        <v>14</v>
      </c>
      <c r="F17">
        <f t="shared" si="0"/>
        <v>16.939999999999998</v>
      </c>
      <c r="G17" t="s">
        <v>903</v>
      </c>
      <c r="H17">
        <f>(IF(G17='base para costos'!$G$3,'base para costos'!$H$3)+IF(G17='base para costos'!$G$4,'base para costos'!$H$4)+IF(G17='base para costos'!$G$5,'base para costos'!$H$5)+IF(G17='base para costos'!$G$6,'base para costos'!$H$6)+IF(G17='base para costos'!$G$7,'base para costos'!$H$7)+IF(G17='base para costos'!$G$8,'base para costos'!$H$8)+IF(G17='base para costos'!$G$9,'base para costos'!$H$9)+IF(G17='base para costos'!$G$10,'base para costos'!$H$10)+IF(G17='base para costos'!$G$11,'base para costos'!$H$11))</f>
        <v>0</v>
      </c>
      <c r="I17">
        <f>(C17/(('base para costos'!$J$3-D17)/100))</f>
        <v>82473.195876288664</v>
      </c>
      <c r="J17">
        <f>(C17/(('base para costos'!$J$3-D17)/100-(0.08)))</f>
        <v>89886.516853932582</v>
      </c>
      <c r="K17">
        <f t="shared" si="1"/>
        <v>29.139999999999997</v>
      </c>
      <c r="M17">
        <f t="shared" si="2"/>
        <v>0</v>
      </c>
      <c r="N17">
        <f t="shared" si="3"/>
        <v>112897.26220716907</v>
      </c>
      <c r="O17" t="s">
        <v>29</v>
      </c>
      <c r="P17" t="s">
        <v>253</v>
      </c>
    </row>
    <row r="18" spans="1:16" x14ac:dyDescent="0.25">
      <c r="A18" t="s">
        <v>335</v>
      </c>
      <c r="B18" t="s">
        <v>336</v>
      </c>
      <c r="C18">
        <v>68575</v>
      </c>
      <c r="D18">
        <v>3</v>
      </c>
      <c r="E18">
        <v>15.5</v>
      </c>
      <c r="F18">
        <f t="shared" si="0"/>
        <v>18.754999999999999</v>
      </c>
      <c r="G18" t="s">
        <v>903</v>
      </c>
      <c r="H18">
        <f>(IF(G18='base para costos'!$G$3,'base para costos'!$H$3)+IF(G18='base para costos'!$G$4,'base para costos'!$H$4)+IF(G18='base para costos'!$G$5,'base para costos'!$H$5)+IF(G18='base para costos'!$G$6,'base para costos'!$H$6)+IF(G18='base para costos'!$G$7,'base para costos'!$H$7)+IF(G18='base para costos'!$G$8,'base para costos'!$H$8)+IF(G18='base para costos'!$G$9,'base para costos'!$H$9)+IF(G18='base para costos'!$G$10,'base para costos'!$H$10)+IF(G18='base para costos'!$G$11,'base para costos'!$H$11))</f>
        <v>0</v>
      </c>
      <c r="I18">
        <f>(C18/(('base para costos'!$J$3-D18)/100))</f>
        <v>70695.876288659798</v>
      </c>
      <c r="J18">
        <f>(C18/(('base para costos'!$J$3-D18)/100-(0.08)))</f>
        <v>77050.561797752802</v>
      </c>
      <c r="K18">
        <f t="shared" si="1"/>
        <v>30.954999999999998</v>
      </c>
      <c r="M18">
        <f t="shared" si="2"/>
        <v>0</v>
      </c>
      <c r="N18">
        <f t="shared" si="3"/>
        <v>99319.284524585411</v>
      </c>
      <c r="O18" t="s">
        <v>213</v>
      </c>
      <c r="P18" t="s">
        <v>212</v>
      </c>
    </row>
    <row r="19" spans="1:16" x14ac:dyDescent="0.25">
      <c r="A19" t="s">
        <v>231</v>
      </c>
      <c r="B19" t="s">
        <v>232</v>
      </c>
      <c r="C19">
        <v>23985</v>
      </c>
      <c r="D19">
        <v>3</v>
      </c>
      <c r="E19">
        <v>16</v>
      </c>
      <c r="F19">
        <f t="shared" si="0"/>
        <v>19.36</v>
      </c>
      <c r="G19" t="s">
        <v>903</v>
      </c>
      <c r="H19">
        <f>(IF(G19='base para costos'!$G$3,'base para costos'!$H$3)+IF(G19='base para costos'!$G$4,'base para costos'!$H$4)+IF(G19='base para costos'!$G$5,'base para costos'!$H$5)+IF(G19='base para costos'!$G$6,'base para costos'!$H$6)+IF(G19='base para costos'!$G$7,'base para costos'!$H$7)+IF(G19='base para costos'!$G$8,'base para costos'!$H$8)+IF(G19='base para costos'!$G$9,'base para costos'!$H$9)+IF(G19='base para costos'!$G$10,'base para costos'!$H$10)+IF(G19='base para costos'!$G$11,'base para costos'!$H$11))</f>
        <v>0</v>
      </c>
      <c r="I19">
        <f>(C19/(('base para costos'!$J$3-D19)/100))</f>
        <v>24726.804123711339</v>
      </c>
      <c r="J19">
        <f>(C19/(('base para costos'!$J$3-D19)/100-(0.08)))</f>
        <v>26949.438202247191</v>
      </c>
      <c r="K19">
        <f t="shared" si="1"/>
        <v>31.56</v>
      </c>
      <c r="M19">
        <f t="shared" si="2"/>
        <v>0</v>
      </c>
      <c r="N19">
        <f t="shared" si="3"/>
        <v>35045.29514903565</v>
      </c>
      <c r="O19" t="s">
        <v>234</v>
      </c>
      <c r="P19" t="s">
        <v>233</v>
      </c>
    </row>
    <row r="20" spans="1:16" x14ac:dyDescent="0.25">
      <c r="A20" t="s">
        <v>349</v>
      </c>
      <c r="B20" t="s">
        <v>350</v>
      </c>
      <c r="C20">
        <v>60060</v>
      </c>
      <c r="D20">
        <v>3</v>
      </c>
      <c r="E20">
        <v>14.5</v>
      </c>
      <c r="F20">
        <f t="shared" si="0"/>
        <v>17.544999999999998</v>
      </c>
      <c r="G20" t="s">
        <v>903</v>
      </c>
      <c r="H20">
        <f>(IF(G20='base para costos'!$G$3,'base para costos'!$H$3)+IF(G20='base para costos'!$G$4,'base para costos'!$H$4)+IF(G20='base para costos'!$G$5,'base para costos'!$H$5)+IF(G20='base para costos'!$G$6,'base para costos'!$H$6)+IF(G20='base para costos'!$G$7,'base para costos'!$H$7)+IF(G20='base para costos'!$G$8,'base para costos'!$H$8)+IF(G20='base para costos'!$G$9,'base para costos'!$H$9)+IF(G20='base para costos'!$G$10,'base para costos'!$H$10)+IF(G20='base para costos'!$G$11,'base para costos'!$H$11))</f>
        <v>0</v>
      </c>
      <c r="I20">
        <f>(C20/(('base para costos'!$J$3-D20)/100))</f>
        <v>61917.525773195877</v>
      </c>
      <c r="J20">
        <f>(C20/(('base para costos'!$J$3-D20)/100-(0.08)))</f>
        <v>67483.146067415728</v>
      </c>
      <c r="K20">
        <f t="shared" si="1"/>
        <v>29.744999999999997</v>
      </c>
      <c r="M20">
        <f t="shared" si="2"/>
        <v>0</v>
      </c>
      <c r="N20">
        <f t="shared" si="3"/>
        <v>85488.577325457256</v>
      </c>
      <c r="O20" t="s">
        <v>352</v>
      </c>
      <c r="P20" t="s">
        <v>351</v>
      </c>
    </row>
    <row r="21" spans="1:16" x14ac:dyDescent="0.25">
      <c r="A21" t="s">
        <v>363</v>
      </c>
      <c r="B21" t="s">
        <v>364</v>
      </c>
      <c r="C21">
        <v>11050</v>
      </c>
      <c r="D21">
        <v>3</v>
      </c>
      <c r="E21">
        <v>15.5</v>
      </c>
      <c r="F21">
        <f t="shared" si="0"/>
        <v>18.754999999999999</v>
      </c>
      <c r="G21" t="s">
        <v>903</v>
      </c>
      <c r="H21">
        <f>(IF(G21='base para costos'!$G$3,'base para costos'!$H$3)+IF(G21='base para costos'!$G$4,'base para costos'!$H$4)+IF(G21='base para costos'!$G$5,'base para costos'!$H$5)+IF(G21='base para costos'!$G$6,'base para costos'!$H$6)+IF(G21='base para costos'!$G$7,'base para costos'!$H$7)+IF(G21='base para costos'!$G$8,'base para costos'!$H$8)+IF(G21='base para costos'!$G$9,'base para costos'!$H$9)+IF(G21='base para costos'!$G$10,'base para costos'!$H$10)+IF(G21='base para costos'!$G$11,'base para costos'!$H$11))</f>
        <v>0</v>
      </c>
      <c r="I21">
        <f>(C21/(('base para costos'!$J$3-D21)/100))</f>
        <v>11391.752577319588</v>
      </c>
      <c r="J21">
        <f>(C21/(('base para costos'!$J$3-D21)/100-(0.08)))</f>
        <v>12415.730337078652</v>
      </c>
      <c r="K21">
        <f t="shared" si="1"/>
        <v>30.954999999999998</v>
      </c>
      <c r="M21">
        <f t="shared" si="2"/>
        <v>0</v>
      </c>
      <c r="N21">
        <f t="shared" si="3"/>
        <v>16004.055326236512</v>
      </c>
      <c r="O21" t="s">
        <v>213</v>
      </c>
      <c r="P21" t="s">
        <v>212</v>
      </c>
    </row>
    <row r="22" spans="1:16" x14ac:dyDescent="0.25">
      <c r="A22" t="s">
        <v>416</v>
      </c>
      <c r="B22" t="s">
        <v>417</v>
      </c>
      <c r="C22">
        <v>19499.349999999999</v>
      </c>
      <c r="D22">
        <v>3</v>
      </c>
      <c r="E22">
        <v>15.5</v>
      </c>
      <c r="F22">
        <f t="shared" si="0"/>
        <v>18.754999999999999</v>
      </c>
      <c r="G22" t="s">
        <v>903</v>
      </c>
      <c r="H22">
        <f>(IF(G22='base para costos'!$G$3,'base para costos'!$H$3)+IF(G22='base para costos'!$G$4,'base para costos'!$H$4)+IF(G22='base para costos'!$G$5,'base para costos'!$H$5)+IF(G22='base para costos'!$G$6,'base para costos'!$H$6)+IF(G22='base para costos'!$G$7,'base para costos'!$H$7)+IF(G22='base para costos'!$G$8,'base para costos'!$H$8)+IF(G22='base para costos'!$G$9,'base para costos'!$H$9)+IF(G22='base para costos'!$G$10,'base para costos'!$H$10)+IF(G22='base para costos'!$G$11,'base para costos'!$H$11))</f>
        <v>0</v>
      </c>
      <c r="I22">
        <f>(C22/(('base para costos'!$J$3-D22)/100))</f>
        <v>20102.422680412372</v>
      </c>
      <c r="J22">
        <f>(C22/(('base para costos'!$J$3-D22)/100-(0.08)))</f>
        <v>21909.382022471909</v>
      </c>
      <c r="K22">
        <f t="shared" si="1"/>
        <v>30.954999999999998</v>
      </c>
      <c r="M22">
        <f t="shared" si="2"/>
        <v>0</v>
      </c>
      <c r="N22">
        <f t="shared" si="3"/>
        <v>28241.509160692298</v>
      </c>
      <c r="O22" t="s">
        <v>418</v>
      </c>
      <c r="P22" t="s">
        <v>206</v>
      </c>
    </row>
    <row r="23" spans="1:16" x14ac:dyDescent="0.25">
      <c r="A23" t="s">
        <v>377</v>
      </c>
      <c r="B23" t="s">
        <v>378</v>
      </c>
      <c r="C23">
        <v>25000</v>
      </c>
      <c r="D23">
        <v>3</v>
      </c>
      <c r="E23">
        <v>14</v>
      </c>
      <c r="F23">
        <f t="shared" si="0"/>
        <v>16.939999999999998</v>
      </c>
      <c r="G23" t="s">
        <v>903</v>
      </c>
      <c r="H23">
        <f>(IF(G23='base para costos'!$G$3,'base para costos'!$H$3)+IF(G23='base para costos'!$G$4,'base para costos'!$H$4)+IF(G23='base para costos'!$G$5,'base para costos'!$H$5)+IF(G23='base para costos'!$G$6,'base para costos'!$H$6)+IF(G23='base para costos'!$G$7,'base para costos'!$H$7)+IF(G23='base para costos'!$G$8,'base para costos'!$H$8)+IF(G23='base para costos'!$G$9,'base para costos'!$H$9)+IF(G23='base para costos'!$G$10,'base para costos'!$H$10)+IF(G23='base para costos'!$G$11,'base para costos'!$H$11))</f>
        <v>0</v>
      </c>
      <c r="I23">
        <f>(C23/(('base para costos'!$J$3-D23)/100))</f>
        <v>25773.195876288661</v>
      </c>
      <c r="J23">
        <f>(C23/(('base para costos'!$J$3-D23)/100-(0.08)))</f>
        <v>28089.887640449437</v>
      </c>
      <c r="K23">
        <f t="shared" si="1"/>
        <v>29.139999999999997</v>
      </c>
      <c r="M23">
        <f t="shared" si="2"/>
        <v>0</v>
      </c>
      <c r="N23">
        <f t="shared" si="3"/>
        <v>35280.835450183462</v>
      </c>
      <c r="O23" t="s">
        <v>73</v>
      </c>
      <c r="P23" t="s">
        <v>253</v>
      </c>
    </row>
    <row r="24" spans="1:16" x14ac:dyDescent="0.25">
      <c r="A24" t="s">
        <v>379</v>
      </c>
      <c r="B24" t="s">
        <v>380</v>
      </c>
      <c r="C24">
        <v>48035</v>
      </c>
      <c r="D24">
        <v>3</v>
      </c>
      <c r="E24">
        <v>15.5</v>
      </c>
      <c r="F24">
        <f t="shared" si="0"/>
        <v>18.754999999999999</v>
      </c>
      <c r="G24" t="s">
        <v>903</v>
      </c>
      <c r="H24">
        <f>(IF(G24='base para costos'!$G$3,'base para costos'!$H$3)+IF(G24='base para costos'!$G$4,'base para costos'!$H$4)+IF(G24='base para costos'!$G$5,'base para costos'!$H$5)+IF(G24='base para costos'!$G$6,'base para costos'!$H$6)+IF(G24='base para costos'!$G$7,'base para costos'!$H$7)+IF(G24='base para costos'!$G$8,'base para costos'!$H$8)+IF(G24='base para costos'!$G$9,'base para costos'!$H$9)+IF(G24='base para costos'!$G$10,'base para costos'!$H$10)+IF(G24='base para costos'!$G$11,'base para costos'!$H$11))</f>
        <v>0</v>
      </c>
      <c r="I24">
        <f>(C24/(('base para costos'!$J$3-D24)/100))</f>
        <v>49520.618556701033</v>
      </c>
      <c r="J24">
        <f>(C24/(('base para costos'!$J$3-D24)/100-(0.08)))</f>
        <v>53971.910112359546</v>
      </c>
      <c r="K24">
        <f t="shared" si="1"/>
        <v>30.954999999999998</v>
      </c>
      <c r="M24">
        <f t="shared" si="2"/>
        <v>0</v>
      </c>
      <c r="N24">
        <f t="shared" si="3"/>
        <v>69570.569918169305</v>
      </c>
      <c r="O24" t="s">
        <v>382</v>
      </c>
      <c r="P24" t="s">
        <v>381</v>
      </c>
    </row>
    <row r="25" spans="1:16" x14ac:dyDescent="0.25">
      <c r="A25" t="s">
        <v>383</v>
      </c>
      <c r="B25" t="s">
        <v>384</v>
      </c>
      <c r="C25">
        <v>24000</v>
      </c>
      <c r="D25">
        <v>3</v>
      </c>
      <c r="E25">
        <v>14</v>
      </c>
      <c r="F25">
        <f t="shared" si="0"/>
        <v>16.939999999999998</v>
      </c>
      <c r="G25" t="s">
        <v>903</v>
      </c>
      <c r="H25">
        <f>(IF(G25='base para costos'!$G$3,'base para costos'!$H$3)+IF(G25='base para costos'!$G$4,'base para costos'!$H$4)+IF(G25='base para costos'!$G$5,'base para costos'!$H$5)+IF(G25='base para costos'!$G$6,'base para costos'!$H$6)+IF(G25='base para costos'!$G$7,'base para costos'!$H$7)+IF(G25='base para costos'!$G$8,'base para costos'!$H$8)+IF(G25='base para costos'!$G$9,'base para costos'!$H$9)+IF(G25='base para costos'!$G$10,'base para costos'!$H$10)+IF(G25='base para costos'!$G$11,'base para costos'!$H$11))</f>
        <v>0</v>
      </c>
      <c r="I25">
        <f>(C25/(('base para costos'!$J$3-D25)/100))</f>
        <v>24742.268041237116</v>
      </c>
      <c r="J25">
        <f>(C25/(('base para costos'!$J$3-D25)/100-(0.08)))</f>
        <v>26966.292134831459</v>
      </c>
      <c r="K25">
        <f t="shared" si="1"/>
        <v>29.139999999999997</v>
      </c>
      <c r="M25">
        <f t="shared" si="2"/>
        <v>0</v>
      </c>
      <c r="N25">
        <f t="shared" si="3"/>
        <v>33869.602032176124</v>
      </c>
      <c r="O25" t="s">
        <v>73</v>
      </c>
      <c r="P25" t="s">
        <v>253</v>
      </c>
    </row>
    <row r="26" spans="1:16" x14ac:dyDescent="0.25">
      <c r="A26" t="s">
        <v>399</v>
      </c>
      <c r="B26" t="s">
        <v>400</v>
      </c>
      <c r="C26">
        <v>21000</v>
      </c>
      <c r="D26">
        <v>3</v>
      </c>
      <c r="E26">
        <v>14</v>
      </c>
      <c r="F26">
        <f t="shared" si="0"/>
        <v>16.939999999999998</v>
      </c>
      <c r="G26" t="s">
        <v>903</v>
      </c>
      <c r="H26">
        <f>(IF(G26='base para costos'!$G$3,'base para costos'!$H$3)+IF(G26='base para costos'!$G$4,'base para costos'!$H$4)+IF(G26='base para costos'!$G$5,'base para costos'!$H$5)+IF(G26='base para costos'!$G$6,'base para costos'!$H$6)+IF(G26='base para costos'!$G$7,'base para costos'!$H$7)+IF(G26='base para costos'!$G$8,'base para costos'!$H$8)+IF(G26='base para costos'!$G$9,'base para costos'!$H$9)+IF(G26='base para costos'!$G$10,'base para costos'!$H$10)+IF(G26='base para costos'!$G$11,'base para costos'!$H$11))</f>
        <v>0</v>
      </c>
      <c r="I26">
        <f>(C26/(('base para costos'!$J$3-D26)/100))</f>
        <v>21649.484536082477</v>
      </c>
      <c r="J26">
        <f>(C26/(('base para costos'!$J$3-D26)/100-(0.08)))</f>
        <v>23595.505617977527</v>
      </c>
      <c r="K26">
        <f t="shared" si="1"/>
        <v>29.139999999999997</v>
      </c>
      <c r="M26">
        <f t="shared" si="2"/>
        <v>0</v>
      </c>
      <c r="N26">
        <f t="shared" si="3"/>
        <v>29635.901778154108</v>
      </c>
      <c r="O26" t="s">
        <v>73</v>
      </c>
      <c r="P26" t="s">
        <v>253</v>
      </c>
    </row>
    <row r="27" spans="1:16" x14ac:dyDescent="0.25">
      <c r="A27" t="s">
        <v>409</v>
      </c>
      <c r="B27" t="s">
        <v>410</v>
      </c>
      <c r="C27">
        <v>39503.75</v>
      </c>
      <c r="D27">
        <v>3</v>
      </c>
      <c r="E27">
        <v>15.5</v>
      </c>
      <c r="F27">
        <f t="shared" si="0"/>
        <v>18.754999999999999</v>
      </c>
      <c r="G27" t="s">
        <v>903</v>
      </c>
      <c r="H27">
        <f>(IF(G27='base para costos'!$G$3,'base para costos'!$H$3)+IF(G27='base para costos'!$G$4,'base para costos'!$H$4)+IF(G27='base para costos'!$G$5,'base para costos'!$H$5)+IF(G27='base para costos'!$G$6,'base para costos'!$H$6)+IF(G27='base para costos'!$G$7,'base para costos'!$H$7)+IF(G27='base para costos'!$G$8,'base para costos'!$H$8)+IF(G27='base para costos'!$G$9,'base para costos'!$H$9)+IF(G27='base para costos'!$G$10,'base para costos'!$H$10)+IF(G27='base para costos'!$G$11,'base para costos'!$H$11))</f>
        <v>0</v>
      </c>
      <c r="I27">
        <f>(C27/(('base para costos'!$J$3-D27)/100))</f>
        <v>40725.515463917523</v>
      </c>
      <c r="J27">
        <f>(C27/(('base para costos'!$J$3-D27)/100-(0.08)))</f>
        <v>44386.235955056181</v>
      </c>
      <c r="K27">
        <f t="shared" si="1"/>
        <v>30.954999999999998</v>
      </c>
      <c r="M27">
        <f t="shared" si="2"/>
        <v>0</v>
      </c>
      <c r="N27">
        <f t="shared" si="3"/>
        <v>57214.497791295529</v>
      </c>
      <c r="O27" t="s">
        <v>230</v>
      </c>
      <c r="P27" t="s">
        <v>411</v>
      </c>
    </row>
    <row r="28" spans="1:16" x14ac:dyDescent="0.25">
      <c r="A28" t="s">
        <v>405</v>
      </c>
      <c r="B28" t="s">
        <v>406</v>
      </c>
      <c r="C28">
        <v>40499.99</v>
      </c>
      <c r="D28">
        <v>3</v>
      </c>
      <c r="E28">
        <v>14</v>
      </c>
      <c r="F28">
        <f t="shared" si="0"/>
        <v>16.939999999999998</v>
      </c>
      <c r="G28" t="s">
        <v>903</v>
      </c>
      <c r="H28">
        <f>(IF(G28='base para costos'!$G$3,'base para costos'!$H$3)+IF(G28='base para costos'!$G$4,'base para costos'!$H$4)+IF(G28='base para costos'!$G$5,'base para costos'!$H$5)+IF(G28='base para costos'!$G$6,'base para costos'!$H$6)+IF(G28='base para costos'!$G$7,'base para costos'!$H$7)+IF(G28='base para costos'!$G$8,'base para costos'!$H$8)+IF(G28='base para costos'!$G$9,'base para costos'!$H$9)+IF(G28='base para costos'!$G$10,'base para costos'!$H$10)+IF(G28='base para costos'!$G$11,'base para costos'!$H$11))</f>
        <v>0</v>
      </c>
      <c r="I28">
        <f>(C28/(('base para costos'!$J$3-D28)/100))</f>
        <v>41752.567010309278</v>
      </c>
      <c r="J28">
        <f>(C28/(('base para costos'!$J$3-D28)/100-(0.08)))</f>
        <v>45505.606741573029</v>
      </c>
      <c r="K28">
        <f t="shared" si="1"/>
        <v>29.139999999999997</v>
      </c>
      <c r="M28">
        <f t="shared" si="2"/>
        <v>0</v>
      </c>
      <c r="N28">
        <f t="shared" si="3"/>
        <v>57154.93931696302</v>
      </c>
      <c r="O28" t="s">
        <v>73</v>
      </c>
      <c r="P28" t="s">
        <v>253</v>
      </c>
    </row>
    <row r="29" spans="1:16" x14ac:dyDescent="0.25">
      <c r="A29" t="s">
        <v>879</v>
      </c>
      <c r="B29" t="s">
        <v>880</v>
      </c>
      <c r="C29">
        <v>296.38</v>
      </c>
      <c r="D29">
        <v>3</v>
      </c>
      <c r="E29">
        <v>15.5</v>
      </c>
      <c r="F29">
        <f t="shared" si="0"/>
        <v>18.754999999999999</v>
      </c>
      <c r="G29" t="s">
        <v>903</v>
      </c>
      <c r="H29">
        <f>(IF(G29='base para costos'!$G$3,'base para costos'!$H$3)+IF(G29='base para costos'!$G$4,'base para costos'!$H$4)+IF(G29='base para costos'!$G$5,'base para costos'!$H$5)+IF(G29='base para costos'!$G$6,'base para costos'!$H$6)+IF(G29='base para costos'!$G$7,'base para costos'!$H$7)+IF(G29='base para costos'!$G$8,'base para costos'!$H$8)+IF(G29='base para costos'!$G$9,'base para costos'!$H$9)+IF(G29='base para costos'!$G$10,'base para costos'!$H$10)+IF(G29='base para costos'!$G$11,'base para costos'!$H$11))</f>
        <v>0</v>
      </c>
      <c r="I29">
        <f>(C29/(('base para costos'!$J$3-D29)/100))</f>
        <v>305.54639175257734</v>
      </c>
      <c r="J29">
        <f>(C29/(('base para costos'!$J$3-D29)/100-(0.08)))</f>
        <v>333.01123595505618</v>
      </c>
      <c r="K29">
        <f t="shared" si="1"/>
        <v>30.954999999999998</v>
      </c>
      <c r="M29">
        <f t="shared" si="2"/>
        <v>0</v>
      </c>
      <c r="N29">
        <f t="shared" si="3"/>
        <v>429.25628213483958</v>
      </c>
      <c r="O29" t="s">
        <v>299</v>
      </c>
      <c r="P29" t="s">
        <v>881</v>
      </c>
    </row>
    <row r="30" spans="1:16" x14ac:dyDescent="0.25">
      <c r="A30" t="s">
        <v>863</v>
      </c>
      <c r="B30" t="s">
        <v>864</v>
      </c>
      <c r="C30">
        <v>917.68</v>
      </c>
      <c r="D30">
        <v>3</v>
      </c>
      <c r="E30">
        <v>13.5</v>
      </c>
      <c r="F30">
        <f t="shared" si="0"/>
        <v>16.335000000000001</v>
      </c>
      <c r="G30" t="s">
        <v>903</v>
      </c>
      <c r="H30">
        <f>(IF(G30='base para costos'!$G$3,'base para costos'!$H$3)+IF(G30='base para costos'!$G$4,'base para costos'!$H$4)+IF(G30='base para costos'!$G$5,'base para costos'!$H$5)+IF(G30='base para costos'!$G$6,'base para costos'!$H$6)+IF(G30='base para costos'!$G$7,'base para costos'!$H$7)+IF(G30='base para costos'!$G$8,'base para costos'!$H$8)+IF(G30='base para costos'!$G$9,'base para costos'!$H$9)+IF(G30='base para costos'!$G$10,'base para costos'!$H$10)+IF(G30='base para costos'!$G$11,'base para costos'!$H$11))</f>
        <v>0</v>
      </c>
      <c r="I30">
        <f>(C30/(('base para costos'!$J$3-D30)/100))</f>
        <v>946.06185567010311</v>
      </c>
      <c r="J30">
        <f>(C30/(('base para costos'!$J$3-D30)/100-(0.08)))</f>
        <v>1031.1011235955054</v>
      </c>
      <c r="K30">
        <f t="shared" si="1"/>
        <v>28.535</v>
      </c>
      <c r="M30">
        <f t="shared" si="2"/>
        <v>0</v>
      </c>
      <c r="N30">
        <f t="shared" si="3"/>
        <v>1284.0971104736584</v>
      </c>
      <c r="O30" t="s">
        <v>153</v>
      </c>
      <c r="P30" t="s">
        <v>792</v>
      </c>
    </row>
    <row r="32" spans="1:16" x14ac:dyDescent="0.25">
      <c r="A32" t="s">
        <v>511</v>
      </c>
      <c r="B32" t="s">
        <v>512</v>
      </c>
      <c r="C32">
        <v>4745</v>
      </c>
      <c r="D32">
        <v>3</v>
      </c>
      <c r="E32">
        <v>16.5</v>
      </c>
      <c r="F32">
        <f t="shared" ref="F32:F45" si="4">E32*1.21</f>
        <v>19.965</v>
      </c>
      <c r="G32" t="s">
        <v>903</v>
      </c>
      <c r="H32">
        <f>(IF(G32='base para costos'!$G$3,'base para costos'!$H$3)+IF(G32='base para costos'!$G$4,'base para costos'!$H$4)+IF(G32='base para costos'!$G$5,'base para costos'!$H$5)+IF(G32='base para costos'!$G$6,'base para costos'!$H$6)+IF(G32='base para costos'!$G$7,'base para costos'!$H$7)+IF(G32='base para costos'!$G$8,'base para costos'!$H$8)+IF(G32='base para costos'!$G$9,'base para costos'!$H$9)+IF(G32='base para costos'!$G$10,'base para costos'!$H$10)+IF(G32='base para costos'!$G$11,'base para costos'!$H$11))</f>
        <v>0</v>
      </c>
      <c r="I32">
        <f>(C32/(('base para costos'!$J$3-D32)/100))</f>
        <v>4891.7525773195875</v>
      </c>
      <c r="J32">
        <f>(C32/(('base para costos'!$J$3-D32)/100-(0.08)))</f>
        <v>5331.4606741573034</v>
      </c>
      <c r="K32">
        <f t="shared" ref="K32:K45" si="5">(D32+8+1.2)+(F32+H32)</f>
        <v>32.164999999999999</v>
      </c>
      <c r="M32">
        <f t="shared" ref="M32:M38" si="6">L32*1.21</f>
        <v>0</v>
      </c>
      <c r="N32">
        <f t="shared" ref="N32:N45" si="7">C32/((100-K32)/100)+M32</f>
        <v>6994.9141298739578</v>
      </c>
      <c r="O32" t="s">
        <v>230</v>
      </c>
      <c r="P32" t="s">
        <v>513</v>
      </c>
    </row>
    <row r="33" spans="1:16" x14ac:dyDescent="0.25">
      <c r="A33" t="s">
        <v>470</v>
      </c>
      <c r="B33" t="s">
        <v>471</v>
      </c>
      <c r="C33">
        <v>30608.33</v>
      </c>
      <c r="D33">
        <v>3</v>
      </c>
      <c r="E33">
        <v>12.15</v>
      </c>
      <c r="F33">
        <f t="shared" si="4"/>
        <v>14.701499999999999</v>
      </c>
      <c r="G33" t="s">
        <v>903</v>
      </c>
      <c r="H33">
        <f>(IF(G33='base para costos'!$G$3,'base para costos'!$H$3)+IF(G33='base para costos'!$G$4,'base para costos'!$H$4)+IF(G33='base para costos'!$G$5,'base para costos'!$H$5)+IF(G33='base para costos'!$G$6,'base para costos'!$H$6)+IF(G33='base para costos'!$G$7,'base para costos'!$H$7)+IF(G33='base para costos'!$G$8,'base para costos'!$H$8)+IF(G33='base para costos'!$G$9,'base para costos'!$H$9)+IF(G33='base para costos'!$G$10,'base para costos'!$H$10)+IF(G33='base para costos'!$G$11,'base para costos'!$H$11))</f>
        <v>0</v>
      </c>
      <c r="I33">
        <f>(C33/(('base para costos'!$J$3-D33)/100))</f>
        <v>31554.979381443303</v>
      </c>
      <c r="J33">
        <f>(C33/(('base para costos'!$J$3-D33)/100-(0.08)))</f>
        <v>34391.382022471909</v>
      </c>
      <c r="K33">
        <f t="shared" si="5"/>
        <v>26.901499999999999</v>
      </c>
      <c r="M33">
        <f t="shared" si="6"/>
        <v>0</v>
      </c>
      <c r="N33">
        <f t="shared" si="7"/>
        <v>41872.71968645048</v>
      </c>
      <c r="O33" t="s">
        <v>473</v>
      </c>
      <c r="P33" t="s">
        <v>472</v>
      </c>
    </row>
    <row r="34" spans="1:16" x14ac:dyDescent="0.25">
      <c r="A34" t="s">
        <v>720</v>
      </c>
      <c r="B34" t="s">
        <v>721</v>
      </c>
      <c r="C34">
        <v>6500</v>
      </c>
      <c r="D34">
        <v>3</v>
      </c>
      <c r="E34">
        <v>16</v>
      </c>
      <c r="F34">
        <f t="shared" si="4"/>
        <v>19.36</v>
      </c>
      <c r="G34" t="s">
        <v>903</v>
      </c>
      <c r="H34">
        <f>(IF(G34='base para costos'!$G$3,'base para costos'!$H$3)+IF(G34='base para costos'!$G$4,'base para costos'!$H$4)+IF(G34='base para costos'!$G$5,'base para costos'!$H$5)+IF(G34='base para costos'!$G$6,'base para costos'!$H$6)+IF(G34='base para costos'!$G$7,'base para costos'!$H$7)+IF(G34='base para costos'!$G$8,'base para costos'!$H$8)+IF(G34='base para costos'!$G$9,'base para costos'!$H$9)+IF(G34='base para costos'!$G$10,'base para costos'!$H$10)+IF(G34='base para costos'!$G$11,'base para costos'!$H$11))</f>
        <v>0</v>
      </c>
      <c r="I34">
        <f>(C34/(('base para costos'!$J$3-D34)/100))</f>
        <v>6701.0309278350514</v>
      </c>
      <c r="J34">
        <f>(C34/(('base para costos'!$J$3-D34)/100-(0.08)))</f>
        <v>7303.3707865168535</v>
      </c>
      <c r="K34">
        <f t="shared" si="5"/>
        <v>31.56</v>
      </c>
      <c r="M34">
        <f t="shared" si="6"/>
        <v>0</v>
      </c>
      <c r="N34">
        <f t="shared" si="7"/>
        <v>9497.3699590882516</v>
      </c>
      <c r="O34" t="s">
        <v>230</v>
      </c>
      <c r="P34" t="s">
        <v>482</v>
      </c>
    </row>
    <row r="35" spans="1:16" x14ac:dyDescent="0.25">
      <c r="A35" t="s">
        <v>722</v>
      </c>
      <c r="B35" t="s">
        <v>723</v>
      </c>
      <c r="C35">
        <v>6500</v>
      </c>
      <c r="D35">
        <v>3</v>
      </c>
      <c r="E35">
        <v>16</v>
      </c>
      <c r="F35">
        <f t="shared" si="4"/>
        <v>19.36</v>
      </c>
      <c r="G35" t="s">
        <v>903</v>
      </c>
      <c r="H35">
        <f>(IF(G35='base para costos'!$G$3,'base para costos'!$H$3)+IF(G35='base para costos'!$G$4,'base para costos'!$H$4)+IF(G35='base para costos'!$G$5,'base para costos'!$H$5)+IF(G35='base para costos'!$G$6,'base para costos'!$H$6)+IF(G35='base para costos'!$G$7,'base para costos'!$H$7)+IF(G35='base para costos'!$G$8,'base para costos'!$H$8)+IF(G35='base para costos'!$G$9,'base para costos'!$H$9)+IF(G35='base para costos'!$G$10,'base para costos'!$H$10)+IF(G35='base para costos'!$G$11,'base para costos'!$H$11))</f>
        <v>0</v>
      </c>
      <c r="I35">
        <f>(C35/(('base para costos'!$J$3-D35)/100))</f>
        <v>6701.0309278350514</v>
      </c>
      <c r="J35">
        <f>(C35/(('base para costos'!$J$3-D35)/100-(0.08)))</f>
        <v>7303.3707865168535</v>
      </c>
      <c r="K35">
        <f t="shared" si="5"/>
        <v>31.56</v>
      </c>
      <c r="M35">
        <f t="shared" si="6"/>
        <v>0</v>
      </c>
      <c r="N35">
        <f t="shared" si="7"/>
        <v>9497.3699590882516</v>
      </c>
      <c r="O35" t="s">
        <v>230</v>
      </c>
      <c r="P35" t="s">
        <v>482</v>
      </c>
    </row>
    <row r="36" spans="1:16" x14ac:dyDescent="0.25">
      <c r="A36" t="s">
        <v>724</v>
      </c>
      <c r="B36" t="s">
        <v>725</v>
      </c>
      <c r="C36">
        <v>6500</v>
      </c>
      <c r="D36">
        <v>3</v>
      </c>
      <c r="E36">
        <v>13.5</v>
      </c>
      <c r="F36">
        <f t="shared" si="4"/>
        <v>16.335000000000001</v>
      </c>
      <c r="G36" t="s">
        <v>903</v>
      </c>
      <c r="H36">
        <f>(IF(G36='base para costos'!$G$3,'base para costos'!$H$3)+IF(G36='base para costos'!$G$4,'base para costos'!$H$4)+IF(G36='base para costos'!$G$5,'base para costos'!$H$5)+IF(G36='base para costos'!$G$6,'base para costos'!$H$6)+IF(G36='base para costos'!$G$7,'base para costos'!$H$7)+IF(G36='base para costos'!$G$8,'base para costos'!$H$8)+IF(G36='base para costos'!$G$9,'base para costos'!$H$9)+IF(G36='base para costos'!$G$10,'base para costos'!$H$10)+IF(G36='base para costos'!$G$11,'base para costos'!$H$11))</f>
        <v>0</v>
      </c>
      <c r="I36">
        <f>(C36/(('base para costos'!$J$3-D36)/100))</f>
        <v>6701.0309278350514</v>
      </c>
      <c r="J36">
        <f>(C36/(('base para costos'!$J$3-D36)/100-(0.08)))</f>
        <v>7303.3707865168535</v>
      </c>
      <c r="K36">
        <f t="shared" si="5"/>
        <v>28.535</v>
      </c>
      <c r="M36">
        <f t="shared" si="6"/>
        <v>0</v>
      </c>
      <c r="N36">
        <f t="shared" si="7"/>
        <v>9095.3613657034912</v>
      </c>
      <c r="O36" t="s">
        <v>608</v>
      </c>
      <c r="P36" t="s">
        <v>607</v>
      </c>
    </row>
    <row r="37" spans="1:16" x14ac:dyDescent="0.25">
      <c r="A37" t="s">
        <v>1108</v>
      </c>
      <c r="B37" t="s">
        <v>1109</v>
      </c>
      <c r="C37">
        <v>755989.5</v>
      </c>
      <c r="D37">
        <v>3</v>
      </c>
      <c r="E37">
        <v>12.15</v>
      </c>
      <c r="F37">
        <f t="shared" si="4"/>
        <v>14.701499999999999</v>
      </c>
      <c r="G37" t="s">
        <v>903</v>
      </c>
      <c r="H37">
        <f>(IF(G37='base para costos'!$G$3,'base para costos'!$H$3)+IF(G37='base para costos'!$G$4,'base para costos'!$H$4)+IF(G37='base para costos'!$G$5,'base para costos'!$H$5)+IF(G37='base para costos'!$G$6,'base para costos'!$H$6)+IF(G37='base para costos'!$G$7,'base para costos'!$H$7)+IF(G37='base para costos'!$G$8,'base para costos'!$H$8)+IF(G37='base para costos'!$G$9,'base para costos'!$H$9)+IF(G37='base para costos'!$G$10,'base para costos'!$H$10)+IF(G37='base para costos'!$G$11,'base para costos'!$H$11))</f>
        <v>0</v>
      </c>
      <c r="I37">
        <f>(C37/(('base para costos'!$J$3-D37)/100))</f>
        <v>779370.618556701</v>
      </c>
      <c r="J37">
        <f>(C37/(('base para costos'!$J$3-D37)/100-(0.08)))</f>
        <v>849426.40449438198</v>
      </c>
      <c r="K37">
        <f t="shared" si="5"/>
        <v>26.901499999999999</v>
      </c>
      <c r="L37">
        <v>18600</v>
      </c>
      <c r="M37">
        <f t="shared" si="6"/>
        <v>22506</v>
      </c>
      <c r="N37">
        <f t="shared" si="7"/>
        <v>1056712.5842664349</v>
      </c>
      <c r="O37" t="s">
        <v>1133</v>
      </c>
      <c r="P37" t="s">
        <v>10</v>
      </c>
    </row>
    <row r="38" spans="1:16" x14ac:dyDescent="0.25">
      <c r="A38" t="s">
        <v>1110</v>
      </c>
      <c r="B38" t="s">
        <v>1111</v>
      </c>
      <c r="C38">
        <v>1837489.5</v>
      </c>
      <c r="D38">
        <v>3.5</v>
      </c>
      <c r="E38">
        <v>12.15</v>
      </c>
      <c r="F38">
        <f t="shared" si="4"/>
        <v>14.701499999999999</v>
      </c>
      <c r="G38" t="s">
        <v>903</v>
      </c>
      <c r="H38">
        <f>(IF(G38='base para costos'!$G$3,'base para costos'!$H$3)+IF(G38='base para costos'!$G$4,'base para costos'!$H$4)+IF(G38='base para costos'!$G$5,'base para costos'!$H$5)+IF(G38='base para costos'!$G$6,'base para costos'!$H$6)+IF(G38='base para costos'!$G$7,'base para costos'!$H$7)+IF(G38='base para costos'!$G$8,'base para costos'!$H$8)+IF(G38='base para costos'!$G$9,'base para costos'!$H$9)+IF(G38='base para costos'!$G$10,'base para costos'!$H$10)+IF(G38='base para costos'!$G$11,'base para costos'!$H$11))</f>
        <v>0</v>
      </c>
      <c r="I38">
        <f>(C38/(('base para costos'!$J$3-D38)/100))</f>
        <v>1904134.1968911919</v>
      </c>
      <c r="J38">
        <f>(C38/(('base para costos'!$J$3-D38)/100-(0.08)))</f>
        <v>2076259.3220338982</v>
      </c>
      <c r="K38">
        <f t="shared" si="5"/>
        <v>27.401499999999999</v>
      </c>
      <c r="M38">
        <f t="shared" si="6"/>
        <v>0</v>
      </c>
      <c r="N38">
        <f t="shared" si="7"/>
        <v>2531029.5667265854</v>
      </c>
      <c r="O38" t="s">
        <v>149</v>
      </c>
      <c r="P38" t="s">
        <v>10</v>
      </c>
    </row>
    <row r="39" spans="1:16" x14ac:dyDescent="0.25">
      <c r="A39" t="s">
        <v>1157</v>
      </c>
      <c r="B39" t="s">
        <v>1158</v>
      </c>
      <c r="C39">
        <v>1248438.45</v>
      </c>
      <c r="D39">
        <v>3</v>
      </c>
      <c r="E39">
        <v>12.15</v>
      </c>
      <c r="F39">
        <f t="shared" si="4"/>
        <v>14.701499999999999</v>
      </c>
      <c r="G39" t="s">
        <v>903</v>
      </c>
      <c r="H39">
        <f>(IF(G39='base para costos'!$G$3,'base para costos'!$H$3)+IF(G39='base para costos'!$G$4,'base para costos'!$H$4)+IF(G39='base para costos'!$G$5,'base para costos'!$H$5)+IF(G39='base para costos'!$G$6,'base para costos'!$H$6)+IF(G39='base para costos'!$G$7,'base para costos'!$H$7)+IF(G39='base para costos'!$G$8,'base para costos'!$H$8)+IF(G39='base para costos'!$G$9,'base para costos'!$H$9)+IF(G39='base para costos'!$G$10,'base para costos'!$H$10)+IF(G39='base para costos'!$G$11,'base para costos'!$H$11))</f>
        <v>0</v>
      </c>
      <c r="I39">
        <f>(C39/(('base para costos'!$J$3-D39)/100))</f>
        <v>1287049.9484536082</v>
      </c>
      <c r="J39">
        <f>(C39/(('base para costos'!$J$3-D39)/100-(0.08)))</f>
        <v>1402739.8314606741</v>
      </c>
      <c r="K39">
        <f t="shared" si="5"/>
        <v>26.901499999999999</v>
      </c>
      <c r="N39">
        <f t="shared" si="7"/>
        <v>1707885.1823224826</v>
      </c>
      <c r="O39" t="s">
        <v>1134</v>
      </c>
      <c r="P39" t="s">
        <v>10</v>
      </c>
    </row>
    <row r="40" spans="1:16" x14ac:dyDescent="0.25">
      <c r="A40" t="s">
        <v>1261</v>
      </c>
      <c r="B40" t="s">
        <v>1264</v>
      </c>
      <c r="C40">
        <v>733950</v>
      </c>
      <c r="D40">
        <v>5</v>
      </c>
      <c r="E40">
        <v>12.15</v>
      </c>
      <c r="F40">
        <f t="shared" si="4"/>
        <v>14.701499999999999</v>
      </c>
      <c r="G40" t="s">
        <v>1300</v>
      </c>
      <c r="H40">
        <f>(IF(G40='base para costos'!$G$3,'base para costos'!$H$3)+IF(G40='base para costos'!$G$4,'base para costos'!$H$4)+IF(G40='base para costos'!$G$5,'base para costos'!$H$5)+IF(G40='base para costos'!$G$6,'base para costos'!$H$6)+IF(G40='base para costos'!$G$7,'base para costos'!$H$7)+IF(G40='base para costos'!$G$8,'base para costos'!$H$8)+IF(G40='base para costos'!$G$9,'base para costos'!$H$9)+IF(G40='base para costos'!$G$10,'base para costos'!$H$10)+IF(G40='base para costos'!$G$11,'base para costos'!$H$11))</f>
        <v>0</v>
      </c>
      <c r="I40">
        <f>(C40/(('base para costos'!$J$3-D40)/100))</f>
        <v>772578.94736842113</v>
      </c>
      <c r="J40">
        <f>(C40/(('base para costos'!$J$3-D40)/100-(0.08)))</f>
        <v>843620.68965517241</v>
      </c>
      <c r="K40">
        <f t="shared" si="5"/>
        <v>28.901499999999999</v>
      </c>
      <c r="M40">
        <f t="shared" ref="M40:M45" si="8">L40*1.21</f>
        <v>0</v>
      </c>
      <c r="N40">
        <f t="shared" si="7"/>
        <v>1032300.2594991456</v>
      </c>
      <c r="O40" t="s">
        <v>1161</v>
      </c>
      <c r="P40" t="s">
        <v>10</v>
      </c>
    </row>
    <row r="41" spans="1:16" x14ac:dyDescent="0.25">
      <c r="A41" t="s">
        <v>1290</v>
      </c>
      <c r="B41" t="s">
        <v>1289</v>
      </c>
      <c r="C41">
        <v>724500</v>
      </c>
      <c r="D41">
        <v>3</v>
      </c>
      <c r="E41">
        <v>12.15</v>
      </c>
      <c r="F41">
        <f t="shared" si="4"/>
        <v>14.701499999999999</v>
      </c>
      <c r="G41" t="s">
        <v>1300</v>
      </c>
      <c r="H41">
        <f>(IF(G41='base para costos'!$G$3,'base para costos'!$H$3)+IF(G41='base para costos'!$G$4,'base para costos'!$H$4)+IF(G41='base para costos'!$G$5,'base para costos'!$H$5)+IF(G41='base para costos'!$G$6,'base para costos'!$H$6)+IF(G41='base para costos'!$G$7,'base para costos'!$H$7)+IF(G41='base para costos'!$G$8,'base para costos'!$H$8)+IF(G41='base para costos'!$G$9,'base para costos'!$H$9)+IF(G41='base para costos'!$G$10,'base para costos'!$H$10)+IF(G41='base para costos'!$G$11,'base para costos'!$H$11))</f>
        <v>0</v>
      </c>
      <c r="I41">
        <f>(C41/(('base para costos'!$J$3-D41)/100))</f>
        <v>746907.21649484534</v>
      </c>
      <c r="J41">
        <f>(C41/(('base para costos'!$J$3-D41)/100-(0.08)))</f>
        <v>814044.94382022473</v>
      </c>
      <c r="K41">
        <f t="shared" si="5"/>
        <v>26.901499999999999</v>
      </c>
      <c r="M41">
        <f t="shared" si="8"/>
        <v>0</v>
      </c>
      <c r="N41">
        <f t="shared" si="7"/>
        <v>991128.40892767976</v>
      </c>
      <c r="O41" t="s">
        <v>1134</v>
      </c>
      <c r="P41" t="s">
        <v>10</v>
      </c>
    </row>
    <row r="42" spans="1:16" x14ac:dyDescent="0.25">
      <c r="A42" t="s">
        <v>1127</v>
      </c>
      <c r="B42" t="s">
        <v>1128</v>
      </c>
      <c r="C42">
        <v>251989.5</v>
      </c>
      <c r="D42">
        <v>3</v>
      </c>
      <c r="E42">
        <v>12.15</v>
      </c>
      <c r="F42">
        <f t="shared" si="4"/>
        <v>14.701499999999999</v>
      </c>
      <c r="G42" t="s">
        <v>903</v>
      </c>
      <c r="H42">
        <f>(IF(G42='base para costos'!$G$3,'base para costos'!$H$3)+IF(G42='base para costos'!$G$4,'base para costos'!$H$4)+IF(G42='base para costos'!$G$5,'base para costos'!$H$5)+IF(G42='base para costos'!$G$6,'base para costos'!$H$6)+IF(G42='base para costos'!$G$7,'base para costos'!$H$7)+IF(G42='base para costos'!$G$8,'base para costos'!$H$8)+IF(G42='base para costos'!$G$9,'base para costos'!$H$9)+IF(G42='base para costos'!$G$10,'base para costos'!$H$10)+IF(G42='base para costos'!$G$11,'base para costos'!$H$11))</f>
        <v>0</v>
      </c>
      <c r="I42">
        <f>(C42/(('base para costos'!$J$3-D42)/100))</f>
        <v>259782.98969072165</v>
      </c>
      <c r="J42">
        <f>(C42/(('base para costos'!$J$3-D42)/100-(0.08)))</f>
        <v>283134.26966292132</v>
      </c>
      <c r="K42">
        <f t="shared" si="5"/>
        <v>26.901499999999999</v>
      </c>
      <c r="L42">
        <v>8900</v>
      </c>
      <c r="M42">
        <f t="shared" si="8"/>
        <v>10769</v>
      </c>
      <c r="N42">
        <f t="shared" si="7"/>
        <v>355494.95196891867</v>
      </c>
      <c r="O42" t="s">
        <v>149</v>
      </c>
      <c r="P42" t="s">
        <v>10</v>
      </c>
    </row>
    <row r="43" spans="1:16" x14ac:dyDescent="0.25">
      <c r="A43" t="s">
        <v>1124</v>
      </c>
      <c r="B43" t="s">
        <v>1125</v>
      </c>
      <c r="C43">
        <v>509239.5</v>
      </c>
      <c r="D43">
        <v>8</v>
      </c>
      <c r="E43">
        <v>12.15</v>
      </c>
      <c r="F43">
        <f t="shared" si="4"/>
        <v>14.701499999999999</v>
      </c>
      <c r="G43" t="s">
        <v>903</v>
      </c>
      <c r="H43">
        <f>(IF(G43='base para costos'!$G$3,'base para costos'!$H$3)+IF(G43='base para costos'!$G$4,'base para costos'!$H$4)+IF(G43='base para costos'!$G$5,'base para costos'!$H$5)+IF(G43='base para costos'!$G$6,'base para costos'!$H$6)+IF(G43='base para costos'!$G$7,'base para costos'!$H$7)+IF(G43='base para costos'!$G$8,'base para costos'!$H$8)+IF(G43='base para costos'!$G$9,'base para costos'!$H$9)+IF(G43='base para costos'!$G$10,'base para costos'!$H$10)+IF(G43='base para costos'!$G$11,'base para costos'!$H$11))</f>
        <v>0</v>
      </c>
      <c r="I43">
        <f>(C43/(('base para costos'!$J$3-D43)/100))</f>
        <v>553521.19565217383</v>
      </c>
      <c r="J43">
        <f>(C43/(('base para costos'!$J$3-D43)/100-(0.08)))</f>
        <v>606237.5</v>
      </c>
      <c r="K43">
        <f t="shared" si="5"/>
        <v>31.901499999999999</v>
      </c>
      <c r="L43">
        <v>21682</v>
      </c>
      <c r="M43">
        <f t="shared" si="8"/>
        <v>26235.219999999998</v>
      </c>
      <c r="N43">
        <f t="shared" si="7"/>
        <v>774033.6296566003</v>
      </c>
      <c r="O43" t="s">
        <v>1134</v>
      </c>
      <c r="P43" t="s">
        <v>10</v>
      </c>
    </row>
    <row r="44" spans="1:16" x14ac:dyDescent="0.25">
      <c r="A44" t="s">
        <v>1118</v>
      </c>
      <c r="B44" t="s">
        <v>1119</v>
      </c>
      <c r="C44">
        <v>346489.5</v>
      </c>
      <c r="D44">
        <v>8</v>
      </c>
      <c r="E44">
        <v>12.15</v>
      </c>
      <c r="F44">
        <f t="shared" si="4"/>
        <v>14.701499999999999</v>
      </c>
      <c r="G44" t="s">
        <v>903</v>
      </c>
      <c r="H44">
        <f>(IF(G44='base para costos'!$G$3,'base para costos'!$H$3)+IF(G44='base para costos'!$G$4,'base para costos'!$H$4)+IF(G44='base para costos'!$G$5,'base para costos'!$H$5)+IF(G44='base para costos'!$G$6,'base para costos'!$H$6)+IF(G44='base para costos'!$G$7,'base para costos'!$H$7)+IF(G44='base para costos'!$G$8,'base para costos'!$H$8)+IF(G44='base para costos'!$G$9,'base para costos'!$H$9)+IF(G44='base para costos'!$G$10,'base para costos'!$H$10)+IF(G44='base para costos'!$G$11,'base para costos'!$H$11))</f>
        <v>0</v>
      </c>
      <c r="I44">
        <f>(C44/(('base para costos'!$J$3-D44)/100))</f>
        <v>376619.02173913043</v>
      </c>
      <c r="J44">
        <f>(C44/(('base para costos'!$J$3-D44)/100-(0.08)))</f>
        <v>412487.49999999994</v>
      </c>
      <c r="K44">
        <f t="shared" si="5"/>
        <v>31.901499999999999</v>
      </c>
      <c r="L44">
        <v>20374</v>
      </c>
      <c r="M44">
        <f t="shared" si="8"/>
        <v>24652.54</v>
      </c>
      <c r="N44">
        <f t="shared" si="7"/>
        <v>533458.90137359849</v>
      </c>
      <c r="O44" t="s">
        <v>1133</v>
      </c>
      <c r="P44" t="s">
        <v>10</v>
      </c>
    </row>
    <row r="45" spans="1:16" x14ac:dyDescent="0.25">
      <c r="A45" t="s">
        <v>1070</v>
      </c>
      <c r="B45" t="s">
        <v>1085</v>
      </c>
      <c r="C45">
        <v>779865.45</v>
      </c>
      <c r="D45">
        <v>3</v>
      </c>
      <c r="E45">
        <v>12.15</v>
      </c>
      <c r="F45">
        <f t="shared" si="4"/>
        <v>14.701499999999999</v>
      </c>
      <c r="G45" t="s">
        <v>903</v>
      </c>
      <c r="H45">
        <f>(IF(G45='base para costos'!$G$3,'base para costos'!$H$3)+IF(G45='base para costos'!$G$4,'base para costos'!$H$4)+IF(G45='base para costos'!$G$5,'base para costos'!$H$5)+IF(G45='base para costos'!$G$6,'base para costos'!$H$6)+IF(G45='base para costos'!$G$7,'base para costos'!$H$7)+IF(G45='base para costos'!$G$8,'base para costos'!$H$8)+IF(G45='base para costos'!$G$9,'base para costos'!$H$9)+IF(G45='base para costos'!$G$10,'base para costos'!$H$10)+IF(G45='base para costos'!$G$11,'base para costos'!$H$11))</f>
        <v>0</v>
      </c>
      <c r="I45">
        <f>(C45/(('base para costos'!$J$3-D45)/100))</f>
        <v>803985</v>
      </c>
      <c r="J45">
        <f>(C45/(('base para costos'!$J$3-D45)/100-(0.08)))</f>
        <v>876253.31460674154</v>
      </c>
      <c r="K45">
        <f t="shared" si="5"/>
        <v>26.901499999999999</v>
      </c>
      <c r="M45">
        <f t="shared" si="8"/>
        <v>0</v>
      </c>
      <c r="N45">
        <f t="shared" si="7"/>
        <v>1066869.2928035459</v>
      </c>
      <c r="O45" t="s">
        <v>1090</v>
      </c>
      <c r="P45" t="s">
        <v>10</v>
      </c>
    </row>
    <row r="47" spans="1:16" x14ac:dyDescent="0.25">
      <c r="A47" t="s">
        <v>588</v>
      </c>
      <c r="B47" t="s">
        <v>589</v>
      </c>
      <c r="C47">
        <v>16200</v>
      </c>
      <c r="D47">
        <v>3</v>
      </c>
      <c r="E47">
        <v>14</v>
      </c>
      <c r="F47">
        <f>E47*1.21</f>
        <v>16.939999999999998</v>
      </c>
      <c r="G47" t="s">
        <v>903</v>
      </c>
      <c r="H47">
        <f>(IF(G47='base para costos'!$G$3,'base para costos'!$H$3)+IF(G47='base para costos'!$G$4,'base para costos'!$H$4)+IF(G47='base para costos'!$G$5,'base para costos'!$H$5)+IF(G47='base para costos'!$G$6,'base para costos'!$H$6)+IF(G47='base para costos'!$G$7,'base para costos'!$H$7)+IF(G47='base para costos'!$G$8,'base para costos'!$H$8)+IF(G47='base para costos'!$G$9,'base para costos'!$H$9)+IF(G47='base para costos'!$G$10,'base para costos'!$H$10)+IF(G47='base para costos'!$G$11,'base para costos'!$H$11))</f>
        <v>0</v>
      </c>
      <c r="I47">
        <f>(C47/(('base para costos'!$J$3-D47)/100))</f>
        <v>16701.030927835051</v>
      </c>
      <c r="J47">
        <f>(C47/(('base para costos'!$J$3-D47)/100-(0.08)))</f>
        <v>18202.247191011236</v>
      </c>
      <c r="K47">
        <f>(D47+8+1.2)+(F47+H47)</f>
        <v>29.139999999999997</v>
      </c>
      <c r="M47">
        <f>L47*1.21</f>
        <v>0</v>
      </c>
      <c r="N47">
        <f>C47/((100-K47)/100)+M47</f>
        <v>22861.981371718881</v>
      </c>
      <c r="O47" t="s">
        <v>73</v>
      </c>
      <c r="P47" t="s">
        <v>253</v>
      </c>
    </row>
    <row r="48" spans="1:16" x14ac:dyDescent="0.25">
      <c r="A48" t="s">
        <v>865</v>
      </c>
      <c r="B48" t="s">
        <v>866</v>
      </c>
      <c r="C48">
        <v>859.61</v>
      </c>
      <c r="D48">
        <v>3</v>
      </c>
      <c r="E48">
        <v>13.5</v>
      </c>
      <c r="F48">
        <f>E48*1.21</f>
        <v>16.335000000000001</v>
      </c>
      <c r="G48" t="s">
        <v>903</v>
      </c>
      <c r="H48">
        <f>(IF(G48='base para costos'!$G$3,'base para costos'!$H$3)+IF(G48='base para costos'!$G$4,'base para costos'!$H$4)+IF(G48='base para costos'!$G$5,'base para costos'!$H$5)+IF(G48='base para costos'!$G$6,'base para costos'!$H$6)+IF(G48='base para costos'!$G$7,'base para costos'!$H$7)+IF(G48='base para costos'!$G$8,'base para costos'!$H$8)+IF(G48='base para costos'!$G$9,'base para costos'!$H$9)+IF(G48='base para costos'!$G$10,'base para costos'!$H$10)+IF(G48='base para costos'!$G$11,'base para costos'!$H$11))</f>
        <v>0</v>
      </c>
      <c r="I48">
        <f>(C48/(('base para costos'!$J$3-D48)/100))</f>
        <v>886.19587628865986</v>
      </c>
      <c r="J48">
        <f>(C48/(('base para costos'!$J$3-D48)/100-(0.08)))</f>
        <v>965.85393258426961</v>
      </c>
      <c r="K48">
        <f>(D48+8+1.2)+(F48+H48)</f>
        <v>28.535</v>
      </c>
      <c r="M48">
        <f>L48*1.21</f>
        <v>0</v>
      </c>
      <c r="N48">
        <f>C48/((100-K48)/100)+M48</f>
        <v>1202.8405513188275</v>
      </c>
      <c r="O48" t="s">
        <v>608</v>
      </c>
      <c r="P48" t="s">
        <v>607</v>
      </c>
    </row>
    <row r="49" spans="1:16" x14ac:dyDescent="0.25">
      <c r="A49" t="s">
        <v>605</v>
      </c>
      <c r="B49" t="s">
        <v>606</v>
      </c>
      <c r="C49">
        <v>4875.01</v>
      </c>
      <c r="D49">
        <v>3</v>
      </c>
      <c r="E49">
        <v>13.5</v>
      </c>
      <c r="F49">
        <f>E49*1.21</f>
        <v>16.335000000000001</v>
      </c>
      <c r="G49" t="s">
        <v>903</v>
      </c>
      <c r="H49">
        <f>(IF(G49='base para costos'!$G$3,'base para costos'!$H$3)+IF(G49='base para costos'!$G$4,'base para costos'!$H$4)+IF(G49='base para costos'!$G$5,'base para costos'!$H$5)+IF(G49='base para costos'!$G$6,'base para costos'!$H$6)+IF(G49='base para costos'!$G$7,'base para costos'!$H$7)+IF(G49='base para costos'!$G$8,'base para costos'!$H$8)+IF(G49='base para costos'!$G$9,'base para costos'!$H$9)+IF(G49='base para costos'!$G$10,'base para costos'!$H$10)+IF(G49='base para costos'!$G$11,'base para costos'!$H$11))</f>
        <v>0</v>
      </c>
      <c r="I49">
        <f>(C49/(('base para costos'!$J$3-D49)/100))</f>
        <v>5025.7835051546399</v>
      </c>
      <c r="J49">
        <f>(C49/(('base para costos'!$J$3-D49)/100-(0.08)))</f>
        <v>5477.5393258426966</v>
      </c>
      <c r="K49">
        <f>(D49+8+1.2)+(F49+H49)</f>
        <v>28.535</v>
      </c>
      <c r="M49">
        <f>L49*1.21</f>
        <v>0</v>
      </c>
      <c r="N49">
        <f>C49/((100-K49)/100)+M49</f>
        <v>6821.5350171412583</v>
      </c>
      <c r="O49" t="s">
        <v>608</v>
      </c>
      <c r="P49" t="s">
        <v>607</v>
      </c>
    </row>
    <row r="50" spans="1:16" x14ac:dyDescent="0.25">
      <c r="A50" t="s">
        <v>815</v>
      </c>
      <c r="B50" t="s">
        <v>816</v>
      </c>
      <c r="C50">
        <v>1495</v>
      </c>
      <c r="D50">
        <v>3</v>
      </c>
      <c r="E50">
        <v>13.5</v>
      </c>
      <c r="F50">
        <f>E50*1.21</f>
        <v>16.335000000000001</v>
      </c>
      <c r="G50" t="s">
        <v>903</v>
      </c>
      <c r="H50">
        <f>(IF(G50='base para costos'!$G$3,'base para costos'!$H$3)+IF(G50='base para costos'!$G$4,'base para costos'!$H$4)+IF(G50='base para costos'!$G$5,'base para costos'!$H$5)+IF(G50='base para costos'!$G$6,'base para costos'!$H$6)+IF(G50='base para costos'!$G$7,'base para costos'!$H$7)+IF(G50='base para costos'!$G$8,'base para costos'!$H$8)+IF(G50='base para costos'!$G$9,'base para costos'!$H$9)+IF(G50='base para costos'!$G$10,'base para costos'!$H$10)+IF(G50='base para costos'!$G$11,'base para costos'!$H$11))</f>
        <v>0</v>
      </c>
      <c r="I50">
        <f>(C50/(('base para costos'!$J$3-D50)/100))</f>
        <v>1541.2371134020618</v>
      </c>
      <c r="J50">
        <f>(C50/(('base para costos'!$J$3-D50)/100-(0.08)))</f>
        <v>1679.7752808988764</v>
      </c>
      <c r="K50">
        <f>(D50+8+1.2)+(F50+H50)</f>
        <v>28.535</v>
      </c>
      <c r="M50">
        <f>L50*1.21</f>
        <v>0</v>
      </c>
      <c r="N50">
        <f>C50/((100-K50)/100)+M50</f>
        <v>2091.9331141118028</v>
      </c>
      <c r="O50" t="s">
        <v>608</v>
      </c>
      <c r="P50" t="s">
        <v>607</v>
      </c>
    </row>
    <row r="51" spans="1:16" x14ac:dyDescent="0.25">
      <c r="A51" t="s">
        <v>805</v>
      </c>
      <c r="B51" t="s">
        <v>806</v>
      </c>
      <c r="C51">
        <v>3500</v>
      </c>
      <c r="D51">
        <v>3</v>
      </c>
      <c r="E51">
        <v>13.5</v>
      </c>
      <c r="F51">
        <f>E51*1.21</f>
        <v>16.335000000000001</v>
      </c>
      <c r="G51" t="s">
        <v>903</v>
      </c>
      <c r="H51">
        <f>(IF(G51='base para costos'!$G$3,'base para costos'!$H$3)+IF(G51='base para costos'!$G$4,'base para costos'!$H$4)+IF(G51='base para costos'!$G$5,'base para costos'!$H$5)+IF(G51='base para costos'!$G$6,'base para costos'!$H$6)+IF(G51='base para costos'!$G$7,'base para costos'!$H$7)+IF(G51='base para costos'!$G$8,'base para costos'!$H$8)+IF(G51='base para costos'!$G$9,'base para costos'!$H$9)+IF(G51='base para costos'!$G$10,'base para costos'!$H$10)+IF(G51='base para costos'!$G$11,'base para costos'!$H$11))</f>
        <v>0</v>
      </c>
      <c r="I51">
        <f>(C51/(('base para costos'!$J$3-D51)/100))</f>
        <v>3608.2474226804125</v>
      </c>
      <c r="J51">
        <f>(C51/(('base para costos'!$J$3-D51)/100-(0.08)))</f>
        <v>3932.5842696629211</v>
      </c>
      <c r="K51">
        <f>(D51+8+1.2)+(F51+H51)</f>
        <v>28.535</v>
      </c>
      <c r="M51">
        <f>L51*1.21</f>
        <v>0</v>
      </c>
      <c r="N51">
        <f>C51/((100-K51)/100)+M51</f>
        <v>4897.5022738403413</v>
      </c>
      <c r="O51" t="s">
        <v>608</v>
      </c>
      <c r="P51" t="s">
        <v>607</v>
      </c>
    </row>
    <row r="53" spans="1:16" x14ac:dyDescent="0.25">
      <c r="A53" t="s">
        <v>790</v>
      </c>
      <c r="B53" t="s">
        <v>791</v>
      </c>
      <c r="C53">
        <v>3963.96</v>
      </c>
      <c r="D53">
        <v>3</v>
      </c>
      <c r="E53">
        <v>13.5</v>
      </c>
      <c r="F53">
        <f>E53*1.21</f>
        <v>16.335000000000001</v>
      </c>
      <c r="G53" t="s">
        <v>903</v>
      </c>
      <c r="H53">
        <f>(IF(G53='base para costos'!$G$3,'base para costos'!$H$3)+IF(G53='base para costos'!$G$4,'base para costos'!$H$4)+IF(G53='base para costos'!$G$5,'base para costos'!$H$5)+IF(G53='base para costos'!$G$6,'base para costos'!$H$6)+IF(G53='base para costos'!$G$7,'base para costos'!$H$7)+IF(G53='base para costos'!$G$8,'base para costos'!$H$8)+IF(G53='base para costos'!$G$9,'base para costos'!$H$9)+IF(G53='base para costos'!$G$10,'base para costos'!$H$10)+IF(G53='base para costos'!$G$11,'base para costos'!$H$11))</f>
        <v>0</v>
      </c>
      <c r="I53">
        <f>(C53/(('base para costos'!$J$3-D53)/100))</f>
        <v>4086.5567010309278</v>
      </c>
      <c r="J53">
        <f>(C53/(('base para costos'!$J$3-D53)/100-(0.08)))</f>
        <v>4453.8876404494385</v>
      </c>
      <c r="K53">
        <f>(D53+8+1.2)+(F53+H53)</f>
        <v>28.535</v>
      </c>
      <c r="M53">
        <f>L53*1.21</f>
        <v>0</v>
      </c>
      <c r="N53">
        <f>C53/((100-K53)/100)+M53</f>
        <v>5546.7151752606169</v>
      </c>
      <c r="O53" t="s">
        <v>793</v>
      </c>
      <c r="P53" t="s">
        <v>792</v>
      </c>
    </row>
    <row r="55" spans="1:16" x14ac:dyDescent="0.25">
      <c r="A55" t="s">
        <v>817</v>
      </c>
      <c r="B55" t="s">
        <v>818</v>
      </c>
      <c r="C55">
        <v>2838.19</v>
      </c>
      <c r="D55">
        <v>3</v>
      </c>
      <c r="E55">
        <v>15.5</v>
      </c>
      <c r="F55">
        <f>E55*1.21</f>
        <v>18.754999999999999</v>
      </c>
      <c r="G55" t="s">
        <v>903</v>
      </c>
      <c r="H55">
        <f>(IF(G55='base para costos'!$G$3,'base para costos'!$H$3)+IF(G55='base para costos'!$G$4,'base para costos'!$H$4)+IF(G55='base para costos'!$G$5,'base para costos'!$H$5)+IF(G55='base para costos'!$G$6,'base para costos'!$H$6)+IF(G55='base para costos'!$G$7,'base para costos'!$H$7)+IF(G55='base para costos'!$G$8,'base para costos'!$H$8)+IF(G55='base para costos'!$G$9,'base para costos'!$H$9)+IF(G55='base para costos'!$G$10,'base para costos'!$H$10)+IF(G55='base para costos'!$G$11,'base para costos'!$H$11))</f>
        <v>0</v>
      </c>
      <c r="I55">
        <f>(C55/(('base para costos'!$J$3-D55)/100))</f>
        <v>2925.9690721649486</v>
      </c>
      <c r="J55">
        <f>(C55/(('base para costos'!$J$3-D55)/100-(0.08)))</f>
        <v>3188.9775280898875</v>
      </c>
      <c r="K55">
        <f>(D55+8+1.2)+(F55+H55)</f>
        <v>30.954999999999998</v>
      </c>
      <c r="M55">
        <f>L55*1.21</f>
        <v>0</v>
      </c>
      <c r="N55">
        <f>C55/((100-K55)/100)+M55</f>
        <v>4110.6379897168517</v>
      </c>
      <c r="O55" t="s">
        <v>153</v>
      </c>
      <c r="P55" t="s">
        <v>819</v>
      </c>
    </row>
    <row r="57" spans="1:16" x14ac:dyDescent="0.25">
      <c r="A57" t="s">
        <v>622</v>
      </c>
      <c r="B57" t="s">
        <v>623</v>
      </c>
      <c r="C57">
        <v>6500</v>
      </c>
      <c r="D57">
        <v>3</v>
      </c>
      <c r="E57">
        <v>13.5</v>
      </c>
      <c r="F57">
        <f>E57*1.21</f>
        <v>16.335000000000001</v>
      </c>
      <c r="G57" t="s">
        <v>903</v>
      </c>
      <c r="H57">
        <f>(IF(G57='base para costos'!$G$3,'base para costos'!$H$3)+IF(G57='base para costos'!$G$4,'base para costos'!$H$4)+IF(G57='base para costos'!$G$5,'base para costos'!$H$5)+IF(G57='base para costos'!$G$6,'base para costos'!$H$6)+IF(G57='base para costos'!$G$7,'base para costos'!$H$7)+IF(G57='base para costos'!$G$8,'base para costos'!$H$8)+IF(G57='base para costos'!$G$9,'base para costos'!$H$9)+IF(G57='base para costos'!$G$10,'base para costos'!$H$10)+IF(G57='base para costos'!$G$11,'base para costos'!$H$11))</f>
        <v>0</v>
      </c>
      <c r="I57">
        <f>(C57/(('base para costos'!$J$3-D57)/100))</f>
        <v>6701.0309278350514</v>
      </c>
      <c r="J57">
        <f>(C57/(('base para costos'!$J$3-D57)/100-(0.08)))</f>
        <v>7303.3707865168535</v>
      </c>
      <c r="K57">
        <f>(D57+8+1.2)+(F57+H57)</f>
        <v>28.535</v>
      </c>
      <c r="M57">
        <f>L57*1.21</f>
        <v>0</v>
      </c>
      <c r="N57">
        <f>C57/((100-K57)/100)+M57</f>
        <v>9095.3613657034912</v>
      </c>
      <c r="O57" t="s">
        <v>608</v>
      </c>
      <c r="P57" t="s">
        <v>607</v>
      </c>
    </row>
    <row r="59" spans="1:16" x14ac:dyDescent="0.25">
      <c r="A59" t="s">
        <v>626</v>
      </c>
      <c r="B59" t="s">
        <v>627</v>
      </c>
      <c r="C59">
        <v>6435</v>
      </c>
      <c r="D59">
        <v>3</v>
      </c>
      <c r="E59">
        <v>16.5</v>
      </c>
      <c r="F59">
        <f>E59*1.21</f>
        <v>19.965</v>
      </c>
      <c r="G59" t="s">
        <v>903</v>
      </c>
      <c r="H59">
        <f>(IF(G59='base para costos'!$G$3,'base para costos'!$H$3)+IF(G59='base para costos'!$G$4,'base para costos'!$H$4)+IF(G59='base para costos'!$G$5,'base para costos'!$H$5)+IF(G59='base para costos'!$G$6,'base para costos'!$H$6)+IF(G59='base para costos'!$G$7,'base para costos'!$H$7)+IF(G59='base para costos'!$G$8,'base para costos'!$H$8)+IF(G59='base para costos'!$G$9,'base para costos'!$H$9)+IF(G59='base para costos'!$G$10,'base para costos'!$H$10)+IF(G59='base para costos'!$G$11,'base para costos'!$H$11))</f>
        <v>0</v>
      </c>
      <c r="I59">
        <f>(C59/(('base para costos'!$J$3-D59)/100))</f>
        <v>6634.0206185567013</v>
      </c>
      <c r="J59">
        <f>(C59/(('base para costos'!$J$3-D59)/100-(0.08)))</f>
        <v>7230.3370786516853</v>
      </c>
      <c r="K59">
        <f>(D59+8+1.2)+(F59+H59)</f>
        <v>32.164999999999999</v>
      </c>
      <c r="M59">
        <f>L59*1.21</f>
        <v>0</v>
      </c>
      <c r="N59">
        <f>C59/((100-K59)/100)+M59</f>
        <v>9486.2534090071476</v>
      </c>
      <c r="O59" t="s">
        <v>153</v>
      </c>
      <c r="P59" t="s">
        <v>508</v>
      </c>
    </row>
    <row r="61" spans="1:16" x14ac:dyDescent="0.25">
      <c r="A61" t="s">
        <v>631</v>
      </c>
      <c r="B61" t="s">
        <v>632</v>
      </c>
      <c r="C61">
        <v>12664.07</v>
      </c>
      <c r="D61">
        <v>3</v>
      </c>
      <c r="E61">
        <v>12.15</v>
      </c>
      <c r="F61">
        <f>E61*1.21</f>
        <v>14.701499999999999</v>
      </c>
      <c r="G61" t="s">
        <v>903</v>
      </c>
      <c r="H61">
        <f>(IF(G61='base para costos'!$G$3,'base para costos'!$H$3)+IF(G61='base para costos'!$G$4,'base para costos'!$H$4)+IF(G61='base para costos'!$G$5,'base para costos'!$H$5)+IF(G61='base para costos'!$G$6,'base para costos'!$H$6)+IF(G61='base para costos'!$G$7,'base para costos'!$H$7)+IF(G61='base para costos'!$G$8,'base para costos'!$H$8)+IF(G61='base para costos'!$G$9,'base para costos'!$H$9)+IF(G61='base para costos'!$G$10,'base para costos'!$H$10)+IF(G61='base para costos'!$G$11,'base para costos'!$H$11))</f>
        <v>0</v>
      </c>
      <c r="I61">
        <f>(C61/(('base para costos'!$J$3-D61)/100))</f>
        <v>13055.742268041236</v>
      </c>
      <c r="J61">
        <f>(C61/(('base para costos'!$J$3-D61)/100-(0.08)))</f>
        <v>14229.292134831459</v>
      </c>
      <c r="K61">
        <f>(D61+8+1.2)+(F61+H61)</f>
        <v>26.901499999999999</v>
      </c>
      <c r="M61">
        <f>L61*1.21</f>
        <v>0</v>
      </c>
      <c r="N61">
        <f>C61/((100-K61)/100)+M61</f>
        <v>17324.664664801603</v>
      </c>
      <c r="O61" t="s">
        <v>156</v>
      </c>
      <c r="P61" t="s">
        <v>472</v>
      </c>
    </row>
    <row r="63" spans="1:16" x14ac:dyDescent="0.25">
      <c r="A63" t="s">
        <v>609</v>
      </c>
      <c r="B63" t="s">
        <v>610</v>
      </c>
      <c r="C63">
        <v>7200</v>
      </c>
      <c r="D63">
        <v>3</v>
      </c>
      <c r="E63">
        <v>14.5</v>
      </c>
      <c r="F63">
        <f>E63*1.21</f>
        <v>17.544999999999998</v>
      </c>
      <c r="G63" t="s">
        <v>903</v>
      </c>
      <c r="H63">
        <f>(IF(G63='base para costos'!$G$3,'base para costos'!$H$3)+IF(G63='base para costos'!$G$4,'base para costos'!$H$4)+IF(G63='base para costos'!$G$5,'base para costos'!$H$5)+IF(G63='base para costos'!$G$6,'base para costos'!$H$6)+IF(G63='base para costos'!$G$7,'base para costos'!$H$7)+IF(G63='base para costos'!$G$8,'base para costos'!$H$8)+IF(G63='base para costos'!$G$9,'base para costos'!$H$9)+IF(G63='base para costos'!$G$10,'base para costos'!$H$10)+IF(G63='base para costos'!$G$11,'base para costos'!$H$11))</f>
        <v>0</v>
      </c>
      <c r="I63">
        <f>(C63/(('base para costos'!$J$3-D63)/100))</f>
        <v>7422.6804123711345</v>
      </c>
      <c r="J63">
        <f>(C63/(('base para costos'!$J$3-D63)/100-(0.08)))</f>
        <v>8089.8876404494376</v>
      </c>
      <c r="K63">
        <f>(D63+8+1.2)+(F63+H63)</f>
        <v>29.744999999999997</v>
      </c>
      <c r="M63">
        <f>L63*1.21</f>
        <v>0</v>
      </c>
      <c r="N63">
        <f>C63/((100-K63)/100)+M63</f>
        <v>10248.380898156714</v>
      </c>
      <c r="O63" t="s">
        <v>230</v>
      </c>
      <c r="P63" t="s">
        <v>611</v>
      </c>
    </row>
    <row r="65" spans="1:16" x14ac:dyDescent="0.25">
      <c r="A65" t="s">
        <v>579</v>
      </c>
      <c r="B65" t="s">
        <v>580</v>
      </c>
      <c r="C65">
        <v>16900</v>
      </c>
      <c r="D65">
        <v>3</v>
      </c>
      <c r="E65">
        <v>16</v>
      </c>
      <c r="F65">
        <f>E65*1.21</f>
        <v>19.36</v>
      </c>
      <c r="G65" t="s">
        <v>903</v>
      </c>
      <c r="H65">
        <f>(IF(G65='base para costos'!$G$3,'base para costos'!$H$3)+IF(G65='base para costos'!$G$4,'base para costos'!$H$4)+IF(G65='base para costos'!$G$5,'base para costos'!$H$5)+IF(G65='base para costos'!$G$6,'base para costos'!$H$6)+IF(G65='base para costos'!$G$7,'base para costos'!$H$7)+IF(G65='base para costos'!$G$8,'base para costos'!$H$8)+IF(G65='base para costos'!$G$9,'base para costos'!$H$9)+IF(G65='base para costos'!$G$10,'base para costos'!$H$10)+IF(G65='base para costos'!$G$11,'base para costos'!$H$11))</f>
        <v>0</v>
      </c>
      <c r="I65">
        <f>(C65/(('base para costos'!$J$3-D65)/100))</f>
        <v>17422.680412371134</v>
      </c>
      <c r="J65">
        <f>(C65/(('base para costos'!$J$3-D65)/100-(0.08)))</f>
        <v>18988.764044943819</v>
      </c>
      <c r="K65">
        <f>(D65+8+1.2)+(F65+H65)</f>
        <v>31.56</v>
      </c>
      <c r="M65">
        <f>L65*1.21</f>
        <v>0</v>
      </c>
      <c r="N65">
        <f>C65/((100-K65)/100)+M65</f>
        <v>24693.161893629454</v>
      </c>
      <c r="O65" t="s">
        <v>153</v>
      </c>
      <c r="P65" t="s">
        <v>581</v>
      </c>
    </row>
    <row r="67" spans="1:16" x14ac:dyDescent="0.25">
      <c r="A67" t="s">
        <v>554</v>
      </c>
      <c r="B67" t="s">
        <v>555</v>
      </c>
      <c r="C67">
        <v>18720</v>
      </c>
      <c r="D67">
        <v>3</v>
      </c>
      <c r="E67">
        <v>13.65</v>
      </c>
      <c r="F67">
        <f t="shared" ref="F67:F87" si="9">E67*1.21</f>
        <v>16.516500000000001</v>
      </c>
      <c r="G67" t="s">
        <v>903</v>
      </c>
      <c r="H67">
        <f>(IF(G67='base para costos'!$G$3,'base para costos'!$H$3)+IF(G67='base para costos'!$G$4,'base para costos'!$H$4)+IF(G67='base para costos'!$G$5,'base para costos'!$H$5)+IF(G67='base para costos'!$G$6,'base para costos'!$H$6)+IF(G67='base para costos'!$G$7,'base para costos'!$H$7)+IF(G67='base para costos'!$G$8,'base para costos'!$H$8)+IF(G67='base para costos'!$G$9,'base para costos'!$H$9)+IF(G67='base para costos'!$G$10,'base para costos'!$H$10)+IF(G67='base para costos'!$G$11,'base para costos'!$H$11))</f>
        <v>0</v>
      </c>
      <c r="I67">
        <f>(C67/(('base para costos'!$J$3-D67)/100))</f>
        <v>19298.969072164949</v>
      </c>
      <c r="J67">
        <f>(C67/(('base para costos'!$J$3-D67)/100-(0.08)))</f>
        <v>21033.707865168541</v>
      </c>
      <c r="K67">
        <f t="shared" ref="K67:K87" si="10">(D67+8+1.2)+(F67+H67)</f>
        <v>28.7165</v>
      </c>
      <c r="M67">
        <f t="shared" ref="M67:M87" si="11">L67*1.21</f>
        <v>0</v>
      </c>
      <c r="N67">
        <f t="shared" ref="N67:N87" si="12">C67/((100-K67)/100)+M67</f>
        <v>26261.336774990006</v>
      </c>
      <c r="O67" t="s">
        <v>557</v>
      </c>
      <c r="P67" t="s">
        <v>556</v>
      </c>
    </row>
    <row r="68" spans="1:16" x14ac:dyDescent="0.25">
      <c r="A68" t="s">
        <v>728</v>
      </c>
      <c r="B68" t="s">
        <v>729</v>
      </c>
      <c r="C68">
        <v>6376.49</v>
      </c>
      <c r="D68">
        <v>3</v>
      </c>
      <c r="E68">
        <v>16</v>
      </c>
      <c r="F68">
        <f t="shared" si="9"/>
        <v>19.36</v>
      </c>
      <c r="G68" t="s">
        <v>903</v>
      </c>
      <c r="H68">
        <f>(IF(G68='base para costos'!$G$3,'base para costos'!$H$3)+IF(G68='base para costos'!$G$4,'base para costos'!$H$4)+IF(G68='base para costos'!$G$5,'base para costos'!$H$5)+IF(G68='base para costos'!$G$6,'base para costos'!$H$6)+IF(G68='base para costos'!$G$7,'base para costos'!$H$7)+IF(G68='base para costos'!$G$8,'base para costos'!$H$8)+IF(G68='base para costos'!$G$9,'base para costos'!$H$9)+IF(G68='base para costos'!$G$10,'base para costos'!$H$10)+IF(G68='base para costos'!$G$11,'base para costos'!$H$11))</f>
        <v>0</v>
      </c>
      <c r="I68">
        <f>(C68/(('base para costos'!$J$3-D68)/100))</f>
        <v>6573.7010309278348</v>
      </c>
      <c r="J68">
        <f>(C68/(('base para costos'!$J$3-D68)/100-(0.08)))</f>
        <v>7164.5955056179773</v>
      </c>
      <c r="K68">
        <f t="shared" si="10"/>
        <v>31.56</v>
      </c>
      <c r="M68">
        <f t="shared" si="11"/>
        <v>0</v>
      </c>
      <c r="N68">
        <f t="shared" si="12"/>
        <v>9316.9053185271769</v>
      </c>
      <c r="O68" t="s">
        <v>230</v>
      </c>
      <c r="P68" t="s">
        <v>581</v>
      </c>
    </row>
    <row r="69" spans="1:16" x14ac:dyDescent="0.25">
      <c r="A69" t="s">
        <v>740</v>
      </c>
      <c r="B69" t="s">
        <v>741</v>
      </c>
      <c r="C69">
        <v>5795.8</v>
      </c>
      <c r="D69">
        <v>3</v>
      </c>
      <c r="E69">
        <v>16</v>
      </c>
      <c r="F69">
        <f t="shared" si="9"/>
        <v>19.36</v>
      </c>
      <c r="G69" t="s">
        <v>903</v>
      </c>
      <c r="H69">
        <f>(IF(G69='base para costos'!$G$3,'base para costos'!$H$3)+IF(G69='base para costos'!$G$4,'base para costos'!$H$4)+IF(G69='base para costos'!$G$5,'base para costos'!$H$5)+IF(G69='base para costos'!$G$6,'base para costos'!$H$6)+IF(G69='base para costos'!$G$7,'base para costos'!$H$7)+IF(G69='base para costos'!$G$8,'base para costos'!$H$8)+IF(G69='base para costos'!$G$9,'base para costos'!$H$9)+IF(G69='base para costos'!$G$10,'base para costos'!$H$10)+IF(G69='base para costos'!$G$11,'base para costos'!$H$11))</f>
        <v>0</v>
      </c>
      <c r="I69">
        <f>(C69/(('base para costos'!$J$3-D69)/100))</f>
        <v>5975.0515463917527</v>
      </c>
      <c r="J69">
        <f>(C69/(('base para costos'!$J$3-D69)/100-(0.08)))</f>
        <v>6512.1348314606739</v>
      </c>
      <c r="K69">
        <f t="shared" si="10"/>
        <v>31.56</v>
      </c>
      <c r="M69">
        <f t="shared" si="11"/>
        <v>0</v>
      </c>
      <c r="N69">
        <f t="shared" si="12"/>
        <v>8468.4395090590297</v>
      </c>
      <c r="O69" t="s">
        <v>742</v>
      </c>
      <c r="P69" t="s">
        <v>106</v>
      </c>
    </row>
    <row r="70" spans="1:16" x14ac:dyDescent="0.25">
      <c r="A70" t="s">
        <v>730</v>
      </c>
      <c r="B70" t="s">
        <v>731</v>
      </c>
      <c r="C70">
        <v>6175.01</v>
      </c>
      <c r="D70">
        <v>3</v>
      </c>
      <c r="E70">
        <v>15.5</v>
      </c>
      <c r="F70">
        <f t="shared" si="9"/>
        <v>18.754999999999999</v>
      </c>
      <c r="G70" t="s">
        <v>903</v>
      </c>
      <c r="H70">
        <f>(IF(G70='base para costos'!$G$3,'base para costos'!$H$3)+IF(G70='base para costos'!$G$4,'base para costos'!$H$4)+IF(G70='base para costos'!$G$5,'base para costos'!$H$5)+IF(G70='base para costos'!$G$6,'base para costos'!$H$6)+IF(G70='base para costos'!$G$7,'base para costos'!$H$7)+IF(G70='base para costos'!$G$8,'base para costos'!$H$8)+IF(G70='base para costos'!$G$9,'base para costos'!$H$9)+IF(G70='base para costos'!$G$10,'base para costos'!$H$10)+IF(G70='base para costos'!$G$11,'base para costos'!$H$11))</f>
        <v>0</v>
      </c>
      <c r="I70">
        <f>(C70/(('base para costos'!$J$3-D70)/100))</f>
        <v>6365.9896907216498</v>
      </c>
      <c r="J70">
        <f>(C70/(('base para costos'!$J$3-D70)/100-(0.08)))</f>
        <v>6938.2134831460671</v>
      </c>
      <c r="K70">
        <f t="shared" si="10"/>
        <v>30.954999999999998</v>
      </c>
      <c r="M70">
        <f t="shared" si="11"/>
        <v>0</v>
      </c>
      <c r="N70">
        <f t="shared" si="12"/>
        <v>8943.4571656166263</v>
      </c>
      <c r="O70" t="s">
        <v>149</v>
      </c>
      <c r="P70" t="s">
        <v>206</v>
      </c>
    </row>
    <row r="71" spans="1:16" x14ac:dyDescent="0.25">
      <c r="A71" t="s">
        <v>732</v>
      </c>
      <c r="B71" t="s">
        <v>733</v>
      </c>
      <c r="C71">
        <v>6175.01</v>
      </c>
      <c r="D71">
        <v>3</v>
      </c>
      <c r="E71">
        <v>16.5</v>
      </c>
      <c r="F71">
        <f t="shared" si="9"/>
        <v>19.965</v>
      </c>
      <c r="G71" t="s">
        <v>903</v>
      </c>
      <c r="H71">
        <f>(IF(G71='base para costos'!$G$3,'base para costos'!$H$3)+IF(G71='base para costos'!$G$4,'base para costos'!$H$4)+IF(G71='base para costos'!$G$5,'base para costos'!$H$5)+IF(G71='base para costos'!$G$6,'base para costos'!$H$6)+IF(G71='base para costos'!$G$7,'base para costos'!$H$7)+IF(G71='base para costos'!$G$8,'base para costos'!$H$8)+IF(G71='base para costos'!$G$9,'base para costos'!$H$9)+IF(G71='base para costos'!$G$10,'base para costos'!$H$10)+IF(G71='base para costos'!$G$11,'base para costos'!$H$11))</f>
        <v>0</v>
      </c>
      <c r="I71">
        <f>(C71/(('base para costos'!$J$3-D71)/100))</f>
        <v>6365.9896907216498</v>
      </c>
      <c r="J71">
        <f>(C71/(('base para costos'!$J$3-D71)/100-(0.08)))</f>
        <v>6938.2134831460671</v>
      </c>
      <c r="K71">
        <f t="shared" si="10"/>
        <v>32.164999999999999</v>
      </c>
      <c r="M71">
        <f t="shared" si="11"/>
        <v>0</v>
      </c>
      <c r="N71">
        <f t="shared" si="12"/>
        <v>9102.9851846391975</v>
      </c>
      <c r="O71" t="s">
        <v>230</v>
      </c>
      <c r="P71" t="s">
        <v>508</v>
      </c>
    </row>
    <row r="72" spans="1:16" x14ac:dyDescent="0.25">
      <c r="A72" t="s">
        <v>633</v>
      </c>
      <c r="B72" t="s">
        <v>634</v>
      </c>
      <c r="C72">
        <v>12352.66</v>
      </c>
      <c r="D72">
        <v>10</v>
      </c>
      <c r="E72">
        <v>15.5</v>
      </c>
      <c r="F72">
        <f t="shared" si="9"/>
        <v>18.754999999999999</v>
      </c>
      <c r="G72" t="s">
        <v>903</v>
      </c>
      <c r="H72">
        <f>(IF(G72='base para costos'!$G$3,'base para costos'!$H$3)+IF(G72='base para costos'!$G$4,'base para costos'!$H$4)+IF(G72='base para costos'!$G$5,'base para costos'!$H$5)+IF(G72='base para costos'!$G$6,'base para costos'!$H$6)+IF(G72='base para costos'!$G$7,'base para costos'!$H$7)+IF(G72='base para costos'!$G$8,'base para costos'!$H$8)+IF(G72='base para costos'!$G$9,'base para costos'!$H$9)+IF(G72='base para costos'!$G$10,'base para costos'!$H$10)+IF(G72='base para costos'!$G$11,'base para costos'!$H$11))</f>
        <v>0</v>
      </c>
      <c r="I72">
        <f>(C72/(('base para costos'!$J$3-D72)/100))</f>
        <v>13725.177777777777</v>
      </c>
      <c r="J72">
        <f>(C72/(('base para costos'!$J$3-D72)/100-(0.08)))</f>
        <v>15064.219512195121</v>
      </c>
      <c r="K72">
        <f t="shared" si="10"/>
        <v>37.954999999999998</v>
      </c>
      <c r="M72">
        <f t="shared" si="11"/>
        <v>0</v>
      </c>
      <c r="N72">
        <f t="shared" si="12"/>
        <v>19909.19493915706</v>
      </c>
      <c r="O72" t="s">
        <v>153</v>
      </c>
      <c r="P72" t="s">
        <v>411</v>
      </c>
    </row>
    <row r="73" spans="1:16" x14ac:dyDescent="0.25">
      <c r="A73" t="s">
        <v>567</v>
      </c>
      <c r="B73" t="s">
        <v>568</v>
      </c>
      <c r="C73">
        <v>5790</v>
      </c>
      <c r="D73">
        <v>3</v>
      </c>
      <c r="E73">
        <v>12.65</v>
      </c>
      <c r="F73">
        <f t="shared" si="9"/>
        <v>15.3065</v>
      </c>
      <c r="G73" t="s">
        <v>903</v>
      </c>
      <c r="H73">
        <f>(IF(G73='base para costos'!$G$3,'base para costos'!$H$3)+IF(G73='base para costos'!$G$4,'base para costos'!$H$4)+IF(G73='base para costos'!$G$5,'base para costos'!$H$5)+IF(G73='base para costos'!$G$6,'base para costos'!$H$6)+IF(G73='base para costos'!$G$7,'base para costos'!$H$7)+IF(G73='base para costos'!$G$8,'base para costos'!$H$8)+IF(G73='base para costos'!$G$9,'base para costos'!$H$9)+IF(G73='base para costos'!$G$10,'base para costos'!$H$10)+IF(G73='base para costos'!$G$11,'base para costos'!$H$11))</f>
        <v>0</v>
      </c>
      <c r="I73">
        <f>(C73/(('base para costos'!$J$3-D73)/100))</f>
        <v>5969.072164948454</v>
      </c>
      <c r="J73">
        <f>(C73/(('base para costos'!$J$3-D73)/100-(0.08)))</f>
        <v>6505.6179775280898</v>
      </c>
      <c r="K73">
        <f t="shared" si="10"/>
        <v>27.506499999999999</v>
      </c>
      <c r="M73">
        <f t="shared" si="11"/>
        <v>0</v>
      </c>
      <c r="N73">
        <f t="shared" si="12"/>
        <v>7986.9229655072522</v>
      </c>
      <c r="O73" t="s">
        <v>230</v>
      </c>
      <c r="P73" t="s">
        <v>277</v>
      </c>
    </row>
    <row r="74" spans="1:16" x14ac:dyDescent="0.25">
      <c r="A74" t="s">
        <v>743</v>
      </c>
      <c r="B74" t="s">
        <v>744</v>
      </c>
      <c r="C74">
        <v>5752.7</v>
      </c>
      <c r="D74">
        <v>3</v>
      </c>
      <c r="E74">
        <v>12.65</v>
      </c>
      <c r="F74">
        <f t="shared" si="9"/>
        <v>15.3065</v>
      </c>
      <c r="G74" t="s">
        <v>903</v>
      </c>
      <c r="H74">
        <f>(IF(G74='base para costos'!$G$3,'base para costos'!$H$3)+IF(G74='base para costos'!$G$4,'base para costos'!$H$4)+IF(G74='base para costos'!$G$5,'base para costos'!$H$5)+IF(G74='base para costos'!$G$6,'base para costos'!$H$6)+IF(G74='base para costos'!$G$7,'base para costos'!$H$7)+IF(G74='base para costos'!$G$8,'base para costos'!$H$8)+IF(G74='base para costos'!$G$9,'base para costos'!$H$9)+IF(G74='base para costos'!$G$10,'base para costos'!$H$10)+IF(G74='base para costos'!$G$11,'base para costos'!$H$11))</f>
        <v>0</v>
      </c>
      <c r="I74">
        <f>(C74/(('base para costos'!$J$3-D74)/100))</f>
        <v>5930.6185567010307</v>
      </c>
      <c r="J74">
        <f>(C74/(('base para costos'!$J$3-D74)/100-(0.08)))</f>
        <v>6463.7078651685388</v>
      </c>
      <c r="K74">
        <f t="shared" si="10"/>
        <v>27.506499999999999</v>
      </c>
      <c r="M74">
        <f t="shared" si="11"/>
        <v>0</v>
      </c>
      <c r="N74">
        <f t="shared" si="12"/>
        <v>7935.4700766275591</v>
      </c>
      <c r="O74" t="s">
        <v>230</v>
      </c>
      <c r="P74" t="s">
        <v>277</v>
      </c>
    </row>
    <row r="75" spans="1:16" x14ac:dyDescent="0.25">
      <c r="A75" t="s">
        <v>856</v>
      </c>
      <c r="B75" t="s">
        <v>857</v>
      </c>
      <c r="C75">
        <v>29.45</v>
      </c>
      <c r="D75">
        <v>3</v>
      </c>
      <c r="E75">
        <v>15.5</v>
      </c>
      <c r="F75">
        <f t="shared" si="9"/>
        <v>18.754999999999999</v>
      </c>
      <c r="G75" t="s">
        <v>903</v>
      </c>
      <c r="H75">
        <f>(IF(G75='base para costos'!$G$3,'base para costos'!$H$3)+IF(G75='base para costos'!$G$4,'base para costos'!$H$4)+IF(G75='base para costos'!$G$5,'base para costos'!$H$5)+IF(G75='base para costos'!$G$6,'base para costos'!$H$6)+IF(G75='base para costos'!$G$7,'base para costos'!$H$7)+IF(G75='base para costos'!$G$8,'base para costos'!$H$8)+IF(G75='base para costos'!$G$9,'base para costos'!$H$9)+IF(G75='base para costos'!$G$10,'base para costos'!$H$10)+IF(G75='base para costos'!$G$11,'base para costos'!$H$11))</f>
        <v>0</v>
      </c>
      <c r="I75">
        <f>(C75/(('base para costos'!$J$3-D75)/100))</f>
        <v>30.36082474226804</v>
      </c>
      <c r="J75">
        <f>(C75/(('base para costos'!$J$3-D75)/100-(0.08)))</f>
        <v>33.08988764044944</v>
      </c>
      <c r="K75">
        <f t="shared" si="10"/>
        <v>30.954999999999998</v>
      </c>
      <c r="M75">
        <f t="shared" si="11"/>
        <v>0</v>
      </c>
      <c r="N75">
        <f t="shared" si="12"/>
        <v>42.653342023318125</v>
      </c>
      <c r="O75" t="s">
        <v>858</v>
      </c>
      <c r="P75" t="s">
        <v>324</v>
      </c>
    </row>
    <row r="76" spans="1:16" x14ac:dyDescent="0.25">
      <c r="A76" t="s">
        <v>657</v>
      </c>
      <c r="B76" t="s">
        <v>658</v>
      </c>
      <c r="C76">
        <v>11050</v>
      </c>
      <c r="D76">
        <v>3</v>
      </c>
      <c r="E76">
        <v>16</v>
      </c>
      <c r="F76">
        <f t="shared" si="9"/>
        <v>19.36</v>
      </c>
      <c r="G76" t="s">
        <v>903</v>
      </c>
      <c r="H76">
        <f>(IF(G76='base para costos'!$G$3,'base para costos'!$H$3)+IF(G76='base para costos'!$G$4,'base para costos'!$H$4)+IF(G76='base para costos'!$G$5,'base para costos'!$H$5)+IF(G76='base para costos'!$G$6,'base para costos'!$H$6)+IF(G76='base para costos'!$G$7,'base para costos'!$H$7)+IF(G76='base para costos'!$G$8,'base para costos'!$H$8)+IF(G76='base para costos'!$G$9,'base para costos'!$H$9)+IF(G76='base para costos'!$G$10,'base para costos'!$H$10)+IF(G76='base para costos'!$G$11,'base para costos'!$H$11))</f>
        <v>0</v>
      </c>
      <c r="I76">
        <f>(C76/(('base para costos'!$J$3-D76)/100))</f>
        <v>11391.752577319588</v>
      </c>
      <c r="J76">
        <f>(C76/(('base para costos'!$J$3-D76)/100-(0.08)))</f>
        <v>12415.730337078652</v>
      </c>
      <c r="K76">
        <f t="shared" si="10"/>
        <v>31.56</v>
      </c>
      <c r="M76">
        <f t="shared" si="11"/>
        <v>0</v>
      </c>
      <c r="N76">
        <f t="shared" si="12"/>
        <v>16145.528930450029</v>
      </c>
      <c r="O76" t="s">
        <v>659</v>
      </c>
      <c r="P76" t="s">
        <v>233</v>
      </c>
    </row>
    <row r="77" spans="1:16" x14ac:dyDescent="0.25">
      <c r="A77" t="s">
        <v>840</v>
      </c>
      <c r="B77" t="s">
        <v>841</v>
      </c>
      <c r="C77">
        <v>858</v>
      </c>
      <c r="D77">
        <v>3</v>
      </c>
      <c r="E77">
        <v>16</v>
      </c>
      <c r="F77">
        <f t="shared" si="9"/>
        <v>19.36</v>
      </c>
      <c r="G77" t="s">
        <v>903</v>
      </c>
      <c r="H77">
        <f>(IF(G77='base para costos'!$G$3,'base para costos'!$H$3)+IF(G77='base para costos'!$G$4,'base para costos'!$H$4)+IF(G77='base para costos'!$G$5,'base para costos'!$H$5)+IF(G77='base para costos'!$G$6,'base para costos'!$H$6)+IF(G77='base para costos'!$G$7,'base para costos'!$H$7)+IF(G77='base para costos'!$G$8,'base para costos'!$H$8)+IF(G77='base para costos'!$G$9,'base para costos'!$H$9)+IF(G77='base para costos'!$G$10,'base para costos'!$H$10)+IF(G77='base para costos'!$G$11,'base para costos'!$H$11))</f>
        <v>0</v>
      </c>
      <c r="I77">
        <f>(C77/(('base para costos'!$J$3-D77)/100))</f>
        <v>884.53608247422687</v>
      </c>
      <c r="J77">
        <f>(C77/(('base para costos'!$J$3-D77)/100-(0.08)))</f>
        <v>964.04494382022472</v>
      </c>
      <c r="K77">
        <f t="shared" si="10"/>
        <v>31.56</v>
      </c>
      <c r="M77">
        <f t="shared" si="11"/>
        <v>0</v>
      </c>
      <c r="N77">
        <f t="shared" si="12"/>
        <v>1253.6528345996494</v>
      </c>
      <c r="O77" t="s">
        <v>503</v>
      </c>
      <c r="P77" t="s">
        <v>233</v>
      </c>
    </row>
    <row r="78" spans="1:16" x14ac:dyDescent="0.25">
      <c r="A78" t="s">
        <v>700</v>
      </c>
      <c r="B78" t="s">
        <v>701</v>
      </c>
      <c r="C78">
        <v>7800</v>
      </c>
      <c r="D78">
        <v>3</v>
      </c>
      <c r="E78">
        <v>16</v>
      </c>
      <c r="F78">
        <f t="shared" si="9"/>
        <v>19.36</v>
      </c>
      <c r="G78" t="s">
        <v>903</v>
      </c>
      <c r="H78">
        <f>(IF(G78='base para costos'!$G$3,'base para costos'!$H$3)+IF(G78='base para costos'!$G$4,'base para costos'!$H$4)+IF(G78='base para costos'!$G$5,'base para costos'!$H$5)+IF(G78='base para costos'!$G$6,'base para costos'!$H$6)+IF(G78='base para costos'!$G$7,'base para costos'!$H$7)+IF(G78='base para costos'!$G$8,'base para costos'!$H$8)+IF(G78='base para costos'!$G$9,'base para costos'!$H$9)+IF(G78='base para costos'!$G$10,'base para costos'!$H$10)+IF(G78='base para costos'!$G$11,'base para costos'!$H$11))</f>
        <v>0</v>
      </c>
      <c r="I78">
        <f>(C78/(('base para costos'!$J$3-D78)/100))</f>
        <v>8041.2371134020623</v>
      </c>
      <c r="J78">
        <f>(C78/(('base para costos'!$J$3-D78)/100-(0.08)))</f>
        <v>8764.0449438202249</v>
      </c>
      <c r="K78">
        <f t="shared" si="10"/>
        <v>31.56</v>
      </c>
      <c r="M78">
        <f t="shared" si="11"/>
        <v>0</v>
      </c>
      <c r="N78">
        <f t="shared" si="12"/>
        <v>11396.843950905903</v>
      </c>
      <c r="O78" t="s">
        <v>230</v>
      </c>
      <c r="P78" t="s">
        <v>233</v>
      </c>
    </row>
    <row r="79" spans="1:16" x14ac:dyDescent="0.25">
      <c r="A79" t="s">
        <v>394</v>
      </c>
      <c r="B79" t="s">
        <v>395</v>
      </c>
      <c r="C79">
        <v>14298.7</v>
      </c>
      <c r="D79">
        <v>3</v>
      </c>
      <c r="E79">
        <v>15.5</v>
      </c>
      <c r="F79">
        <f t="shared" si="9"/>
        <v>18.754999999999999</v>
      </c>
      <c r="G79" t="s">
        <v>903</v>
      </c>
      <c r="H79">
        <f>(IF(G79='base para costos'!$G$3,'base para costos'!$H$3)+IF(G79='base para costos'!$G$4,'base para costos'!$H$4)+IF(G79='base para costos'!$G$5,'base para costos'!$H$5)+IF(G79='base para costos'!$G$6,'base para costos'!$H$6)+IF(G79='base para costos'!$G$7,'base para costos'!$H$7)+IF(G79='base para costos'!$G$8,'base para costos'!$H$8)+IF(G79='base para costos'!$G$9,'base para costos'!$H$9)+IF(G79='base para costos'!$G$10,'base para costos'!$H$10)+IF(G79='base para costos'!$G$11,'base para costos'!$H$11))</f>
        <v>0</v>
      </c>
      <c r="I79">
        <f>(C79/(('base para costos'!$J$3-D79)/100))</f>
        <v>14740.927835051547</v>
      </c>
      <c r="J79">
        <f>(C79/(('base para costos'!$J$3-D79)/100-(0.08)))</f>
        <v>16065.955056179775</v>
      </c>
      <c r="K79">
        <f t="shared" si="10"/>
        <v>30.954999999999998</v>
      </c>
      <c r="M79">
        <f t="shared" si="11"/>
        <v>0</v>
      </c>
      <c r="N79">
        <f t="shared" si="12"/>
        <v>20709.247592150048</v>
      </c>
      <c r="O79" t="s">
        <v>230</v>
      </c>
      <c r="P79" t="s">
        <v>396</v>
      </c>
    </row>
    <row r="80" spans="1:16" x14ac:dyDescent="0.25">
      <c r="A80" t="s">
        <v>599</v>
      </c>
      <c r="B80" t="s">
        <v>600</v>
      </c>
      <c r="C80">
        <v>14999.99</v>
      </c>
      <c r="D80">
        <v>3</v>
      </c>
      <c r="E80">
        <v>15.5</v>
      </c>
      <c r="F80">
        <f t="shared" si="9"/>
        <v>18.754999999999999</v>
      </c>
      <c r="G80" t="s">
        <v>903</v>
      </c>
      <c r="H80">
        <f>(IF(G80='base para costos'!$G$3,'base para costos'!$H$3)+IF(G80='base para costos'!$G$4,'base para costos'!$H$4)+IF(G80='base para costos'!$G$5,'base para costos'!$H$5)+IF(G80='base para costos'!$G$6,'base para costos'!$H$6)+IF(G80='base para costos'!$G$7,'base para costos'!$H$7)+IF(G80='base para costos'!$G$8,'base para costos'!$H$8)+IF(G80='base para costos'!$G$9,'base para costos'!$H$9)+IF(G80='base para costos'!$G$10,'base para costos'!$H$10)+IF(G80='base para costos'!$G$11,'base para costos'!$H$11))</f>
        <v>0</v>
      </c>
      <c r="I80">
        <f>(C80/(('base para costos'!$J$3-D80)/100))</f>
        <v>15463.907216494845</v>
      </c>
      <c r="J80">
        <f>(C80/(('base para costos'!$J$3-D80)/100-(0.08)))</f>
        <v>16853.921348314605</v>
      </c>
      <c r="K80">
        <f t="shared" si="10"/>
        <v>30.954999999999998</v>
      </c>
      <c r="M80">
        <f t="shared" si="11"/>
        <v>0</v>
      </c>
      <c r="N80">
        <f t="shared" si="12"/>
        <v>21724.947498008543</v>
      </c>
      <c r="O80" t="s">
        <v>230</v>
      </c>
      <c r="P80" t="s">
        <v>396</v>
      </c>
    </row>
    <row r="81" spans="1:16" x14ac:dyDescent="0.25">
      <c r="A81" t="s">
        <v>527</v>
      </c>
      <c r="B81" t="s">
        <v>528</v>
      </c>
      <c r="C81">
        <v>11049.34</v>
      </c>
      <c r="D81">
        <v>3</v>
      </c>
      <c r="E81">
        <v>15.5</v>
      </c>
      <c r="F81">
        <f t="shared" si="9"/>
        <v>18.754999999999999</v>
      </c>
      <c r="G81" t="s">
        <v>903</v>
      </c>
      <c r="H81">
        <f>(IF(G81='base para costos'!$G$3,'base para costos'!$H$3)+IF(G81='base para costos'!$G$4,'base para costos'!$H$4)+IF(G81='base para costos'!$G$5,'base para costos'!$H$5)+IF(G81='base para costos'!$G$6,'base para costos'!$H$6)+IF(G81='base para costos'!$G$7,'base para costos'!$H$7)+IF(G81='base para costos'!$G$8,'base para costos'!$H$8)+IF(G81='base para costos'!$G$9,'base para costos'!$H$9)+IF(G81='base para costos'!$G$10,'base para costos'!$H$10)+IF(G81='base para costos'!$G$11,'base para costos'!$H$11))</f>
        <v>0</v>
      </c>
      <c r="I81">
        <f>(C81/(('base para costos'!$J$3-D81)/100))</f>
        <v>11391.072164948455</v>
      </c>
      <c r="J81">
        <f>(C81/(('base para costos'!$J$3-D81)/100-(0.08)))</f>
        <v>12414.988764044943</v>
      </c>
      <c r="K81">
        <f t="shared" si="10"/>
        <v>30.954999999999998</v>
      </c>
      <c r="M81">
        <f t="shared" si="11"/>
        <v>0</v>
      </c>
      <c r="N81">
        <f t="shared" si="12"/>
        <v>16003.099427909334</v>
      </c>
      <c r="O81" t="s">
        <v>230</v>
      </c>
      <c r="P81" t="s">
        <v>396</v>
      </c>
    </row>
    <row r="82" spans="1:16" x14ac:dyDescent="0.25">
      <c r="A82" t="s">
        <v>501</v>
      </c>
      <c r="B82" t="s">
        <v>502</v>
      </c>
      <c r="C82">
        <v>12720.5</v>
      </c>
      <c r="D82">
        <v>3</v>
      </c>
      <c r="E82">
        <v>16</v>
      </c>
      <c r="F82">
        <f t="shared" si="9"/>
        <v>19.36</v>
      </c>
      <c r="G82" t="s">
        <v>903</v>
      </c>
      <c r="H82">
        <f>(IF(G82='base para costos'!$G$3,'base para costos'!$H$3)+IF(G82='base para costos'!$G$4,'base para costos'!$H$4)+IF(G82='base para costos'!$G$5,'base para costos'!$H$5)+IF(G82='base para costos'!$G$6,'base para costos'!$H$6)+IF(G82='base para costos'!$G$7,'base para costos'!$H$7)+IF(G82='base para costos'!$G$8,'base para costos'!$H$8)+IF(G82='base para costos'!$G$9,'base para costos'!$H$9)+IF(G82='base para costos'!$G$10,'base para costos'!$H$10)+IF(G82='base para costos'!$G$11,'base para costos'!$H$11))</f>
        <v>0</v>
      </c>
      <c r="I82">
        <f>(C82/(('base para costos'!$J$3-D82)/100))</f>
        <v>13113.917525773197</v>
      </c>
      <c r="J82">
        <f>(C82/(('base para costos'!$J$3-D82)/100-(0.08)))</f>
        <v>14292.696629213482</v>
      </c>
      <c r="K82">
        <f t="shared" si="10"/>
        <v>31.56</v>
      </c>
      <c r="M82">
        <f t="shared" si="11"/>
        <v>0</v>
      </c>
      <c r="N82">
        <f t="shared" si="12"/>
        <v>18586.353009935709</v>
      </c>
      <c r="O82" t="s">
        <v>503</v>
      </c>
      <c r="P82" t="s">
        <v>233</v>
      </c>
    </row>
    <row r="83" spans="1:16" x14ac:dyDescent="0.25">
      <c r="A83" t="s">
        <v>493</v>
      </c>
      <c r="B83" t="s">
        <v>494</v>
      </c>
      <c r="C83">
        <v>26000</v>
      </c>
      <c r="D83">
        <v>3</v>
      </c>
      <c r="E83">
        <v>15.5</v>
      </c>
      <c r="F83">
        <f t="shared" si="9"/>
        <v>18.754999999999999</v>
      </c>
      <c r="G83" t="s">
        <v>903</v>
      </c>
      <c r="H83">
        <f>(IF(G83='base para costos'!$G$3,'base para costos'!$H$3)+IF(G83='base para costos'!$G$4,'base para costos'!$H$4)+IF(G83='base para costos'!$G$5,'base para costos'!$H$5)+IF(G83='base para costos'!$G$6,'base para costos'!$H$6)+IF(G83='base para costos'!$G$7,'base para costos'!$H$7)+IF(G83='base para costos'!$G$8,'base para costos'!$H$8)+IF(G83='base para costos'!$G$9,'base para costos'!$H$9)+IF(G83='base para costos'!$G$10,'base para costos'!$H$10)+IF(G83='base para costos'!$G$11,'base para costos'!$H$11))</f>
        <v>0</v>
      </c>
      <c r="I83">
        <f>(C83/(('base para costos'!$J$3-D83)/100))</f>
        <v>26804.123711340206</v>
      </c>
      <c r="J83">
        <f>(C83/(('base para costos'!$J$3-D83)/100-(0.08)))</f>
        <v>29213.483146067414</v>
      </c>
      <c r="K83">
        <f t="shared" si="10"/>
        <v>30.954999999999998</v>
      </c>
      <c r="M83">
        <f t="shared" si="11"/>
        <v>0</v>
      </c>
      <c r="N83">
        <f t="shared" si="12"/>
        <v>37656.600767615324</v>
      </c>
      <c r="O83" t="s">
        <v>168</v>
      </c>
      <c r="P83" t="s">
        <v>212</v>
      </c>
    </row>
    <row r="84" spans="1:16" x14ac:dyDescent="0.25">
      <c r="A84" t="s">
        <v>452</v>
      </c>
      <c r="B84" t="s">
        <v>453</v>
      </c>
      <c r="C84">
        <v>33800.01</v>
      </c>
      <c r="D84">
        <v>3</v>
      </c>
      <c r="E84">
        <v>15.5</v>
      </c>
      <c r="F84">
        <f t="shared" si="9"/>
        <v>18.754999999999999</v>
      </c>
      <c r="G84" t="s">
        <v>903</v>
      </c>
      <c r="H84">
        <f>(IF(G84='base para costos'!$G$3,'base para costos'!$H$3)+IF(G84='base para costos'!$G$4,'base para costos'!$H$4)+IF(G84='base para costos'!$G$5,'base para costos'!$H$5)+IF(G84='base para costos'!$G$6,'base para costos'!$H$6)+IF(G84='base para costos'!$G$7,'base para costos'!$H$7)+IF(G84='base para costos'!$G$8,'base para costos'!$H$8)+IF(G84='base para costos'!$G$9,'base para costos'!$H$9)+IF(G84='base para costos'!$G$10,'base para costos'!$H$10)+IF(G84='base para costos'!$G$11,'base para costos'!$H$11))</f>
        <v>0</v>
      </c>
      <c r="I84">
        <f>(C84/(('base para costos'!$J$3-D84)/100))</f>
        <v>34845.371134020621</v>
      </c>
      <c r="J84">
        <f>(C84/(('base para costos'!$J$3-D84)/100-(0.08)))</f>
        <v>37977.539325842699</v>
      </c>
      <c r="K84">
        <f t="shared" si="10"/>
        <v>30.954999999999998</v>
      </c>
      <c r="M84">
        <f t="shared" si="11"/>
        <v>0</v>
      </c>
      <c r="N84">
        <f t="shared" si="12"/>
        <v>48953.595481207907</v>
      </c>
      <c r="O84" t="s">
        <v>213</v>
      </c>
      <c r="P84" t="s">
        <v>212</v>
      </c>
    </row>
    <row r="85" spans="1:16" x14ac:dyDescent="0.25">
      <c r="A85" t="s">
        <v>541</v>
      </c>
      <c r="B85" t="s">
        <v>542</v>
      </c>
      <c r="C85">
        <v>19721</v>
      </c>
      <c r="D85">
        <v>3</v>
      </c>
      <c r="E85">
        <v>16</v>
      </c>
      <c r="F85">
        <f t="shared" si="9"/>
        <v>19.36</v>
      </c>
      <c r="G85" t="s">
        <v>903</v>
      </c>
      <c r="H85">
        <f>(IF(G85='base para costos'!$G$3,'base para costos'!$H$3)+IF(G85='base para costos'!$G$4,'base para costos'!$H$4)+IF(G85='base para costos'!$G$5,'base para costos'!$H$5)+IF(G85='base para costos'!$G$6,'base para costos'!$H$6)+IF(G85='base para costos'!$G$7,'base para costos'!$H$7)+IF(G85='base para costos'!$G$8,'base para costos'!$H$8)+IF(G85='base para costos'!$G$9,'base para costos'!$H$9)+IF(G85='base para costos'!$G$10,'base para costos'!$H$10)+IF(G85='base para costos'!$G$11,'base para costos'!$H$11))</f>
        <v>0</v>
      </c>
      <c r="I85">
        <f>(C85/(('base para costos'!$J$3-D85)/100))</f>
        <v>20330.927835051549</v>
      </c>
      <c r="J85">
        <f>(C85/(('base para costos'!$J$3-D85)/100-(0.08)))</f>
        <v>22158.426966292136</v>
      </c>
      <c r="K85">
        <f t="shared" si="10"/>
        <v>31.56</v>
      </c>
      <c r="M85">
        <f t="shared" si="11"/>
        <v>0</v>
      </c>
      <c r="N85">
        <f t="shared" si="12"/>
        <v>28815.020455873757</v>
      </c>
      <c r="O85" t="s">
        <v>153</v>
      </c>
      <c r="P85" t="s">
        <v>233</v>
      </c>
    </row>
    <row r="86" spans="1:16" x14ac:dyDescent="0.25">
      <c r="A86" t="s">
        <v>601</v>
      </c>
      <c r="B86" t="s">
        <v>602</v>
      </c>
      <c r="C86">
        <v>7475</v>
      </c>
      <c r="D86">
        <v>3</v>
      </c>
      <c r="E86">
        <v>16</v>
      </c>
      <c r="F86">
        <f t="shared" si="9"/>
        <v>19.36</v>
      </c>
      <c r="G86" t="s">
        <v>903</v>
      </c>
      <c r="H86">
        <f>(IF(G86='base para costos'!$G$3,'base para costos'!$H$3)+IF(G86='base para costos'!$G$4,'base para costos'!$H$4)+IF(G86='base para costos'!$G$5,'base para costos'!$H$5)+IF(G86='base para costos'!$G$6,'base para costos'!$H$6)+IF(G86='base para costos'!$G$7,'base para costos'!$H$7)+IF(G86='base para costos'!$G$8,'base para costos'!$H$8)+IF(G86='base para costos'!$G$9,'base para costos'!$H$9)+IF(G86='base para costos'!$G$10,'base para costos'!$H$10)+IF(G86='base para costos'!$G$11,'base para costos'!$H$11))</f>
        <v>0</v>
      </c>
      <c r="I86">
        <f>(C86/(('base para costos'!$J$3-D86)/100))</f>
        <v>7706.1855670103096</v>
      </c>
      <c r="J86">
        <f>(C86/(('base para costos'!$J$3-D86)/100-(0.08)))</f>
        <v>8398.8764044943819</v>
      </c>
      <c r="K86">
        <f t="shared" si="10"/>
        <v>31.56</v>
      </c>
      <c r="M86">
        <f t="shared" si="11"/>
        <v>0</v>
      </c>
      <c r="N86">
        <f t="shared" si="12"/>
        <v>10921.97545295149</v>
      </c>
      <c r="O86" t="s">
        <v>299</v>
      </c>
      <c r="P86" t="s">
        <v>233</v>
      </c>
    </row>
    <row r="87" spans="1:16" x14ac:dyDescent="0.25">
      <c r="A87" t="s">
        <v>796</v>
      </c>
      <c r="B87" t="s">
        <v>797</v>
      </c>
      <c r="C87">
        <v>3770</v>
      </c>
      <c r="D87">
        <v>3</v>
      </c>
      <c r="E87">
        <v>16</v>
      </c>
      <c r="F87">
        <f t="shared" si="9"/>
        <v>19.36</v>
      </c>
      <c r="G87" t="s">
        <v>903</v>
      </c>
      <c r="H87">
        <f>(IF(G87='base para costos'!$G$3,'base para costos'!$H$3)+IF(G87='base para costos'!$G$4,'base para costos'!$H$4)+IF(G87='base para costos'!$G$5,'base para costos'!$H$5)+IF(G87='base para costos'!$G$6,'base para costos'!$H$6)+IF(G87='base para costos'!$G$7,'base para costos'!$H$7)+IF(G87='base para costos'!$G$8,'base para costos'!$H$8)+IF(G87='base para costos'!$G$9,'base para costos'!$H$9)+IF(G87='base para costos'!$G$10,'base para costos'!$H$10)+IF(G87='base para costos'!$G$11,'base para costos'!$H$11))</f>
        <v>0</v>
      </c>
      <c r="I87">
        <f>(C87/(('base para costos'!$J$3-D87)/100))</f>
        <v>3886.5979381443299</v>
      </c>
      <c r="J87">
        <f>(C87/(('base para costos'!$J$3-D87)/100-(0.08)))</f>
        <v>4235.9550561797751</v>
      </c>
      <c r="K87">
        <f t="shared" si="10"/>
        <v>31.56</v>
      </c>
      <c r="M87">
        <f t="shared" si="11"/>
        <v>0</v>
      </c>
      <c r="N87">
        <f t="shared" si="12"/>
        <v>5508.4745762711864</v>
      </c>
      <c r="O87" t="s">
        <v>230</v>
      </c>
      <c r="P87" t="s">
        <v>233</v>
      </c>
    </row>
    <row r="89" spans="1:16" x14ac:dyDescent="0.25">
      <c r="A89" t="s">
        <v>1102</v>
      </c>
      <c r="B89" t="s">
        <v>1103</v>
      </c>
      <c r="C89">
        <v>1484989</v>
      </c>
      <c r="D89">
        <v>4</v>
      </c>
      <c r="E89">
        <v>12.15</v>
      </c>
      <c r="F89">
        <f t="shared" ref="F89:F98" si="13">E89*1.21</f>
        <v>14.701499999999999</v>
      </c>
      <c r="G89" t="s">
        <v>903</v>
      </c>
      <c r="H89">
        <f>(IF(G89='base para costos'!$G$3,'base para costos'!$H$3)+IF(G89='base para costos'!$G$4,'base para costos'!$H$4)+IF(G89='base para costos'!$G$5,'base para costos'!$H$5)+IF(G89='base para costos'!$G$6,'base para costos'!$H$6)+IF(G89='base para costos'!$G$7,'base para costos'!$H$7)+IF(G89='base para costos'!$G$8,'base para costos'!$H$8)+IF(G89='base para costos'!$G$9,'base para costos'!$H$9)+IF(G89='base para costos'!$G$10,'base para costos'!$H$10)+IF(G89='base para costos'!$G$11,'base para costos'!$H$11))</f>
        <v>0</v>
      </c>
      <c r="I89">
        <f>(C89/(('base para costos'!$J$3-D89)/100))</f>
        <v>1546863.5416666667</v>
      </c>
      <c r="J89">
        <f>(C89/(('base para costos'!$J$3-D89)/100-(0.08)))</f>
        <v>1687487.5</v>
      </c>
      <c r="K89">
        <f t="shared" ref="K89:K98" si="14">(D89+8+1.2)+(F89+H89)</f>
        <v>27.901499999999999</v>
      </c>
      <c r="M89">
        <f t="shared" ref="M89:M98" si="15">L89*1.21</f>
        <v>0</v>
      </c>
      <c r="N89">
        <f t="shared" ref="N89:N98" si="16">C89/((100-K89)/100)+M89</f>
        <v>2059666.9833630382</v>
      </c>
      <c r="O89" t="s">
        <v>1133</v>
      </c>
      <c r="P89" t="s">
        <v>6</v>
      </c>
    </row>
    <row r="90" spans="1:16" x14ac:dyDescent="0.25">
      <c r="A90" t="s">
        <v>193</v>
      </c>
      <c r="B90" t="s">
        <v>194</v>
      </c>
      <c r="C90">
        <v>426000.01</v>
      </c>
      <c r="D90">
        <v>7</v>
      </c>
      <c r="E90">
        <v>12.15</v>
      </c>
      <c r="F90">
        <f t="shared" si="13"/>
        <v>14.701499999999999</v>
      </c>
      <c r="G90" t="s">
        <v>903</v>
      </c>
      <c r="H90">
        <f>(IF(G90='base para costos'!$G$3,'base para costos'!$H$3)+IF(G90='base para costos'!$G$4,'base para costos'!$H$4)+IF(G90='base para costos'!$G$5,'base para costos'!$H$5)+IF(G90='base para costos'!$G$6,'base para costos'!$H$6)+IF(G90='base para costos'!$G$7,'base para costos'!$H$7)+IF(G90='base para costos'!$G$8,'base para costos'!$H$8)+IF(G90='base para costos'!$G$9,'base para costos'!$H$9)+IF(G90='base para costos'!$G$10,'base para costos'!$H$10)+IF(G90='base para costos'!$G$11,'base para costos'!$H$11))</f>
        <v>0</v>
      </c>
      <c r="I90">
        <f>(C90/(('base para costos'!$J$3-D90)/100))</f>
        <v>458064.52688172041</v>
      </c>
      <c r="J90">
        <f>(C90/(('base para costos'!$J$3-D90)/100-(0.08)))</f>
        <v>501176.48235294112</v>
      </c>
      <c r="K90">
        <f t="shared" si="14"/>
        <v>30.901499999999999</v>
      </c>
      <c r="L90">
        <v>0</v>
      </c>
      <c r="M90">
        <f t="shared" si="15"/>
        <v>0</v>
      </c>
      <c r="N90">
        <f t="shared" si="16"/>
        <v>616511.22672706353</v>
      </c>
      <c r="O90" t="s">
        <v>32</v>
      </c>
      <c r="P90" t="s">
        <v>6</v>
      </c>
    </row>
    <row r="91" spans="1:16" x14ac:dyDescent="0.25">
      <c r="A91" t="s">
        <v>1014</v>
      </c>
      <c r="B91" t="s">
        <v>1015</v>
      </c>
      <c r="C91">
        <v>1373430.3</v>
      </c>
      <c r="D91">
        <v>5</v>
      </c>
      <c r="E91">
        <v>12.15</v>
      </c>
      <c r="F91">
        <f t="shared" si="13"/>
        <v>14.701499999999999</v>
      </c>
      <c r="G91" t="s">
        <v>903</v>
      </c>
      <c r="H91">
        <f>(IF(G91='base para costos'!$G$3,'base para costos'!$H$3)+IF(G91='base para costos'!$G$4,'base para costos'!$H$4)+IF(G91='base para costos'!$G$5,'base para costos'!$H$5)+IF(G91='base para costos'!$G$6,'base para costos'!$H$6)+IF(G91='base para costos'!$G$7,'base para costos'!$H$7)+IF(G91='base para costos'!$G$8,'base para costos'!$H$8)+IF(G91='base para costos'!$G$9,'base para costos'!$H$9)+IF(G91='base para costos'!$G$10,'base para costos'!$H$10)+IF(G91='base para costos'!$G$11,'base para costos'!$H$11))</f>
        <v>0</v>
      </c>
      <c r="I91">
        <f>(C91/(('base para costos'!$J$3-D91)/100))</f>
        <v>1445716.105263158</v>
      </c>
      <c r="J91">
        <f>(C91/(('base para costos'!$J$3-D91)/100-(0.08)))</f>
        <v>1578655.5172413795</v>
      </c>
      <c r="K91">
        <f t="shared" si="14"/>
        <v>28.901499999999999</v>
      </c>
      <c r="L91">
        <v>0</v>
      </c>
      <c r="M91">
        <f t="shared" si="15"/>
        <v>0</v>
      </c>
      <c r="N91">
        <f t="shared" si="16"/>
        <v>1931728.939429102</v>
      </c>
      <c r="O91" t="s">
        <v>1291</v>
      </c>
      <c r="P91" t="s">
        <v>6</v>
      </c>
    </row>
    <row r="92" spans="1:16" x14ac:dyDescent="0.25">
      <c r="A92" t="s">
        <v>1016</v>
      </c>
      <c r="B92" t="s">
        <v>1017</v>
      </c>
      <c r="C92">
        <v>1114358.29</v>
      </c>
      <c r="D92">
        <v>3</v>
      </c>
      <c r="E92">
        <v>12.15</v>
      </c>
      <c r="F92">
        <f t="shared" si="13"/>
        <v>14.701499999999999</v>
      </c>
      <c r="G92" t="s">
        <v>903</v>
      </c>
      <c r="H92">
        <f>(IF(G92='base para costos'!$G$3,'base para costos'!$H$3)+IF(G92='base para costos'!$G$4,'base para costos'!$H$4)+IF(G92='base para costos'!$G$5,'base para costos'!$H$5)+IF(G92='base para costos'!$G$6,'base para costos'!$H$6)+IF(G92='base para costos'!$G$7,'base para costos'!$H$7)+IF(G92='base para costos'!$G$8,'base para costos'!$H$8)+IF(G92='base para costos'!$G$9,'base para costos'!$H$9)+IF(G92='base para costos'!$G$10,'base para costos'!$H$10)+IF(G92='base para costos'!$G$11,'base para costos'!$H$11))</f>
        <v>0</v>
      </c>
      <c r="I92">
        <f>(C92/(('base para costos'!$J$3-D92)/100))</f>
        <v>1148822.9793814435</v>
      </c>
      <c r="J92">
        <f>(C92/(('base para costos'!$J$3-D92)/100-(0.08)))</f>
        <v>1252087.966292135</v>
      </c>
      <c r="K92">
        <f t="shared" si="14"/>
        <v>26.901499999999999</v>
      </c>
      <c r="L92">
        <v>0</v>
      </c>
      <c r="M92">
        <f t="shared" si="15"/>
        <v>0</v>
      </c>
      <c r="N92">
        <f t="shared" si="16"/>
        <v>1524461.2269745618</v>
      </c>
      <c r="O92" t="s">
        <v>35</v>
      </c>
      <c r="P92" t="s">
        <v>6</v>
      </c>
    </row>
    <row r="93" spans="1:16" x14ac:dyDescent="0.25">
      <c r="A93" t="s">
        <v>1018</v>
      </c>
      <c r="B93" t="s">
        <v>1019</v>
      </c>
      <c r="C93">
        <v>1174010</v>
      </c>
      <c r="D93">
        <v>3</v>
      </c>
      <c r="E93">
        <v>12.15</v>
      </c>
      <c r="F93">
        <f t="shared" si="13"/>
        <v>14.701499999999999</v>
      </c>
      <c r="G93" t="s">
        <v>1301</v>
      </c>
      <c r="H93">
        <f>(IF(G93='base para costos'!$G$3,'base para costos'!$H$3)+IF(G93='base para costos'!$G$4,'base para costos'!$H$4)+IF(G93='base para costos'!$G$5,'base para costos'!$H$5)+IF(G93='base para costos'!$G$6,'base para costos'!$H$6)+IF(G93='base para costos'!$G$7,'base para costos'!$H$7)+IF(G93='base para costos'!$G$8,'base para costos'!$H$8)+IF(G93='base para costos'!$G$9,'base para costos'!$H$9)+IF(G93='base para costos'!$G$10,'base para costos'!$H$10)+IF(G93='base para costos'!$G$11,'base para costos'!$H$11))</f>
        <v>0</v>
      </c>
      <c r="I93">
        <f>(C93/(('base para costos'!$J$3-D93)/100))</f>
        <v>1210319.5876288661</v>
      </c>
      <c r="J93">
        <f>(C93/(('base para costos'!$J$3-D93)/100-(0.08)))</f>
        <v>1319112.3595505618</v>
      </c>
      <c r="K93">
        <f t="shared" si="14"/>
        <v>26.901499999999999</v>
      </c>
      <c r="L93">
        <v>0</v>
      </c>
      <c r="M93">
        <f t="shared" si="15"/>
        <v>0</v>
      </c>
      <c r="N93">
        <f t="shared" si="16"/>
        <v>1606065.7879436652</v>
      </c>
      <c r="O93" t="s">
        <v>35</v>
      </c>
      <c r="P93" t="s">
        <v>6</v>
      </c>
    </row>
    <row r="94" spans="1:16" x14ac:dyDescent="0.25">
      <c r="A94" t="s">
        <v>1020</v>
      </c>
      <c r="B94" t="s">
        <v>1021</v>
      </c>
      <c r="C94">
        <v>988571</v>
      </c>
      <c r="D94">
        <v>3</v>
      </c>
      <c r="E94">
        <v>12.15</v>
      </c>
      <c r="F94">
        <f t="shared" si="13"/>
        <v>14.701499999999999</v>
      </c>
      <c r="G94" t="s">
        <v>1300</v>
      </c>
      <c r="H94">
        <f>(IF(G94='base para costos'!$G$3,'base para costos'!$H$3)+IF(G94='base para costos'!$G$4,'base para costos'!$H$4)+IF(G94='base para costos'!$G$5,'base para costos'!$H$5)+IF(G94='base para costos'!$G$6,'base para costos'!$H$6)+IF(G94='base para costos'!$G$7,'base para costos'!$H$7)+IF(G94='base para costos'!$G$8,'base para costos'!$H$8)+IF(G94='base para costos'!$G$9,'base para costos'!$H$9)+IF(G94='base para costos'!$G$10,'base para costos'!$H$10)+IF(G94='base para costos'!$G$11,'base para costos'!$H$11))</f>
        <v>0</v>
      </c>
      <c r="I94">
        <f>(C94/(('base para costos'!$J$3-D94)/100))</f>
        <v>1019145.3608247422</v>
      </c>
      <c r="J94">
        <f>(C94/(('base para costos'!$J$3-D94)/100-(0.08)))</f>
        <v>1110753.9325842697</v>
      </c>
      <c r="K94">
        <f t="shared" si="14"/>
        <v>26.901499999999999</v>
      </c>
      <c r="L94">
        <v>0</v>
      </c>
      <c r="M94">
        <f t="shared" si="15"/>
        <v>0</v>
      </c>
      <c r="N94">
        <f t="shared" si="16"/>
        <v>1352382.0598233889</v>
      </c>
      <c r="O94" t="s">
        <v>1291</v>
      </c>
      <c r="P94" t="s">
        <v>6</v>
      </c>
    </row>
    <row r="95" spans="1:16" x14ac:dyDescent="0.25">
      <c r="A95" t="s">
        <v>1024</v>
      </c>
      <c r="B95" t="s">
        <v>1025</v>
      </c>
      <c r="C95">
        <v>542533.19999999995</v>
      </c>
      <c r="D95">
        <v>5</v>
      </c>
      <c r="E95">
        <v>12.15</v>
      </c>
      <c r="F95">
        <f t="shared" si="13"/>
        <v>14.701499999999999</v>
      </c>
      <c r="G95" t="s">
        <v>903</v>
      </c>
      <c r="H95">
        <f>(IF(G95='base para costos'!$G$3,'base para costos'!$H$3)+IF(G95='base para costos'!$G$4,'base para costos'!$H$4)+IF(G95='base para costos'!$G$5,'base para costos'!$H$5)+IF(G95='base para costos'!$G$6,'base para costos'!$H$6)+IF(G95='base para costos'!$G$7,'base para costos'!$H$7)+IF(G95='base para costos'!$G$8,'base para costos'!$H$8)+IF(G95='base para costos'!$G$9,'base para costos'!$H$9)+IF(G95='base para costos'!$G$10,'base para costos'!$H$10)+IF(G95='base para costos'!$G$11,'base para costos'!$H$11))</f>
        <v>0</v>
      </c>
      <c r="I95">
        <f>(C95/(('base para costos'!$J$3-D95)/100))</f>
        <v>571087.57894736843</v>
      </c>
      <c r="J95">
        <f>(C95/(('base para costos'!$J$3-D95)/100-(0.08)))</f>
        <v>623601.37931034481</v>
      </c>
      <c r="K95">
        <f t="shared" si="14"/>
        <v>28.901499999999999</v>
      </c>
      <c r="L95">
        <v>0</v>
      </c>
      <c r="M95">
        <f t="shared" si="15"/>
        <v>0</v>
      </c>
      <c r="N95">
        <f t="shared" si="16"/>
        <v>763072.63866326294</v>
      </c>
      <c r="O95" t="s">
        <v>35</v>
      </c>
      <c r="P95" t="s">
        <v>6</v>
      </c>
    </row>
    <row r="96" spans="1:16" x14ac:dyDescent="0.25">
      <c r="A96" t="s">
        <v>1026</v>
      </c>
      <c r="B96" t="s">
        <v>1027</v>
      </c>
      <c r="C96">
        <v>538890</v>
      </c>
      <c r="D96">
        <v>7</v>
      </c>
      <c r="E96">
        <v>12.15</v>
      </c>
      <c r="F96">
        <f t="shared" si="13"/>
        <v>14.701499999999999</v>
      </c>
      <c r="G96" t="s">
        <v>903</v>
      </c>
      <c r="H96">
        <f>(IF(G96='base para costos'!$G$3,'base para costos'!$H$3)+IF(G96='base para costos'!$G$4,'base para costos'!$H$4)+IF(G96='base para costos'!$G$5,'base para costos'!$H$5)+IF(G96='base para costos'!$G$6,'base para costos'!$H$6)+IF(G96='base para costos'!$G$7,'base para costos'!$H$7)+IF(G96='base para costos'!$G$8,'base para costos'!$H$8)+IF(G96='base para costos'!$G$9,'base para costos'!$H$9)+IF(G96='base para costos'!$G$10,'base para costos'!$H$10)+IF(G96='base para costos'!$G$11,'base para costos'!$H$11))</f>
        <v>0</v>
      </c>
      <c r="I96">
        <f>(C96/(('base para costos'!$J$3-D96)/100))</f>
        <v>579451.61290322582</v>
      </c>
      <c r="J96">
        <f>(C96/(('base para costos'!$J$3-D96)/100-(0.08)))</f>
        <v>633988.23529411759</v>
      </c>
      <c r="K96">
        <f t="shared" si="14"/>
        <v>30.901499999999999</v>
      </c>
      <c r="L96">
        <v>0</v>
      </c>
      <c r="M96">
        <f t="shared" si="15"/>
        <v>0</v>
      </c>
      <c r="N96">
        <f t="shared" si="16"/>
        <v>779886.68350253627</v>
      </c>
      <c r="O96" t="s">
        <v>35</v>
      </c>
      <c r="P96" t="s">
        <v>6</v>
      </c>
    </row>
    <row r="97" spans="1:16" x14ac:dyDescent="0.25">
      <c r="A97" t="s">
        <v>1057</v>
      </c>
      <c r="B97" t="s">
        <v>1079</v>
      </c>
      <c r="C97">
        <v>526731.71</v>
      </c>
      <c r="D97">
        <v>7</v>
      </c>
      <c r="E97">
        <v>12.15</v>
      </c>
      <c r="F97">
        <f t="shared" si="13"/>
        <v>14.701499999999999</v>
      </c>
      <c r="G97" t="s">
        <v>903</v>
      </c>
      <c r="H97">
        <f>(IF(G97='base para costos'!$G$3,'base para costos'!$H$3)+IF(G97='base para costos'!$G$4,'base para costos'!$H$4)+IF(G97='base para costos'!$G$5,'base para costos'!$H$5)+IF(G97='base para costos'!$G$6,'base para costos'!$H$6)+IF(G97='base para costos'!$G$7,'base para costos'!$H$7)+IF(G97='base para costos'!$G$8,'base para costos'!$H$8)+IF(G97='base para costos'!$G$9,'base para costos'!$H$9)+IF(G97='base para costos'!$G$10,'base para costos'!$H$10)+IF(G97='base para costos'!$G$11,'base para costos'!$H$11))</f>
        <v>0</v>
      </c>
      <c r="I97">
        <f>(C97/(('base para costos'!$J$3-D97)/100))</f>
        <v>566378.18279569887</v>
      </c>
      <c r="J97">
        <f>(C97/(('base para costos'!$J$3-D97)/100-(0.08)))</f>
        <v>619684.36470588227</v>
      </c>
      <c r="K97">
        <f t="shared" si="14"/>
        <v>30.901499999999999</v>
      </c>
      <c r="L97">
        <v>0</v>
      </c>
      <c r="M97">
        <f t="shared" si="15"/>
        <v>0</v>
      </c>
      <c r="N97">
        <f t="shared" si="16"/>
        <v>762291.0917024248</v>
      </c>
      <c r="O97" t="s">
        <v>943</v>
      </c>
      <c r="P97" t="s">
        <v>6</v>
      </c>
    </row>
    <row r="98" spans="1:16" x14ac:dyDescent="0.25">
      <c r="A98" t="s">
        <v>1058</v>
      </c>
      <c r="B98" t="s">
        <v>1081</v>
      </c>
      <c r="C98">
        <v>631042.25</v>
      </c>
      <c r="D98">
        <v>3</v>
      </c>
      <c r="E98">
        <v>12.15</v>
      </c>
      <c r="F98">
        <f t="shared" si="13"/>
        <v>14.701499999999999</v>
      </c>
      <c r="G98" t="s">
        <v>903</v>
      </c>
      <c r="H98">
        <f>(IF(G98='base para costos'!$G$3,'base para costos'!$H$3)+IF(G98='base para costos'!$G$4,'base para costos'!$H$4)+IF(G98='base para costos'!$G$5,'base para costos'!$H$5)+IF(G98='base para costos'!$G$6,'base para costos'!$H$6)+IF(G98='base para costos'!$G$7,'base para costos'!$H$7)+IF(G98='base para costos'!$G$8,'base para costos'!$H$8)+IF(G98='base para costos'!$G$9,'base para costos'!$H$9)+IF(G98='base para costos'!$G$10,'base para costos'!$H$10)+IF(G98='base para costos'!$G$11,'base para costos'!$H$11))</f>
        <v>0</v>
      </c>
      <c r="I98">
        <f>(C98/(('base para costos'!$J$3-D98)/100))</f>
        <v>650559.02061855677</v>
      </c>
      <c r="J98">
        <f>(C98/(('base para costos'!$J$3-D98)/100-(0.08)))</f>
        <v>709036.23595505615</v>
      </c>
      <c r="K98">
        <f t="shared" si="14"/>
        <v>26.901499999999999</v>
      </c>
      <c r="L98">
        <v>0</v>
      </c>
      <c r="M98">
        <f t="shared" si="15"/>
        <v>0</v>
      </c>
      <c r="N98">
        <f t="shared" si="16"/>
        <v>863276.60622310988</v>
      </c>
      <c r="O98" t="s">
        <v>35</v>
      </c>
      <c r="P98" t="s">
        <v>6</v>
      </c>
    </row>
    <row r="100" spans="1:16" x14ac:dyDescent="0.25">
      <c r="A100" t="s">
        <v>1171</v>
      </c>
      <c r="B100" t="s">
        <v>1172</v>
      </c>
      <c r="C100">
        <v>577563</v>
      </c>
      <c r="D100">
        <v>3</v>
      </c>
      <c r="E100">
        <v>12.15</v>
      </c>
      <c r="F100">
        <f>E100*1.21</f>
        <v>14.701499999999999</v>
      </c>
      <c r="G100" t="s">
        <v>903</v>
      </c>
      <c r="H100">
        <f>(IF(G100='base para costos'!$G$3,'base para costos'!$H$3)+IF(G100='base para costos'!$G$4,'base para costos'!$H$4)+IF(G100='base para costos'!$G$5,'base para costos'!$H$5)+IF(G100='base para costos'!$G$6,'base para costos'!$H$6)+IF(G100='base para costos'!$G$7,'base para costos'!$H$7)+IF(G100='base para costos'!$G$8,'base para costos'!$H$8)+IF(G100='base para costos'!$G$9,'base para costos'!$H$9)+IF(G100='base para costos'!$G$10,'base para costos'!$H$10)+IF(G100='base para costos'!$G$11,'base para costos'!$H$11))</f>
        <v>0</v>
      </c>
      <c r="I100">
        <f>(C100/(('base para costos'!$J$3-D100)/100))</f>
        <v>595425.77319587627</v>
      </c>
      <c r="J100">
        <f>(C100/(('base para costos'!$J$3-D100)/100-(0.08)))</f>
        <v>648947.19101123593</v>
      </c>
      <c r="K100">
        <f>(D100+8+1.2)+(F100+H100)</f>
        <v>26.901499999999999</v>
      </c>
      <c r="L100">
        <v>0</v>
      </c>
      <c r="M100">
        <f>L100*1.21</f>
        <v>0</v>
      </c>
      <c r="N100">
        <f>C100/((100-K100)/100)+M100</f>
        <v>790116.07625327469</v>
      </c>
      <c r="O100" t="s">
        <v>1090</v>
      </c>
      <c r="P100" t="s">
        <v>6</v>
      </c>
    </row>
    <row r="102" spans="1:16" x14ac:dyDescent="0.25">
      <c r="A102" t="s">
        <v>1215</v>
      </c>
      <c r="B102" t="s">
        <v>1214</v>
      </c>
      <c r="C102">
        <v>1174010</v>
      </c>
      <c r="D102">
        <v>2</v>
      </c>
      <c r="E102">
        <v>12.15</v>
      </c>
      <c r="F102">
        <f>E102*1.21</f>
        <v>14.701499999999999</v>
      </c>
      <c r="G102" t="s">
        <v>903</v>
      </c>
      <c r="H102">
        <f>(IF(G102='base para costos'!$G$3,'base para costos'!$H$3)+IF(G102='base para costos'!$G$4,'base para costos'!$H$4)+IF(G102='base para costos'!$G$5,'base para costos'!$H$5)+IF(G102='base para costos'!$G$6,'base para costos'!$H$6)+IF(G102='base para costos'!$G$7,'base para costos'!$H$7)+IF(G102='base para costos'!$G$8,'base para costos'!$H$8)+IF(G102='base para costos'!$G$9,'base para costos'!$H$9)+IF(G102='base para costos'!$G$10,'base para costos'!$H$10)+IF(G102='base para costos'!$G$11,'base para costos'!$H$11))</f>
        <v>0</v>
      </c>
      <c r="I102">
        <f>(C102/(('base para costos'!$J$3-D102)/100))</f>
        <v>1197969.387755102</v>
      </c>
      <c r="J102">
        <f>(C102/(('base para costos'!$J$3-D102)/100-(0.08)))</f>
        <v>1304455.5555555555</v>
      </c>
      <c r="K102">
        <f>(D102+8+1.2)+(F102+H102)</f>
        <v>25.901499999999999</v>
      </c>
      <c r="L102">
        <v>0</v>
      </c>
      <c r="M102">
        <f>L102*1.21</f>
        <v>0</v>
      </c>
      <c r="N102">
        <f>C102/((100-K102)/100)+M102</f>
        <v>1584391.0470522344</v>
      </c>
      <c r="O102" t="s">
        <v>1216</v>
      </c>
      <c r="P102" t="s">
        <v>6</v>
      </c>
    </row>
    <row r="103" spans="1:16" x14ac:dyDescent="0.25">
      <c r="A103" t="s">
        <v>1262</v>
      </c>
      <c r="B103" t="s">
        <v>1263</v>
      </c>
      <c r="C103">
        <v>490000</v>
      </c>
      <c r="D103">
        <v>3</v>
      </c>
      <c r="E103">
        <v>14</v>
      </c>
      <c r="F103">
        <f>E103*1.21</f>
        <v>16.939999999999998</v>
      </c>
      <c r="G103" t="s">
        <v>1299</v>
      </c>
      <c r="H103">
        <f>(IF(G103='base para costos'!$G$3,'base para costos'!$H$3)+IF(G103='base para costos'!$G$4,'base para costos'!$H$4)+IF(G103='base para costos'!$G$5,'base para costos'!$H$5)+IF(G103='base para costos'!$G$6,'base para costos'!$H$6)+IF(G103='base para costos'!$G$7,'base para costos'!$H$7)+IF(G103='base para costos'!$G$8,'base para costos'!$H$8)+IF(G103='base para costos'!$G$9,'base para costos'!$H$9)+IF(G103='base para costos'!$G$10,'base para costos'!$H$10)+IF(G103='base para costos'!$G$11,'base para costos'!$H$11))</f>
        <v>0</v>
      </c>
      <c r="I103">
        <f>(C103/(('base para costos'!$J$3-D103)/100))</f>
        <v>505154.63917525776</v>
      </c>
      <c r="J103">
        <f>(C103/(('base para costos'!$J$3-D103)/100-(0.08)))</f>
        <v>550561.79775280901</v>
      </c>
      <c r="K103">
        <f>(D103+8+1.2)+(F103+H103)</f>
        <v>29.139999999999997</v>
      </c>
      <c r="L103">
        <v>0</v>
      </c>
      <c r="M103">
        <f>L103*1.21</f>
        <v>0</v>
      </c>
      <c r="N103">
        <f>C103/((100-K103)/100)+M103</f>
        <v>691504.37482359586</v>
      </c>
      <c r="O103" t="s">
        <v>1134</v>
      </c>
      <c r="P103" t="s">
        <v>6</v>
      </c>
    </row>
    <row r="104" spans="1:16" x14ac:dyDescent="0.25">
      <c r="A104" t="s">
        <v>1141</v>
      </c>
      <c r="B104" t="s">
        <v>1142</v>
      </c>
      <c r="C104">
        <v>542533.19999999995</v>
      </c>
      <c r="D104">
        <v>5</v>
      </c>
      <c r="E104">
        <v>12.15</v>
      </c>
      <c r="F104">
        <f>E104*1.21</f>
        <v>14.701499999999999</v>
      </c>
      <c r="G104" t="s">
        <v>903</v>
      </c>
      <c r="H104">
        <f>(IF(G104='base para costos'!$G$3,'base para costos'!$H$3)+IF(G104='base para costos'!$G$4,'base para costos'!$H$4)+IF(G104='base para costos'!$G$5,'base para costos'!$H$5)+IF(G104='base para costos'!$G$6,'base para costos'!$H$6)+IF(G104='base para costos'!$G$7,'base para costos'!$H$7)+IF(G104='base para costos'!$G$8,'base para costos'!$H$8)+IF(G104='base para costos'!$G$9,'base para costos'!$H$9)+IF(G104='base para costos'!$G$10,'base para costos'!$H$10)+IF(G104='base para costos'!$G$11,'base para costos'!$H$11))</f>
        <v>0</v>
      </c>
      <c r="I104">
        <f>(C104/(('base para costos'!$J$3-D104)/100))</f>
        <v>571087.57894736843</v>
      </c>
      <c r="J104">
        <f>(C104/(('base para costos'!$J$3-D104)/100-(0.08)))</f>
        <v>623601.37931034481</v>
      </c>
      <c r="K104">
        <f>(D104+8+1.2)+(F104+H104)</f>
        <v>28.901499999999999</v>
      </c>
      <c r="M104">
        <f>L104*1.21</f>
        <v>0</v>
      </c>
      <c r="N104">
        <f>C104/((100-K104)/100)+M104</f>
        <v>763072.63866326294</v>
      </c>
      <c r="O104" t="s">
        <v>1144</v>
      </c>
      <c r="P104" t="s">
        <v>6</v>
      </c>
    </row>
    <row r="105" spans="1:16" x14ac:dyDescent="0.25">
      <c r="A105" t="s">
        <v>1145</v>
      </c>
      <c r="B105" t="s">
        <v>1146</v>
      </c>
      <c r="C105">
        <v>560989</v>
      </c>
      <c r="D105">
        <v>10</v>
      </c>
      <c r="E105">
        <v>12.15</v>
      </c>
      <c r="F105">
        <f>E105*1.21</f>
        <v>14.701499999999999</v>
      </c>
      <c r="G105" t="s">
        <v>903</v>
      </c>
      <c r="H105">
        <f>(IF(G105='base para costos'!$G$3,'base para costos'!$H$3)+IF(G105='base para costos'!$G$4,'base para costos'!$H$4)+IF(G105='base para costos'!$G$5,'base para costos'!$H$5)+IF(G105='base para costos'!$G$6,'base para costos'!$H$6)+IF(G105='base para costos'!$G$7,'base para costos'!$H$7)+IF(G105='base para costos'!$G$8,'base para costos'!$H$8)+IF(G105='base para costos'!$G$9,'base para costos'!$H$9)+IF(G105='base para costos'!$G$10,'base para costos'!$H$10)+IF(G105='base para costos'!$G$11,'base para costos'!$H$11))</f>
        <v>0</v>
      </c>
      <c r="I105">
        <f>(C105/(('base para costos'!$J$3-D105)/100))</f>
        <v>623321.11111111112</v>
      </c>
      <c r="J105">
        <f>(C105/(('base para costos'!$J$3-D105)/100-(0.08)))</f>
        <v>684132.92682926822</v>
      </c>
      <c r="K105">
        <f>(D105+8+1.2)+(F105+H105)</f>
        <v>33.901499999999999</v>
      </c>
      <c r="M105">
        <f>L105*1.21</f>
        <v>0</v>
      </c>
      <c r="N105">
        <f>C105/((100-K105)/100)+M105</f>
        <v>848716.68797325203</v>
      </c>
      <c r="O105" t="s">
        <v>258</v>
      </c>
      <c r="P105" t="s">
        <v>6</v>
      </c>
    </row>
    <row r="107" spans="1:16" x14ac:dyDescent="0.25">
      <c r="A107" t="s">
        <v>12</v>
      </c>
      <c r="B107" t="s">
        <v>13</v>
      </c>
      <c r="C107">
        <v>575174</v>
      </c>
      <c r="D107">
        <v>10</v>
      </c>
      <c r="E107">
        <v>14.15</v>
      </c>
      <c r="F107">
        <f t="shared" ref="F107:F114" si="17">E107*1.21</f>
        <v>17.121500000000001</v>
      </c>
      <c r="G107" t="s">
        <v>903</v>
      </c>
      <c r="H107">
        <f>(IF(G107='base para costos'!$G$3,'base para costos'!$H$3)+IF(G107='base para costos'!$G$4,'base para costos'!$H$4)+IF(G107='base para costos'!$G$5,'base para costos'!$H$5)+IF(G107='base para costos'!$G$6,'base para costos'!$H$6)+IF(G107='base para costos'!$G$7,'base para costos'!$H$7)+IF(G107='base para costos'!$G$8,'base para costos'!$H$8)+IF(G107='base para costos'!$G$9,'base para costos'!$H$9)+IF(G107='base para costos'!$G$10,'base para costos'!$H$10)+IF(G107='base para costos'!$G$11,'base para costos'!$H$11))</f>
        <v>0</v>
      </c>
      <c r="I107">
        <f>(C107/(('base para costos'!$J$3-D107)/100))</f>
        <v>639082.22222222225</v>
      </c>
      <c r="J107">
        <f>(C107/(('base para costos'!$J$3-D107)/100-(0.08)))</f>
        <v>701431.70731707313</v>
      </c>
      <c r="K107">
        <f t="shared" ref="K107:K114" si="18">(D107+8+1.2)+(F107+H107)</f>
        <v>36.3215</v>
      </c>
      <c r="M107">
        <f t="shared" ref="M107:M114" si="19">L107*1.21</f>
        <v>0</v>
      </c>
      <c r="N107">
        <f t="shared" ref="N107:N114" si="20">C107/((100-K107)/100)+M107</f>
        <v>903246.77874007705</v>
      </c>
      <c r="O107" t="s">
        <v>15</v>
      </c>
      <c r="P107" t="s">
        <v>14</v>
      </c>
    </row>
    <row r="108" spans="1:16" x14ac:dyDescent="0.25">
      <c r="A108" t="s">
        <v>23</v>
      </c>
      <c r="B108" t="s">
        <v>24</v>
      </c>
      <c r="C108">
        <v>460522</v>
      </c>
      <c r="D108">
        <v>10</v>
      </c>
      <c r="E108">
        <v>14.15</v>
      </c>
      <c r="F108">
        <f t="shared" si="17"/>
        <v>17.121500000000001</v>
      </c>
      <c r="G108" t="s">
        <v>1236</v>
      </c>
      <c r="H108">
        <f>(IF(G108='base para costos'!$G$3,'base para costos'!$H$3)+IF(G108='base para costos'!$G$4,'base para costos'!$H$4)+IF(G108='base para costos'!$G$5,'base para costos'!$H$5)+IF(G108='base para costos'!$G$6,'base para costos'!$H$6)+IF(G108='base para costos'!$G$7,'base para costos'!$H$7)+IF(G108='base para costos'!$G$8,'base para costos'!$H$8)+IF(G108='base para costos'!$G$9,'base para costos'!$H$9)+IF(G108='base para costos'!$G$10,'base para costos'!$H$10)+IF(G108='base para costos'!$G$11,'base para costos'!$H$11))</f>
        <v>0</v>
      </c>
      <c r="I108">
        <f>(C108/(('base para costos'!$J$3-D108)/100))</f>
        <v>511691.11111111112</v>
      </c>
      <c r="J108">
        <f>(C108/(('base para costos'!$J$3-D108)/100-(0.08)))</f>
        <v>561612.19512195117</v>
      </c>
      <c r="K108">
        <f t="shared" si="18"/>
        <v>36.3215</v>
      </c>
      <c r="M108">
        <f t="shared" si="19"/>
        <v>0</v>
      </c>
      <c r="N108">
        <f t="shared" si="20"/>
        <v>723198.56780546019</v>
      </c>
      <c r="O108" t="s">
        <v>25</v>
      </c>
      <c r="P108" t="s">
        <v>14</v>
      </c>
    </row>
    <row r="109" spans="1:16" x14ac:dyDescent="0.25">
      <c r="A109" t="s">
        <v>46</v>
      </c>
      <c r="B109" t="s">
        <v>47</v>
      </c>
      <c r="C109">
        <v>474882</v>
      </c>
      <c r="D109">
        <v>3</v>
      </c>
      <c r="E109">
        <v>14.15</v>
      </c>
      <c r="F109">
        <f t="shared" si="17"/>
        <v>17.121500000000001</v>
      </c>
      <c r="G109" t="s">
        <v>903</v>
      </c>
      <c r="H109">
        <f>(IF(G109='base para costos'!$G$3,'base para costos'!$H$3)+IF(G109='base para costos'!$G$4,'base para costos'!$H$4)+IF(G109='base para costos'!$G$5,'base para costos'!$H$5)+IF(G109='base para costos'!$G$6,'base para costos'!$H$6)+IF(G109='base para costos'!$G$7,'base para costos'!$H$7)+IF(G109='base para costos'!$G$8,'base para costos'!$H$8)+IF(G109='base para costos'!$G$9,'base para costos'!$H$9)+IF(G109='base para costos'!$G$10,'base para costos'!$H$10)+IF(G109='base para costos'!$G$11,'base para costos'!$H$11))</f>
        <v>0</v>
      </c>
      <c r="I109">
        <f>(C109/(('base para costos'!$J$3-D109)/100))</f>
        <v>489569.07216494845</v>
      </c>
      <c r="J109">
        <f>(C109/(('base para costos'!$J$3-D109)/100-(0.08)))</f>
        <v>533575.28089887637</v>
      </c>
      <c r="K109">
        <f t="shared" si="18"/>
        <v>29.3215</v>
      </c>
      <c r="M109">
        <f t="shared" si="19"/>
        <v>0</v>
      </c>
      <c r="N109">
        <f t="shared" si="20"/>
        <v>671890.3202529765</v>
      </c>
      <c r="O109" t="s">
        <v>35</v>
      </c>
      <c r="P109" t="s">
        <v>14</v>
      </c>
    </row>
    <row r="110" spans="1:16" x14ac:dyDescent="0.25">
      <c r="A110" t="s">
        <v>134</v>
      </c>
      <c r="B110" t="s">
        <v>135</v>
      </c>
      <c r="C110">
        <v>765510</v>
      </c>
      <c r="D110">
        <v>3</v>
      </c>
      <c r="E110">
        <v>14.15</v>
      </c>
      <c r="F110">
        <f t="shared" si="17"/>
        <v>17.121500000000001</v>
      </c>
      <c r="G110" t="s">
        <v>903</v>
      </c>
      <c r="H110">
        <f>(IF(G110='base para costos'!$G$3,'base para costos'!$H$3)+IF(G110='base para costos'!$G$4,'base para costos'!$H$4)+IF(G110='base para costos'!$G$5,'base para costos'!$H$5)+IF(G110='base para costos'!$G$6,'base para costos'!$H$6)+IF(G110='base para costos'!$G$7,'base para costos'!$H$7)+IF(G110='base para costos'!$G$8,'base para costos'!$H$8)+IF(G110='base para costos'!$G$9,'base para costos'!$H$9)+IF(G110='base para costos'!$G$10,'base para costos'!$H$10)+IF(G110='base para costos'!$G$11,'base para costos'!$H$11))</f>
        <v>0</v>
      </c>
      <c r="I110">
        <f>(C110/(('base para costos'!$J$3-D110)/100))</f>
        <v>789185.56701030931</v>
      </c>
      <c r="J110">
        <f>(C110/(('base para costos'!$J$3-D110)/100-(0.08)))</f>
        <v>860123.59550561791</v>
      </c>
      <c r="K110">
        <f t="shared" si="18"/>
        <v>29.3215</v>
      </c>
      <c r="M110">
        <f t="shared" si="19"/>
        <v>0</v>
      </c>
      <c r="N110">
        <f t="shared" si="20"/>
        <v>1083087.5018570004</v>
      </c>
      <c r="O110" t="s">
        <v>15</v>
      </c>
      <c r="P110" t="s">
        <v>14</v>
      </c>
    </row>
    <row r="111" spans="1:16" x14ac:dyDescent="0.25">
      <c r="A111" t="s">
        <v>171</v>
      </c>
      <c r="B111" t="s">
        <v>172</v>
      </c>
      <c r="C111">
        <v>633721</v>
      </c>
      <c r="D111">
        <v>3</v>
      </c>
      <c r="E111">
        <v>14.15</v>
      </c>
      <c r="F111">
        <f t="shared" si="17"/>
        <v>17.121500000000001</v>
      </c>
      <c r="G111" t="s">
        <v>903</v>
      </c>
      <c r="H111">
        <f>(IF(G111='base para costos'!$G$3,'base para costos'!$H$3)+IF(G111='base para costos'!$G$4,'base para costos'!$H$4)+IF(G111='base para costos'!$G$5,'base para costos'!$H$5)+IF(G111='base para costos'!$G$6,'base para costos'!$H$6)+IF(G111='base para costos'!$G$7,'base para costos'!$H$7)+IF(G111='base para costos'!$G$8,'base para costos'!$H$8)+IF(G111='base para costos'!$G$9,'base para costos'!$H$9)+IF(G111='base para costos'!$G$10,'base para costos'!$H$10)+IF(G111='base para costos'!$G$11,'base para costos'!$H$11))</f>
        <v>0</v>
      </c>
      <c r="I111">
        <f>(C111/(('base para costos'!$J$3-D111)/100))</f>
        <v>653320.618556701</v>
      </c>
      <c r="J111">
        <f>(C111/(('base para costos'!$J$3-D111)/100-(0.08)))</f>
        <v>712046.06741573033</v>
      </c>
      <c r="K111">
        <f t="shared" si="18"/>
        <v>29.3215</v>
      </c>
      <c r="M111">
        <f t="shared" si="19"/>
        <v>0</v>
      </c>
      <c r="N111">
        <f t="shared" si="20"/>
        <v>896624.85762997239</v>
      </c>
      <c r="O111" t="s">
        <v>173</v>
      </c>
      <c r="P111" t="s">
        <v>14</v>
      </c>
    </row>
    <row r="112" spans="1:16" x14ac:dyDescent="0.25">
      <c r="A112" t="s">
        <v>1112</v>
      </c>
      <c r="B112" t="s">
        <v>1113</v>
      </c>
      <c r="C112">
        <v>694990</v>
      </c>
      <c r="D112">
        <v>10</v>
      </c>
      <c r="E112">
        <v>14.15</v>
      </c>
      <c r="F112">
        <f t="shared" si="17"/>
        <v>17.121500000000001</v>
      </c>
      <c r="G112" t="s">
        <v>903</v>
      </c>
      <c r="H112">
        <f>(IF(G112='base para costos'!$G$3,'base para costos'!$H$3)+IF(G112='base para costos'!$G$4,'base para costos'!$H$4)+IF(G112='base para costos'!$G$5,'base para costos'!$H$5)+IF(G112='base para costos'!$G$6,'base para costos'!$H$6)+IF(G112='base para costos'!$G$7,'base para costos'!$H$7)+IF(G112='base para costos'!$G$8,'base para costos'!$H$8)+IF(G112='base para costos'!$G$9,'base para costos'!$H$9)+IF(G112='base para costos'!$G$10,'base para costos'!$H$10)+IF(G112='base para costos'!$G$11,'base para costos'!$H$11))</f>
        <v>0</v>
      </c>
      <c r="I112">
        <f>(C112/(('base para costos'!$J$3-D112)/100))</f>
        <v>772211.11111111112</v>
      </c>
      <c r="J112">
        <f>(C112/(('base para costos'!$J$3-D112)/100-(0.08)))</f>
        <v>847548.78048780479</v>
      </c>
      <c r="K112">
        <f t="shared" si="18"/>
        <v>36.3215</v>
      </c>
      <c r="M112">
        <f t="shared" si="19"/>
        <v>0</v>
      </c>
      <c r="N112">
        <f t="shared" si="20"/>
        <v>1091404.4771783254</v>
      </c>
      <c r="O112" t="s">
        <v>1133</v>
      </c>
      <c r="P112" t="s">
        <v>14</v>
      </c>
    </row>
    <row r="113" spans="1:16" x14ac:dyDescent="0.25">
      <c r="A113" t="s">
        <v>1116</v>
      </c>
      <c r="B113" t="s">
        <v>1117</v>
      </c>
      <c r="C113">
        <v>654990</v>
      </c>
      <c r="D113">
        <v>4</v>
      </c>
      <c r="E113">
        <v>14.15</v>
      </c>
      <c r="F113">
        <f t="shared" si="17"/>
        <v>17.121500000000001</v>
      </c>
      <c r="G113" t="s">
        <v>903</v>
      </c>
      <c r="H113">
        <f>(IF(G113='base para costos'!$G$3,'base para costos'!$H$3)+IF(G113='base para costos'!$G$4,'base para costos'!$H$4)+IF(G113='base para costos'!$G$5,'base para costos'!$H$5)+IF(G113='base para costos'!$G$6,'base para costos'!$H$6)+IF(G113='base para costos'!$G$7,'base para costos'!$H$7)+IF(G113='base para costos'!$G$8,'base para costos'!$H$8)+IF(G113='base para costos'!$G$9,'base para costos'!$H$9)+IF(G113='base para costos'!$G$10,'base para costos'!$H$10)+IF(G113='base para costos'!$G$11,'base para costos'!$H$11))</f>
        <v>0</v>
      </c>
      <c r="I113">
        <f>(C113/(('base para costos'!$J$3-D113)/100))</f>
        <v>682281.25</v>
      </c>
      <c r="J113">
        <f>(C113/(('base para costos'!$J$3-D113)/100-(0.08)))</f>
        <v>744306.81818181823</v>
      </c>
      <c r="K113">
        <f t="shared" si="18"/>
        <v>30.3215</v>
      </c>
      <c r="M113">
        <f t="shared" si="19"/>
        <v>0</v>
      </c>
      <c r="N113">
        <f t="shared" si="20"/>
        <v>940017.36547141511</v>
      </c>
      <c r="O113" t="s">
        <v>1133</v>
      </c>
      <c r="P113" t="s">
        <v>14</v>
      </c>
    </row>
    <row r="114" spans="1:16" x14ac:dyDescent="0.25">
      <c r="A114" t="s">
        <v>1120</v>
      </c>
      <c r="B114" t="s">
        <v>1121</v>
      </c>
      <c r="C114">
        <v>584990</v>
      </c>
      <c r="D114">
        <v>4</v>
      </c>
      <c r="E114">
        <v>14.15</v>
      </c>
      <c r="F114">
        <f t="shared" si="17"/>
        <v>17.121500000000001</v>
      </c>
      <c r="G114" t="s">
        <v>903</v>
      </c>
      <c r="H114">
        <f>(IF(G114='base para costos'!$G$3,'base para costos'!$H$3)+IF(G114='base para costos'!$G$4,'base para costos'!$H$4)+IF(G114='base para costos'!$G$5,'base para costos'!$H$5)+IF(G114='base para costos'!$G$6,'base para costos'!$H$6)+IF(G114='base para costos'!$G$7,'base para costos'!$H$7)+IF(G114='base para costos'!$G$8,'base para costos'!$H$8)+IF(G114='base para costos'!$G$9,'base para costos'!$H$9)+IF(G114='base para costos'!$G$10,'base para costos'!$H$10)+IF(G114='base para costos'!$G$11,'base para costos'!$H$11))</f>
        <v>0</v>
      </c>
      <c r="I114">
        <f>(C114/(('base para costos'!$J$3-D114)/100))</f>
        <v>609364.58333333337</v>
      </c>
      <c r="J114">
        <f>(C114/(('base para costos'!$J$3-D114)/100-(0.08)))</f>
        <v>664761.36363636365</v>
      </c>
      <c r="K114">
        <f t="shared" si="18"/>
        <v>30.3215</v>
      </c>
      <c r="M114">
        <f t="shared" si="19"/>
        <v>0</v>
      </c>
      <c r="N114">
        <f t="shared" si="20"/>
        <v>839555.960590426</v>
      </c>
      <c r="O114" t="s">
        <v>25</v>
      </c>
      <c r="P114" t="s">
        <v>14</v>
      </c>
    </row>
    <row r="115" spans="1:16" x14ac:dyDescent="0.25">
      <c r="B115" t="s">
        <v>1537</v>
      </c>
    </row>
  </sheetData>
  <dataValidations disablePrompts="1" count="1">
    <dataValidation type="list" allowBlank="1" showInputMessage="1" showErrorMessage="1" sqref="G5:G30 G32:G45 G67:G87 G65 G63 G57 G59 G61 G55 G53 G47:G51 G100 G102:G105 G89:G98 G107:G114">
      <formula1>$G$3:$G$11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C1"/>
  <sheetViews>
    <sheetView workbookViewId="0">
      <selection activeCell="J15" sqref="J15"/>
    </sheetView>
  </sheetViews>
  <sheetFormatPr baseColWidth="10" defaultRowHeight="15" x14ac:dyDescent="0.25"/>
  <sheetData>
    <row r="1" spans="1:3" x14ac:dyDescent="0.25">
      <c r="A1" t="s">
        <v>1319</v>
      </c>
      <c r="B1" t="s">
        <v>1320</v>
      </c>
      <c r="C1" t="s">
        <v>1321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P240"/>
  <sheetViews>
    <sheetView workbookViewId="0">
      <selection activeCell="B99" sqref="B99"/>
    </sheetView>
  </sheetViews>
  <sheetFormatPr baseColWidth="10" defaultRowHeight="15" x14ac:dyDescent="0.25"/>
  <cols>
    <col min="2" max="2" width="37.5703125" customWidth="1"/>
  </cols>
  <sheetData>
    <row r="6" spans="1:16" x14ac:dyDescent="0.25">
      <c r="A6" t="s">
        <v>143</v>
      </c>
      <c r="B6" t="s">
        <v>144</v>
      </c>
      <c r="C6">
        <v>3769.99</v>
      </c>
      <c r="D6">
        <v>3</v>
      </c>
      <c r="E6">
        <v>15.5</v>
      </c>
      <c r="F6">
        <f t="shared" ref="F6:F42" si="0">E6*1.21</f>
        <v>18.754999999999999</v>
      </c>
      <c r="G6" t="s">
        <v>903</v>
      </c>
      <c r="H6">
        <f>(IF(G6='base para costos'!$G$3,'base para costos'!$H$3)+IF(G6='base para costos'!$G$4,'base para costos'!$H$4)+IF(G6='base para costos'!$G$5,'base para costos'!$H$5)+IF(G6='base para costos'!$G$6,'base para costos'!$H$6)+IF(G6='base para costos'!$G$7,'base para costos'!$H$7)+IF(G6='base para costos'!$G$8,'base para costos'!$H$8)+IF(G6='base para costos'!$G$9,'base para costos'!$H$9)+IF(G6='base para costos'!$G$10,'base para costos'!$H$10)+IF(G6='base para costos'!$G$11,'base para costos'!$H$11))</f>
        <v>0</v>
      </c>
      <c r="I6">
        <f>(C6/(('base para costos'!$J$3-D6)/100))</f>
        <v>3886.5876288659792</v>
      </c>
      <c r="J6">
        <f>(C6/(('base para costos'!$J$3-D6)/100-(0.08)))</f>
        <v>4235.9438202247184</v>
      </c>
      <c r="K6">
        <f t="shared" ref="K6:K42" si="1">(D6+8+1.2)+(F6+H6)</f>
        <v>30.954999999999998</v>
      </c>
      <c r="M6">
        <f t="shared" ref="M6:M42" si="2">L6*1.21</f>
        <v>0</v>
      </c>
      <c r="N6">
        <f t="shared" ref="N6:N42" si="3">C6/((100-K6)/100)+M6</f>
        <v>5460.1926279962336</v>
      </c>
      <c r="O6" t="s">
        <v>146</v>
      </c>
      <c r="P6" t="s">
        <v>145</v>
      </c>
    </row>
    <row r="7" spans="1:16" x14ac:dyDescent="0.25">
      <c r="A7" t="s">
        <v>164</v>
      </c>
      <c r="B7" t="s">
        <v>165</v>
      </c>
      <c r="C7">
        <v>3769.99</v>
      </c>
      <c r="D7">
        <v>3</v>
      </c>
      <c r="E7">
        <v>15.5</v>
      </c>
      <c r="F7">
        <f t="shared" si="0"/>
        <v>18.754999999999999</v>
      </c>
      <c r="G7" t="s">
        <v>903</v>
      </c>
      <c r="H7">
        <f>(IF(G7='base para costos'!$G$3,'base para costos'!$H$3)+IF(G7='base para costos'!$G$4,'base para costos'!$H$4)+IF(G7='base para costos'!$G$5,'base para costos'!$H$5)+IF(G7='base para costos'!$G$6,'base para costos'!$H$6)+IF(G7='base para costos'!$G$7,'base para costos'!$H$7)+IF(G7='base para costos'!$G$8,'base para costos'!$H$8)+IF(G7='base para costos'!$G$9,'base para costos'!$H$9)+IF(G7='base para costos'!$G$10,'base para costos'!$H$10)+IF(G7='base para costos'!$G$11,'base para costos'!$H$11))</f>
        <v>0</v>
      </c>
      <c r="I7">
        <f>(C7/(('base para costos'!$J$3-D7)/100))</f>
        <v>3886.5876288659792</v>
      </c>
      <c r="J7">
        <f>(C7/(('base para costos'!$J$3-D7)/100-(0.08)))</f>
        <v>4235.9438202247184</v>
      </c>
      <c r="K7">
        <f t="shared" si="1"/>
        <v>30.954999999999998</v>
      </c>
      <c r="M7">
        <f t="shared" si="2"/>
        <v>0</v>
      </c>
      <c r="N7">
        <f t="shared" si="3"/>
        <v>5460.1926279962336</v>
      </c>
      <c r="O7" t="s">
        <v>146</v>
      </c>
      <c r="P7" t="s">
        <v>145</v>
      </c>
    </row>
    <row r="8" spans="1:16" x14ac:dyDescent="0.25">
      <c r="A8" t="s">
        <v>264</v>
      </c>
      <c r="B8" t="s">
        <v>265</v>
      </c>
      <c r="C8">
        <v>19500</v>
      </c>
      <c r="D8">
        <v>3</v>
      </c>
      <c r="E8">
        <v>15.5</v>
      </c>
      <c r="F8">
        <f t="shared" si="0"/>
        <v>18.754999999999999</v>
      </c>
      <c r="G8" t="s">
        <v>903</v>
      </c>
      <c r="H8">
        <f>(IF(G8='base para costos'!$G$3,'base para costos'!$H$3)+IF(G8='base para costos'!$G$4,'base para costos'!$H$4)+IF(G8='base para costos'!$G$5,'base para costos'!$H$5)+IF(G8='base para costos'!$G$6,'base para costos'!$H$6)+IF(G8='base para costos'!$G$7,'base para costos'!$H$7)+IF(G8='base para costos'!$G$8,'base para costos'!$H$8)+IF(G8='base para costos'!$G$9,'base para costos'!$H$9)+IF(G8='base para costos'!$G$10,'base para costos'!$H$10)+IF(G8='base para costos'!$G$11,'base para costos'!$H$11))</f>
        <v>0</v>
      </c>
      <c r="I8">
        <f>(C8/(('base para costos'!$J$3-D8)/100))</f>
        <v>20103.092783505155</v>
      </c>
      <c r="J8">
        <f>(C8/(('base para costos'!$J$3-D8)/100-(0.08)))</f>
        <v>21910.112359550563</v>
      </c>
      <c r="K8">
        <f t="shared" si="1"/>
        <v>30.954999999999998</v>
      </c>
      <c r="M8">
        <f t="shared" si="2"/>
        <v>0</v>
      </c>
      <c r="N8">
        <f t="shared" si="3"/>
        <v>28242.450575711493</v>
      </c>
      <c r="O8" t="s">
        <v>266</v>
      </c>
      <c r="P8" t="s">
        <v>145</v>
      </c>
    </row>
    <row r="9" spans="1:16" x14ac:dyDescent="0.25">
      <c r="A9" t="s">
        <v>267</v>
      </c>
      <c r="B9" t="s">
        <v>268</v>
      </c>
      <c r="C9">
        <v>3769.99</v>
      </c>
      <c r="D9">
        <v>3</v>
      </c>
      <c r="E9">
        <v>15.5</v>
      </c>
      <c r="F9">
        <f t="shared" si="0"/>
        <v>18.754999999999999</v>
      </c>
      <c r="G9" t="s">
        <v>903</v>
      </c>
      <c r="H9">
        <f>(IF(G9='base para costos'!$G$3,'base para costos'!$H$3)+IF(G9='base para costos'!$G$4,'base para costos'!$H$4)+IF(G9='base para costos'!$G$5,'base para costos'!$H$5)+IF(G9='base para costos'!$G$6,'base para costos'!$H$6)+IF(G9='base para costos'!$G$7,'base para costos'!$H$7)+IF(G9='base para costos'!$G$8,'base para costos'!$H$8)+IF(G9='base para costos'!$G$9,'base para costos'!$H$9)+IF(G9='base para costos'!$G$10,'base para costos'!$H$10)+IF(G9='base para costos'!$G$11,'base para costos'!$H$11))</f>
        <v>0</v>
      </c>
      <c r="I9">
        <f>(C9/(('base para costos'!$J$3-D9)/100))</f>
        <v>3886.5876288659792</v>
      </c>
      <c r="J9">
        <f>(C9/(('base para costos'!$J$3-D9)/100-(0.08)))</f>
        <v>4235.9438202247184</v>
      </c>
      <c r="K9">
        <f t="shared" si="1"/>
        <v>30.954999999999998</v>
      </c>
      <c r="M9">
        <f t="shared" si="2"/>
        <v>0</v>
      </c>
      <c r="N9">
        <f t="shared" si="3"/>
        <v>5460.1926279962336</v>
      </c>
      <c r="O9" t="s">
        <v>146</v>
      </c>
      <c r="P9" t="s">
        <v>145</v>
      </c>
    </row>
    <row r="10" spans="1:16" x14ac:dyDescent="0.25">
      <c r="A10" t="s">
        <v>269</v>
      </c>
      <c r="B10" t="s">
        <v>270</v>
      </c>
      <c r="C10">
        <v>4550</v>
      </c>
      <c r="D10">
        <v>3</v>
      </c>
      <c r="E10">
        <v>15.5</v>
      </c>
      <c r="F10">
        <f t="shared" si="0"/>
        <v>18.754999999999999</v>
      </c>
      <c r="G10" t="s">
        <v>903</v>
      </c>
      <c r="H10">
        <f>(IF(G10='base para costos'!$G$3,'base para costos'!$H$3)+IF(G10='base para costos'!$G$4,'base para costos'!$H$4)+IF(G10='base para costos'!$G$5,'base para costos'!$H$5)+IF(G10='base para costos'!$G$6,'base para costos'!$H$6)+IF(G10='base para costos'!$G$7,'base para costos'!$H$7)+IF(G10='base para costos'!$G$8,'base para costos'!$H$8)+IF(G10='base para costos'!$G$9,'base para costos'!$H$9)+IF(G10='base para costos'!$G$10,'base para costos'!$H$10)+IF(G10='base para costos'!$G$11,'base para costos'!$H$11))</f>
        <v>0</v>
      </c>
      <c r="I10">
        <f>(C10/(('base para costos'!$J$3-D10)/100))</f>
        <v>4690.7216494845361</v>
      </c>
      <c r="J10">
        <f>(C10/(('base para costos'!$J$3-D10)/100-(0.08)))</f>
        <v>5112.3595505617977</v>
      </c>
      <c r="K10">
        <f t="shared" si="1"/>
        <v>30.954999999999998</v>
      </c>
      <c r="M10">
        <f t="shared" si="2"/>
        <v>0</v>
      </c>
      <c r="N10">
        <f t="shared" si="3"/>
        <v>6589.9051343326819</v>
      </c>
      <c r="O10" t="s">
        <v>146</v>
      </c>
      <c r="P10" t="s">
        <v>145</v>
      </c>
    </row>
    <row r="11" spans="1:16" x14ac:dyDescent="0.25">
      <c r="A11" t="s">
        <v>273</v>
      </c>
      <c r="B11" t="s">
        <v>274</v>
      </c>
      <c r="C11">
        <v>4062.5</v>
      </c>
      <c r="D11">
        <v>3</v>
      </c>
      <c r="E11">
        <v>15.5</v>
      </c>
      <c r="F11">
        <f t="shared" si="0"/>
        <v>18.754999999999999</v>
      </c>
      <c r="G11" t="s">
        <v>903</v>
      </c>
      <c r="H11">
        <f>(IF(G11='base para costos'!$G$3,'base para costos'!$H$3)+IF(G11='base para costos'!$G$4,'base para costos'!$H$4)+IF(G11='base para costos'!$G$5,'base para costos'!$H$5)+IF(G11='base para costos'!$G$6,'base para costos'!$H$6)+IF(G11='base para costos'!$G$7,'base para costos'!$H$7)+IF(G11='base para costos'!$G$8,'base para costos'!$H$8)+IF(G11='base para costos'!$G$9,'base para costos'!$H$9)+IF(G11='base para costos'!$G$10,'base para costos'!$H$10)+IF(G11='base para costos'!$G$11,'base para costos'!$H$11))</f>
        <v>0</v>
      </c>
      <c r="I11">
        <f>(C11/(('base para costos'!$J$3-D11)/100))</f>
        <v>4188.144329896907</v>
      </c>
      <c r="J11">
        <f>(C11/(('base para costos'!$J$3-D11)/100-(0.08)))</f>
        <v>4564.606741573034</v>
      </c>
      <c r="K11">
        <f t="shared" si="1"/>
        <v>30.954999999999998</v>
      </c>
      <c r="M11">
        <f t="shared" si="2"/>
        <v>0</v>
      </c>
      <c r="N11">
        <f t="shared" si="3"/>
        <v>5883.8438699398939</v>
      </c>
      <c r="O11" t="s">
        <v>146</v>
      </c>
      <c r="P11" t="s">
        <v>145</v>
      </c>
    </row>
    <row r="12" spans="1:16" x14ac:dyDescent="0.25">
      <c r="A12" t="s">
        <v>296</v>
      </c>
      <c r="B12" t="s">
        <v>297</v>
      </c>
      <c r="C12">
        <v>13000</v>
      </c>
      <c r="D12">
        <v>3</v>
      </c>
      <c r="E12">
        <v>15.5</v>
      </c>
      <c r="F12">
        <f t="shared" si="0"/>
        <v>18.754999999999999</v>
      </c>
      <c r="G12" t="s">
        <v>903</v>
      </c>
      <c r="H12">
        <f>(IF(G12='base para costos'!$G$3,'base para costos'!$H$3)+IF(G12='base para costos'!$G$4,'base para costos'!$H$4)+IF(G12='base para costos'!$G$5,'base para costos'!$H$5)+IF(G12='base para costos'!$G$6,'base para costos'!$H$6)+IF(G12='base para costos'!$G$7,'base para costos'!$H$7)+IF(G12='base para costos'!$G$8,'base para costos'!$H$8)+IF(G12='base para costos'!$G$9,'base para costos'!$H$9)+IF(G12='base para costos'!$G$10,'base para costos'!$H$10)+IF(G12='base para costos'!$G$11,'base para costos'!$H$11))</f>
        <v>0</v>
      </c>
      <c r="I12">
        <f>(C12/(('base para costos'!$J$3-D12)/100))</f>
        <v>13402.061855670103</v>
      </c>
      <c r="J12">
        <f>(C12/(('base para costos'!$J$3-D12)/100-(0.08)))</f>
        <v>14606.741573033707</v>
      </c>
      <c r="K12">
        <f t="shared" si="1"/>
        <v>30.954999999999998</v>
      </c>
      <c r="M12">
        <f t="shared" si="2"/>
        <v>0</v>
      </c>
      <c r="N12">
        <f t="shared" si="3"/>
        <v>18828.300383807662</v>
      </c>
      <c r="O12" t="s">
        <v>299</v>
      </c>
      <c r="P12" t="s">
        <v>298</v>
      </c>
    </row>
    <row r="13" spans="1:16" x14ac:dyDescent="0.25">
      <c r="A13" t="s">
        <v>300</v>
      </c>
      <c r="B13" t="s">
        <v>301</v>
      </c>
      <c r="C13">
        <v>51714</v>
      </c>
      <c r="D13">
        <v>3</v>
      </c>
      <c r="E13">
        <v>15.5</v>
      </c>
      <c r="F13">
        <f t="shared" si="0"/>
        <v>18.754999999999999</v>
      </c>
      <c r="G13" t="s">
        <v>903</v>
      </c>
      <c r="H13">
        <f>(IF(G13='base para costos'!$G$3,'base para costos'!$H$3)+IF(G13='base para costos'!$G$4,'base para costos'!$H$4)+IF(G13='base para costos'!$G$5,'base para costos'!$H$5)+IF(G13='base para costos'!$G$6,'base para costos'!$H$6)+IF(G13='base para costos'!$G$7,'base para costos'!$H$7)+IF(G13='base para costos'!$G$8,'base para costos'!$H$8)+IF(G13='base para costos'!$G$9,'base para costos'!$H$9)+IF(G13='base para costos'!$G$10,'base para costos'!$H$10)+IF(G13='base para costos'!$G$11,'base para costos'!$H$11))</f>
        <v>0</v>
      </c>
      <c r="I13">
        <f>(C13/(('base para costos'!$J$3-D13)/100))</f>
        <v>53313.402061855675</v>
      </c>
      <c r="J13">
        <f>(C13/(('base para costos'!$J$3-D13)/100-(0.08)))</f>
        <v>58105.617977528091</v>
      </c>
      <c r="K13">
        <f t="shared" si="1"/>
        <v>30.954999999999998</v>
      </c>
      <c r="M13">
        <f t="shared" si="2"/>
        <v>0</v>
      </c>
      <c r="N13">
        <f t="shared" si="3"/>
        <v>74898.978926786876</v>
      </c>
      <c r="O13" t="s">
        <v>302</v>
      </c>
      <c r="P13" t="s">
        <v>145</v>
      </c>
    </row>
    <row r="14" spans="1:16" x14ac:dyDescent="0.25">
      <c r="A14" t="s">
        <v>305</v>
      </c>
      <c r="B14" t="s">
        <v>306</v>
      </c>
      <c r="C14">
        <v>4550</v>
      </c>
      <c r="D14">
        <v>3</v>
      </c>
      <c r="E14">
        <v>15.5</v>
      </c>
      <c r="F14">
        <f t="shared" si="0"/>
        <v>18.754999999999999</v>
      </c>
      <c r="G14" t="s">
        <v>903</v>
      </c>
      <c r="H14">
        <f>(IF(G14='base para costos'!$G$3,'base para costos'!$H$3)+IF(G14='base para costos'!$G$4,'base para costos'!$H$4)+IF(G14='base para costos'!$G$5,'base para costos'!$H$5)+IF(G14='base para costos'!$G$6,'base para costos'!$H$6)+IF(G14='base para costos'!$G$7,'base para costos'!$H$7)+IF(G14='base para costos'!$G$8,'base para costos'!$H$8)+IF(G14='base para costos'!$G$9,'base para costos'!$H$9)+IF(G14='base para costos'!$G$10,'base para costos'!$H$10)+IF(G14='base para costos'!$G$11,'base para costos'!$H$11))</f>
        <v>0</v>
      </c>
      <c r="I14">
        <f>(C14/(('base para costos'!$J$3-D14)/100))</f>
        <v>4690.7216494845361</v>
      </c>
      <c r="J14">
        <f>(C14/(('base para costos'!$J$3-D14)/100-(0.08)))</f>
        <v>5112.3595505617977</v>
      </c>
      <c r="K14">
        <f t="shared" si="1"/>
        <v>30.954999999999998</v>
      </c>
      <c r="M14">
        <f t="shared" si="2"/>
        <v>0</v>
      </c>
      <c r="N14">
        <f t="shared" si="3"/>
        <v>6589.9051343326819</v>
      </c>
      <c r="O14" t="s">
        <v>146</v>
      </c>
      <c r="P14" t="s">
        <v>145</v>
      </c>
    </row>
    <row r="15" spans="1:16" x14ac:dyDescent="0.25">
      <c r="A15" t="s">
        <v>314</v>
      </c>
      <c r="B15" t="s">
        <v>315</v>
      </c>
      <c r="C15">
        <v>22750</v>
      </c>
      <c r="D15">
        <v>3</v>
      </c>
      <c r="E15">
        <v>15.5</v>
      </c>
      <c r="F15">
        <f t="shared" si="0"/>
        <v>18.754999999999999</v>
      </c>
      <c r="G15" t="s">
        <v>903</v>
      </c>
      <c r="H15">
        <f>(IF(G15='base para costos'!$G$3,'base para costos'!$H$3)+IF(G15='base para costos'!$G$4,'base para costos'!$H$4)+IF(G15='base para costos'!$G$5,'base para costos'!$H$5)+IF(G15='base para costos'!$G$6,'base para costos'!$H$6)+IF(G15='base para costos'!$G$7,'base para costos'!$H$7)+IF(G15='base para costos'!$G$8,'base para costos'!$H$8)+IF(G15='base para costos'!$G$9,'base para costos'!$H$9)+IF(G15='base para costos'!$G$10,'base para costos'!$H$10)+IF(G15='base para costos'!$G$11,'base para costos'!$H$11))</f>
        <v>0</v>
      </c>
      <c r="I15">
        <f>(C15/(('base para costos'!$J$3-D15)/100))</f>
        <v>23453.608247422682</v>
      </c>
      <c r="J15">
        <f>(C15/(('base para costos'!$J$3-D15)/100-(0.08)))</f>
        <v>25561.797752808987</v>
      </c>
      <c r="K15">
        <f t="shared" si="1"/>
        <v>30.954999999999998</v>
      </c>
      <c r="M15">
        <f t="shared" si="2"/>
        <v>0</v>
      </c>
      <c r="N15">
        <f t="shared" si="3"/>
        <v>32949.52567166341</v>
      </c>
      <c r="O15" t="s">
        <v>266</v>
      </c>
      <c r="P15" t="s">
        <v>316</v>
      </c>
    </row>
    <row r="16" spans="1:16" x14ac:dyDescent="0.25">
      <c r="A16" t="s">
        <v>329</v>
      </c>
      <c r="B16" t="s">
        <v>330</v>
      </c>
      <c r="C16">
        <v>2730</v>
      </c>
      <c r="D16">
        <v>3</v>
      </c>
      <c r="E16">
        <v>15.5</v>
      </c>
      <c r="F16">
        <f t="shared" si="0"/>
        <v>18.754999999999999</v>
      </c>
      <c r="G16" t="s">
        <v>903</v>
      </c>
      <c r="H16">
        <f>(IF(G16='base para costos'!$G$3,'base para costos'!$H$3)+IF(G16='base para costos'!$G$4,'base para costos'!$H$4)+IF(G16='base para costos'!$G$5,'base para costos'!$H$5)+IF(G16='base para costos'!$G$6,'base para costos'!$H$6)+IF(G16='base para costos'!$G$7,'base para costos'!$H$7)+IF(G16='base para costos'!$G$8,'base para costos'!$H$8)+IF(G16='base para costos'!$G$9,'base para costos'!$H$9)+IF(G16='base para costos'!$G$10,'base para costos'!$H$10)+IF(G16='base para costos'!$G$11,'base para costos'!$H$11))</f>
        <v>0</v>
      </c>
      <c r="I16">
        <f>(C16/(('base para costos'!$J$3-D16)/100))</f>
        <v>2814.4329896907216</v>
      </c>
      <c r="J16">
        <f>(C16/(('base para costos'!$J$3-D16)/100-(0.08)))</f>
        <v>3067.4157303370785</v>
      </c>
      <c r="K16">
        <f t="shared" si="1"/>
        <v>30.954999999999998</v>
      </c>
      <c r="M16">
        <f t="shared" si="2"/>
        <v>0</v>
      </c>
      <c r="N16">
        <f t="shared" si="3"/>
        <v>3953.9430805996089</v>
      </c>
      <c r="O16" t="s">
        <v>146</v>
      </c>
      <c r="P16" t="s">
        <v>145</v>
      </c>
    </row>
    <row r="17" spans="1:16" x14ac:dyDescent="0.25">
      <c r="A17" t="s">
        <v>337</v>
      </c>
      <c r="B17" t="s">
        <v>338</v>
      </c>
      <c r="C17">
        <v>3769.99</v>
      </c>
      <c r="D17">
        <v>3</v>
      </c>
      <c r="E17">
        <v>15.5</v>
      </c>
      <c r="F17">
        <f t="shared" si="0"/>
        <v>18.754999999999999</v>
      </c>
      <c r="G17" t="s">
        <v>903</v>
      </c>
      <c r="H17">
        <f>(IF(G17='base para costos'!$G$3,'base para costos'!$H$3)+IF(G17='base para costos'!$G$4,'base para costos'!$H$4)+IF(G17='base para costos'!$G$5,'base para costos'!$H$5)+IF(G17='base para costos'!$G$6,'base para costos'!$H$6)+IF(G17='base para costos'!$G$7,'base para costos'!$H$7)+IF(G17='base para costos'!$G$8,'base para costos'!$H$8)+IF(G17='base para costos'!$G$9,'base para costos'!$H$9)+IF(G17='base para costos'!$G$10,'base para costos'!$H$10)+IF(G17='base para costos'!$G$11,'base para costos'!$H$11))</f>
        <v>0</v>
      </c>
      <c r="I17">
        <f>(C17/(('base para costos'!$J$3-D17)/100))</f>
        <v>3886.5876288659792</v>
      </c>
      <c r="J17">
        <f>(C17/(('base para costos'!$J$3-D17)/100-(0.08)))</f>
        <v>4235.9438202247184</v>
      </c>
      <c r="K17">
        <f t="shared" si="1"/>
        <v>30.954999999999998</v>
      </c>
      <c r="M17">
        <f t="shared" si="2"/>
        <v>0</v>
      </c>
      <c r="N17">
        <f t="shared" si="3"/>
        <v>5460.1926279962336</v>
      </c>
      <c r="O17" t="s">
        <v>146</v>
      </c>
      <c r="P17" t="s">
        <v>145</v>
      </c>
    </row>
    <row r="18" spans="1:16" x14ac:dyDescent="0.25">
      <c r="A18" t="s">
        <v>339</v>
      </c>
      <c r="B18" t="s">
        <v>340</v>
      </c>
      <c r="C18">
        <v>8398.83</v>
      </c>
      <c r="D18">
        <v>3</v>
      </c>
      <c r="E18">
        <v>15.5</v>
      </c>
      <c r="F18">
        <f t="shared" si="0"/>
        <v>18.754999999999999</v>
      </c>
      <c r="G18" t="s">
        <v>903</v>
      </c>
      <c r="H18">
        <f>(IF(G18='base para costos'!$G$3,'base para costos'!$H$3)+IF(G18='base para costos'!$G$4,'base para costos'!$H$4)+IF(G18='base para costos'!$G$5,'base para costos'!$H$5)+IF(G18='base para costos'!$G$6,'base para costos'!$H$6)+IF(G18='base para costos'!$G$7,'base para costos'!$H$7)+IF(G18='base para costos'!$G$8,'base para costos'!$H$8)+IF(G18='base para costos'!$G$9,'base para costos'!$H$9)+IF(G18='base para costos'!$G$10,'base para costos'!$H$10)+IF(G18='base para costos'!$G$11,'base para costos'!$H$11))</f>
        <v>0</v>
      </c>
      <c r="I18">
        <f>(C18/(('base para costos'!$J$3-D18)/100))</f>
        <v>8658.5876288659802</v>
      </c>
      <c r="J18">
        <f>(C18/(('base para costos'!$J$3-D18)/100-(0.08)))</f>
        <v>9436.8876404494385</v>
      </c>
      <c r="K18">
        <f t="shared" si="1"/>
        <v>30.954999999999998</v>
      </c>
      <c r="M18">
        <f t="shared" si="2"/>
        <v>0</v>
      </c>
      <c r="N18">
        <f t="shared" si="3"/>
        <v>12164.284162502716</v>
      </c>
      <c r="O18" t="s">
        <v>146</v>
      </c>
      <c r="P18" t="s">
        <v>298</v>
      </c>
    </row>
    <row r="19" spans="1:16" x14ac:dyDescent="0.25">
      <c r="A19" t="s">
        <v>343</v>
      </c>
      <c r="B19" t="s">
        <v>344</v>
      </c>
      <c r="C19">
        <v>171.77</v>
      </c>
      <c r="D19">
        <v>3</v>
      </c>
      <c r="E19">
        <v>15.5</v>
      </c>
      <c r="F19">
        <f t="shared" si="0"/>
        <v>18.754999999999999</v>
      </c>
      <c r="G19" t="s">
        <v>903</v>
      </c>
      <c r="H19">
        <f>(IF(G19='base para costos'!$G$3,'base para costos'!$H$3)+IF(G19='base para costos'!$G$4,'base para costos'!$H$4)+IF(G19='base para costos'!$G$5,'base para costos'!$H$5)+IF(G19='base para costos'!$G$6,'base para costos'!$H$6)+IF(G19='base para costos'!$G$7,'base para costos'!$H$7)+IF(G19='base para costos'!$G$8,'base para costos'!$H$8)+IF(G19='base para costos'!$G$9,'base para costos'!$H$9)+IF(G19='base para costos'!$G$10,'base para costos'!$H$10)+IF(G19='base para costos'!$G$11,'base para costos'!$H$11))</f>
        <v>0</v>
      </c>
      <c r="I19">
        <f>(C19/(('base para costos'!$J$3-D19)/100))</f>
        <v>177.08247422680415</v>
      </c>
      <c r="J19">
        <f>(C19/(('base para costos'!$J$3-D19)/100-(0.08)))</f>
        <v>193</v>
      </c>
      <c r="K19">
        <f t="shared" si="1"/>
        <v>30.954999999999998</v>
      </c>
      <c r="M19">
        <f t="shared" si="2"/>
        <v>0</v>
      </c>
      <c r="N19">
        <f t="shared" si="3"/>
        <v>248.7797813020494</v>
      </c>
      <c r="O19" t="s">
        <v>345</v>
      </c>
      <c r="P19" t="s">
        <v>145</v>
      </c>
    </row>
    <row r="20" spans="1:16" x14ac:dyDescent="0.25">
      <c r="A20" t="s">
        <v>346</v>
      </c>
      <c r="B20" t="s">
        <v>347</v>
      </c>
      <c r="C20">
        <v>6305</v>
      </c>
      <c r="D20">
        <v>10</v>
      </c>
      <c r="E20">
        <v>16</v>
      </c>
      <c r="F20">
        <f t="shared" si="0"/>
        <v>19.36</v>
      </c>
      <c r="G20" t="s">
        <v>903</v>
      </c>
      <c r="H20">
        <f>(IF(G20='base para costos'!$G$3,'base para costos'!$H$3)+IF(G20='base para costos'!$G$4,'base para costos'!$H$4)+IF(G20='base para costos'!$G$5,'base para costos'!$H$5)+IF(G20='base para costos'!$G$6,'base para costos'!$H$6)+IF(G20='base para costos'!$G$7,'base para costos'!$H$7)+IF(G20='base para costos'!$G$8,'base para costos'!$H$8)+IF(G20='base para costos'!$G$9,'base para costos'!$H$9)+IF(G20='base para costos'!$G$10,'base para costos'!$H$10)+IF(G20='base para costos'!$G$11,'base para costos'!$H$11))</f>
        <v>0</v>
      </c>
      <c r="I20">
        <f>(C20/(('base para costos'!$J$3-D20)/100))</f>
        <v>7005.5555555555557</v>
      </c>
      <c r="J20">
        <f>(C20/(('base para costos'!$J$3-D20)/100-(0.08)))</f>
        <v>7689.0243902439015</v>
      </c>
      <c r="K20">
        <f t="shared" si="1"/>
        <v>38.56</v>
      </c>
      <c r="M20">
        <f t="shared" si="2"/>
        <v>0</v>
      </c>
      <c r="N20">
        <f t="shared" si="3"/>
        <v>10262.044270833334</v>
      </c>
      <c r="O20" t="s">
        <v>348</v>
      </c>
      <c r="P20" t="s">
        <v>233</v>
      </c>
    </row>
    <row r="21" spans="1:16" x14ac:dyDescent="0.25">
      <c r="A21" t="s">
        <v>353</v>
      </c>
      <c r="B21" t="s">
        <v>354</v>
      </c>
      <c r="C21">
        <v>9750</v>
      </c>
      <c r="D21">
        <v>3</v>
      </c>
      <c r="E21">
        <v>15.5</v>
      </c>
      <c r="F21">
        <f t="shared" si="0"/>
        <v>18.754999999999999</v>
      </c>
      <c r="G21" t="s">
        <v>903</v>
      </c>
      <c r="H21">
        <f>(IF(G21='base para costos'!$G$3,'base para costos'!$H$3)+IF(G21='base para costos'!$G$4,'base para costos'!$H$4)+IF(G21='base para costos'!$G$5,'base para costos'!$H$5)+IF(G21='base para costos'!$G$6,'base para costos'!$H$6)+IF(G21='base para costos'!$G$7,'base para costos'!$H$7)+IF(G21='base para costos'!$G$8,'base para costos'!$H$8)+IF(G21='base para costos'!$G$9,'base para costos'!$H$9)+IF(G21='base para costos'!$G$10,'base para costos'!$H$10)+IF(G21='base para costos'!$G$11,'base para costos'!$H$11))</f>
        <v>0</v>
      </c>
      <c r="I21">
        <f>(C21/(('base para costos'!$J$3-D21)/100))</f>
        <v>10051.546391752578</v>
      </c>
      <c r="J21">
        <f>(C21/(('base para costos'!$J$3-D21)/100-(0.08)))</f>
        <v>10955.056179775282</v>
      </c>
      <c r="K21">
        <f t="shared" si="1"/>
        <v>30.954999999999998</v>
      </c>
      <c r="M21">
        <f t="shared" si="2"/>
        <v>0</v>
      </c>
      <c r="N21">
        <f t="shared" si="3"/>
        <v>14121.225287855747</v>
      </c>
      <c r="O21" t="s">
        <v>146</v>
      </c>
      <c r="P21" t="s">
        <v>145</v>
      </c>
    </row>
    <row r="22" spans="1:16" x14ac:dyDescent="0.25">
      <c r="A22" t="s">
        <v>367</v>
      </c>
      <c r="B22" t="s">
        <v>368</v>
      </c>
      <c r="C22">
        <v>10608</v>
      </c>
      <c r="D22">
        <v>3</v>
      </c>
      <c r="E22">
        <v>15.5</v>
      </c>
      <c r="F22">
        <f t="shared" si="0"/>
        <v>18.754999999999999</v>
      </c>
      <c r="G22" t="s">
        <v>903</v>
      </c>
      <c r="H22">
        <f>(IF(G22='base para costos'!$G$3,'base para costos'!$H$3)+IF(G22='base para costos'!$G$4,'base para costos'!$H$4)+IF(G22='base para costos'!$G$5,'base para costos'!$H$5)+IF(G22='base para costos'!$G$6,'base para costos'!$H$6)+IF(G22='base para costos'!$G$7,'base para costos'!$H$7)+IF(G22='base para costos'!$G$8,'base para costos'!$H$8)+IF(G22='base para costos'!$G$9,'base para costos'!$H$9)+IF(G22='base para costos'!$G$10,'base para costos'!$H$10)+IF(G22='base para costos'!$G$11,'base para costos'!$H$11))</f>
        <v>0</v>
      </c>
      <c r="I22">
        <f>(C22/(('base para costos'!$J$3-D22)/100))</f>
        <v>10936.082474226805</v>
      </c>
      <c r="J22">
        <f>(C22/(('base para costos'!$J$3-D22)/100-(0.08)))</f>
        <v>11919.101123595505</v>
      </c>
      <c r="K22">
        <f t="shared" si="1"/>
        <v>30.954999999999998</v>
      </c>
      <c r="M22">
        <f t="shared" si="2"/>
        <v>0</v>
      </c>
      <c r="N22">
        <f t="shared" si="3"/>
        <v>15363.893113187052</v>
      </c>
      <c r="O22" t="s">
        <v>146</v>
      </c>
      <c r="P22" t="s">
        <v>145</v>
      </c>
    </row>
    <row r="23" spans="1:16" x14ac:dyDescent="0.25">
      <c r="A23" t="s">
        <v>369</v>
      </c>
      <c r="B23" t="s">
        <v>370</v>
      </c>
      <c r="C23">
        <v>17550</v>
      </c>
      <c r="D23">
        <v>3</v>
      </c>
      <c r="E23">
        <v>15.5</v>
      </c>
      <c r="F23">
        <f t="shared" si="0"/>
        <v>18.754999999999999</v>
      </c>
      <c r="G23" t="s">
        <v>903</v>
      </c>
      <c r="H23">
        <f>(IF(G23='base para costos'!$G$3,'base para costos'!$H$3)+IF(G23='base para costos'!$G$4,'base para costos'!$H$4)+IF(G23='base para costos'!$G$5,'base para costos'!$H$5)+IF(G23='base para costos'!$G$6,'base para costos'!$H$6)+IF(G23='base para costos'!$G$7,'base para costos'!$H$7)+IF(G23='base para costos'!$G$8,'base para costos'!$H$8)+IF(G23='base para costos'!$G$9,'base para costos'!$H$9)+IF(G23='base para costos'!$G$10,'base para costos'!$H$10)+IF(G23='base para costos'!$G$11,'base para costos'!$H$11))</f>
        <v>0</v>
      </c>
      <c r="I23">
        <f>(C23/(('base para costos'!$J$3-D23)/100))</f>
        <v>18092.783505154639</v>
      </c>
      <c r="J23">
        <f>(C23/(('base para costos'!$J$3-D23)/100-(0.08)))</f>
        <v>19719.101123595505</v>
      </c>
      <c r="K23">
        <f t="shared" si="1"/>
        <v>30.954999999999998</v>
      </c>
      <c r="M23">
        <f t="shared" si="2"/>
        <v>0</v>
      </c>
      <c r="N23">
        <f t="shared" si="3"/>
        <v>25418.205518140341</v>
      </c>
      <c r="O23" t="s">
        <v>146</v>
      </c>
      <c r="P23" t="s">
        <v>298</v>
      </c>
    </row>
    <row r="24" spans="1:16" x14ac:dyDescent="0.25">
      <c r="A24" t="s">
        <v>371</v>
      </c>
      <c r="B24" t="s">
        <v>372</v>
      </c>
      <c r="C24">
        <v>13000</v>
      </c>
      <c r="D24">
        <v>3</v>
      </c>
      <c r="E24">
        <v>15.5</v>
      </c>
      <c r="F24">
        <f t="shared" si="0"/>
        <v>18.754999999999999</v>
      </c>
      <c r="G24" t="s">
        <v>903</v>
      </c>
      <c r="H24">
        <f>(IF(G24='base para costos'!$G$3,'base para costos'!$H$3)+IF(G24='base para costos'!$G$4,'base para costos'!$H$4)+IF(G24='base para costos'!$G$5,'base para costos'!$H$5)+IF(G24='base para costos'!$G$6,'base para costos'!$H$6)+IF(G24='base para costos'!$G$7,'base para costos'!$H$7)+IF(G24='base para costos'!$G$8,'base para costos'!$H$8)+IF(G24='base para costos'!$G$9,'base para costos'!$H$9)+IF(G24='base para costos'!$G$10,'base para costos'!$H$10)+IF(G24='base para costos'!$G$11,'base para costos'!$H$11))</f>
        <v>0</v>
      </c>
      <c r="I24">
        <f>(C24/(('base para costos'!$J$3-D24)/100))</f>
        <v>13402.061855670103</v>
      </c>
      <c r="J24">
        <f>(C24/(('base para costos'!$J$3-D24)/100-(0.08)))</f>
        <v>14606.741573033707</v>
      </c>
      <c r="K24">
        <f t="shared" si="1"/>
        <v>30.954999999999998</v>
      </c>
      <c r="M24">
        <f t="shared" si="2"/>
        <v>0</v>
      </c>
      <c r="N24">
        <f t="shared" si="3"/>
        <v>18828.300383807662</v>
      </c>
      <c r="O24" t="s">
        <v>266</v>
      </c>
      <c r="P24" t="s">
        <v>145</v>
      </c>
    </row>
    <row r="25" spans="1:16" x14ac:dyDescent="0.25">
      <c r="A25" t="s">
        <v>373</v>
      </c>
      <c r="B25" t="s">
        <v>374</v>
      </c>
      <c r="C25">
        <v>13000</v>
      </c>
      <c r="D25">
        <v>3</v>
      </c>
      <c r="E25">
        <v>15.5</v>
      </c>
      <c r="F25">
        <f t="shared" si="0"/>
        <v>18.754999999999999</v>
      </c>
      <c r="G25" t="s">
        <v>903</v>
      </c>
      <c r="H25">
        <f>(IF(G25='base para costos'!$G$3,'base para costos'!$H$3)+IF(G25='base para costos'!$G$4,'base para costos'!$H$4)+IF(G25='base para costos'!$G$5,'base para costos'!$H$5)+IF(G25='base para costos'!$G$6,'base para costos'!$H$6)+IF(G25='base para costos'!$G$7,'base para costos'!$H$7)+IF(G25='base para costos'!$G$8,'base para costos'!$H$8)+IF(G25='base para costos'!$G$9,'base para costos'!$H$9)+IF(G25='base para costos'!$G$10,'base para costos'!$H$10)+IF(G25='base para costos'!$G$11,'base para costos'!$H$11))</f>
        <v>0</v>
      </c>
      <c r="I25">
        <f>(C25/(('base para costos'!$J$3-D25)/100))</f>
        <v>13402.061855670103</v>
      </c>
      <c r="J25">
        <f>(C25/(('base para costos'!$J$3-D25)/100-(0.08)))</f>
        <v>14606.741573033707</v>
      </c>
      <c r="K25">
        <f t="shared" si="1"/>
        <v>30.954999999999998</v>
      </c>
      <c r="M25">
        <f t="shared" si="2"/>
        <v>0</v>
      </c>
      <c r="N25">
        <f t="shared" si="3"/>
        <v>18828.300383807662</v>
      </c>
      <c r="O25" t="s">
        <v>266</v>
      </c>
      <c r="P25" t="s">
        <v>145</v>
      </c>
    </row>
    <row r="26" spans="1:16" x14ac:dyDescent="0.25">
      <c r="A26" t="s">
        <v>414</v>
      </c>
      <c r="B26" t="s">
        <v>415</v>
      </c>
      <c r="C26">
        <v>19500</v>
      </c>
      <c r="D26">
        <v>3</v>
      </c>
      <c r="E26">
        <v>15.5</v>
      </c>
      <c r="F26">
        <f t="shared" si="0"/>
        <v>18.754999999999999</v>
      </c>
      <c r="G26" t="s">
        <v>903</v>
      </c>
      <c r="H26">
        <f>(IF(G26='base para costos'!$G$3,'base para costos'!$H$3)+IF(G26='base para costos'!$G$4,'base para costos'!$H$4)+IF(G26='base para costos'!$G$5,'base para costos'!$H$5)+IF(G26='base para costos'!$G$6,'base para costos'!$H$6)+IF(G26='base para costos'!$G$7,'base para costos'!$H$7)+IF(G26='base para costos'!$G$8,'base para costos'!$H$8)+IF(G26='base para costos'!$G$9,'base para costos'!$H$9)+IF(G26='base para costos'!$G$10,'base para costos'!$H$10)+IF(G26='base para costos'!$G$11,'base para costos'!$H$11))</f>
        <v>0</v>
      </c>
      <c r="I26">
        <f>(C26/(('base para costos'!$J$3-D26)/100))</f>
        <v>20103.092783505155</v>
      </c>
      <c r="J26">
        <f>(C26/(('base para costos'!$J$3-D26)/100-(0.08)))</f>
        <v>21910.112359550563</v>
      </c>
      <c r="K26">
        <f t="shared" si="1"/>
        <v>30.954999999999998</v>
      </c>
      <c r="M26">
        <f t="shared" si="2"/>
        <v>0</v>
      </c>
      <c r="N26">
        <f t="shared" si="3"/>
        <v>28242.450575711493</v>
      </c>
      <c r="O26" t="s">
        <v>266</v>
      </c>
      <c r="P26" t="s">
        <v>145</v>
      </c>
    </row>
    <row r="27" spans="1:16" x14ac:dyDescent="0.25">
      <c r="A27" t="s">
        <v>419</v>
      </c>
      <c r="B27" t="s">
        <v>420</v>
      </c>
      <c r="C27">
        <v>5569.19</v>
      </c>
      <c r="D27">
        <v>3</v>
      </c>
      <c r="E27">
        <v>15.5</v>
      </c>
      <c r="F27">
        <f t="shared" si="0"/>
        <v>18.754999999999999</v>
      </c>
      <c r="G27" t="s">
        <v>903</v>
      </c>
      <c r="H27">
        <f>(IF(G27='base para costos'!$G$3,'base para costos'!$H$3)+IF(G27='base para costos'!$G$4,'base para costos'!$H$4)+IF(G27='base para costos'!$G$5,'base para costos'!$H$5)+IF(G27='base para costos'!$G$6,'base para costos'!$H$6)+IF(G27='base para costos'!$G$7,'base para costos'!$H$7)+IF(G27='base para costos'!$G$8,'base para costos'!$H$8)+IF(G27='base para costos'!$G$9,'base para costos'!$H$9)+IF(G27='base para costos'!$G$10,'base para costos'!$H$10)+IF(G27='base para costos'!$G$11,'base para costos'!$H$11))</f>
        <v>0</v>
      </c>
      <c r="I27">
        <f>(C27/(('base para costos'!$J$3-D27)/100))</f>
        <v>5741.4329896907211</v>
      </c>
      <c r="J27">
        <f>(C27/(('base para costos'!$J$3-D27)/100-(0.08)))</f>
        <v>6257.5168539325841</v>
      </c>
      <c r="K27">
        <f t="shared" si="1"/>
        <v>30.954999999999998</v>
      </c>
      <c r="M27">
        <f t="shared" si="2"/>
        <v>0</v>
      </c>
      <c r="N27">
        <f t="shared" si="3"/>
        <v>8066.0294011152137</v>
      </c>
      <c r="O27" t="s">
        <v>146</v>
      </c>
      <c r="P27" t="s">
        <v>298</v>
      </c>
    </row>
    <row r="28" spans="1:16" x14ac:dyDescent="0.25">
      <c r="A28" t="s">
        <v>423</v>
      </c>
      <c r="B28" t="s">
        <v>424</v>
      </c>
      <c r="C28">
        <v>38060</v>
      </c>
      <c r="D28">
        <v>3</v>
      </c>
      <c r="E28">
        <v>15.5</v>
      </c>
      <c r="F28">
        <f t="shared" si="0"/>
        <v>18.754999999999999</v>
      </c>
      <c r="G28" t="s">
        <v>903</v>
      </c>
      <c r="H28">
        <f>(IF(G28='base para costos'!$G$3,'base para costos'!$H$3)+IF(G28='base para costos'!$G$4,'base para costos'!$H$4)+IF(G28='base para costos'!$G$5,'base para costos'!$H$5)+IF(G28='base para costos'!$G$6,'base para costos'!$H$6)+IF(G28='base para costos'!$G$7,'base para costos'!$H$7)+IF(G28='base para costos'!$G$8,'base para costos'!$H$8)+IF(G28='base para costos'!$G$9,'base para costos'!$H$9)+IF(G28='base para costos'!$G$10,'base para costos'!$H$10)+IF(G28='base para costos'!$G$11,'base para costos'!$H$11))</f>
        <v>0</v>
      </c>
      <c r="I28">
        <f>(C28/(('base para costos'!$J$3-D28)/100))</f>
        <v>39237.113402061856</v>
      </c>
      <c r="J28">
        <f>(C28/(('base para costos'!$J$3-D28)/100-(0.08)))</f>
        <v>42764.044943820227</v>
      </c>
      <c r="K28">
        <f t="shared" si="1"/>
        <v>30.954999999999998</v>
      </c>
      <c r="M28">
        <f t="shared" si="2"/>
        <v>0</v>
      </c>
      <c r="N28">
        <f t="shared" si="3"/>
        <v>55123.470200593816</v>
      </c>
      <c r="O28" t="s">
        <v>302</v>
      </c>
      <c r="P28" t="s">
        <v>145</v>
      </c>
    </row>
    <row r="29" spans="1:16" x14ac:dyDescent="0.25">
      <c r="A29" t="s">
        <v>427</v>
      </c>
      <c r="B29" t="s">
        <v>428</v>
      </c>
      <c r="C29">
        <v>37375</v>
      </c>
      <c r="D29">
        <v>3</v>
      </c>
      <c r="E29">
        <v>15.5</v>
      </c>
      <c r="F29">
        <f t="shared" si="0"/>
        <v>18.754999999999999</v>
      </c>
      <c r="G29" t="s">
        <v>903</v>
      </c>
      <c r="H29">
        <f>(IF(G29='base para costos'!$G$3,'base para costos'!$H$3)+IF(G29='base para costos'!$G$4,'base para costos'!$H$4)+IF(G29='base para costos'!$G$5,'base para costos'!$H$5)+IF(G29='base para costos'!$G$6,'base para costos'!$H$6)+IF(G29='base para costos'!$G$7,'base para costos'!$H$7)+IF(G29='base para costos'!$G$8,'base para costos'!$H$8)+IF(G29='base para costos'!$G$9,'base para costos'!$H$9)+IF(G29='base para costos'!$G$10,'base para costos'!$H$10)+IF(G29='base para costos'!$G$11,'base para costos'!$H$11))</f>
        <v>0</v>
      </c>
      <c r="I29">
        <f>(C29/(('base para costos'!$J$3-D29)/100))</f>
        <v>38530.927835051545</v>
      </c>
      <c r="J29">
        <f>(C29/(('base para costos'!$J$3-D29)/100-(0.08)))</f>
        <v>41994.382022471909</v>
      </c>
      <c r="K29">
        <f t="shared" si="1"/>
        <v>30.954999999999998</v>
      </c>
      <c r="M29">
        <f t="shared" si="2"/>
        <v>0</v>
      </c>
      <c r="N29">
        <f t="shared" si="3"/>
        <v>54131.363603447026</v>
      </c>
      <c r="O29" t="s">
        <v>302</v>
      </c>
      <c r="P29" t="s">
        <v>145</v>
      </c>
    </row>
    <row r="30" spans="1:16" x14ac:dyDescent="0.25">
      <c r="A30" t="s">
        <v>435</v>
      </c>
      <c r="B30" t="s">
        <v>436</v>
      </c>
      <c r="C30">
        <v>18200</v>
      </c>
      <c r="D30">
        <v>3</v>
      </c>
      <c r="E30">
        <v>15.5</v>
      </c>
      <c r="F30">
        <f t="shared" si="0"/>
        <v>18.754999999999999</v>
      </c>
      <c r="G30" t="s">
        <v>903</v>
      </c>
      <c r="H30">
        <f>(IF(G30='base para costos'!$G$3,'base para costos'!$H$3)+IF(G30='base para costos'!$G$4,'base para costos'!$H$4)+IF(G30='base para costos'!$G$5,'base para costos'!$H$5)+IF(G30='base para costos'!$G$6,'base para costos'!$H$6)+IF(G30='base para costos'!$G$7,'base para costos'!$H$7)+IF(G30='base para costos'!$G$8,'base para costos'!$H$8)+IF(G30='base para costos'!$G$9,'base para costos'!$H$9)+IF(G30='base para costos'!$G$10,'base para costos'!$H$10)+IF(G30='base para costos'!$G$11,'base para costos'!$H$11))</f>
        <v>0</v>
      </c>
      <c r="I30">
        <f>(C30/(('base para costos'!$J$3-D30)/100))</f>
        <v>18762.886597938144</v>
      </c>
      <c r="J30">
        <f>(C30/(('base para costos'!$J$3-D30)/100-(0.08)))</f>
        <v>20449.438202247191</v>
      </c>
      <c r="K30">
        <f t="shared" si="1"/>
        <v>30.954999999999998</v>
      </c>
      <c r="M30">
        <f t="shared" si="2"/>
        <v>0</v>
      </c>
      <c r="N30">
        <f t="shared" si="3"/>
        <v>26359.620537330728</v>
      </c>
      <c r="O30" t="s">
        <v>146</v>
      </c>
      <c r="P30" t="s">
        <v>298</v>
      </c>
    </row>
    <row r="31" spans="1:16" x14ac:dyDescent="0.25">
      <c r="A31" t="s">
        <v>454</v>
      </c>
      <c r="B31" t="s">
        <v>455</v>
      </c>
      <c r="C31">
        <v>6722.82</v>
      </c>
      <c r="D31">
        <v>3</v>
      </c>
      <c r="E31">
        <v>15.5</v>
      </c>
      <c r="F31">
        <f t="shared" si="0"/>
        <v>18.754999999999999</v>
      </c>
      <c r="G31" t="s">
        <v>903</v>
      </c>
      <c r="H31">
        <f>(IF(G31='base para costos'!$G$3,'base para costos'!$H$3)+IF(G31='base para costos'!$G$4,'base para costos'!$H$4)+IF(G31='base para costos'!$G$5,'base para costos'!$H$5)+IF(G31='base para costos'!$G$6,'base para costos'!$H$6)+IF(G31='base para costos'!$G$7,'base para costos'!$H$7)+IF(G31='base para costos'!$G$8,'base para costos'!$H$8)+IF(G31='base para costos'!$G$9,'base para costos'!$H$9)+IF(G31='base para costos'!$G$10,'base para costos'!$H$10)+IF(G31='base para costos'!$G$11,'base para costos'!$H$11))</f>
        <v>0</v>
      </c>
      <c r="I31">
        <f>(C31/(('base para costos'!$J$3-D31)/100))</f>
        <v>6930.7422680412374</v>
      </c>
      <c r="J31">
        <f>(C31/(('base para costos'!$J$3-D31)/100-(0.08)))</f>
        <v>7553.7303370786512</v>
      </c>
      <c r="K31">
        <f t="shared" si="1"/>
        <v>30.954999999999998</v>
      </c>
      <c r="M31">
        <f t="shared" si="2"/>
        <v>0</v>
      </c>
      <c r="N31">
        <f t="shared" si="3"/>
        <v>9736.8672604822932</v>
      </c>
      <c r="O31" t="s">
        <v>266</v>
      </c>
      <c r="P31" t="s">
        <v>145</v>
      </c>
    </row>
    <row r="32" spans="1:16" x14ac:dyDescent="0.25">
      <c r="A32" t="s">
        <v>467</v>
      </c>
      <c r="B32" t="s">
        <v>468</v>
      </c>
      <c r="C32">
        <v>30875</v>
      </c>
      <c r="D32">
        <v>3</v>
      </c>
      <c r="E32">
        <v>15.5</v>
      </c>
      <c r="F32">
        <f t="shared" si="0"/>
        <v>18.754999999999999</v>
      </c>
      <c r="G32" t="s">
        <v>903</v>
      </c>
      <c r="H32">
        <f>(IF(G32='base para costos'!$G$3,'base para costos'!$H$3)+IF(G32='base para costos'!$G$4,'base para costos'!$H$4)+IF(G32='base para costos'!$G$5,'base para costos'!$H$5)+IF(G32='base para costos'!$G$6,'base para costos'!$H$6)+IF(G32='base para costos'!$G$7,'base para costos'!$H$7)+IF(G32='base para costos'!$G$8,'base para costos'!$H$8)+IF(G32='base para costos'!$G$9,'base para costos'!$H$9)+IF(G32='base para costos'!$G$10,'base para costos'!$H$10)+IF(G32='base para costos'!$G$11,'base para costos'!$H$11))</f>
        <v>0</v>
      </c>
      <c r="I32">
        <f>(C32/(('base para costos'!$J$3-D32)/100))</f>
        <v>31829.896907216495</v>
      </c>
      <c r="J32">
        <f>(C32/(('base para costos'!$J$3-D32)/100-(0.08)))</f>
        <v>34691.011235955055</v>
      </c>
      <c r="K32">
        <f t="shared" si="1"/>
        <v>30.954999999999998</v>
      </c>
      <c r="M32">
        <f t="shared" si="2"/>
        <v>0</v>
      </c>
      <c r="N32">
        <f t="shared" si="3"/>
        <v>44717.213411543198</v>
      </c>
      <c r="O32" t="s">
        <v>469</v>
      </c>
      <c r="P32" t="s">
        <v>298</v>
      </c>
    </row>
    <row r="33" spans="1:16" x14ac:dyDescent="0.25">
      <c r="A33" t="s">
        <v>450</v>
      </c>
      <c r="B33" t="s">
        <v>451</v>
      </c>
      <c r="C33">
        <v>5709.6</v>
      </c>
      <c r="D33">
        <v>3</v>
      </c>
      <c r="E33">
        <v>15.5</v>
      </c>
      <c r="F33">
        <f t="shared" si="0"/>
        <v>18.754999999999999</v>
      </c>
      <c r="G33" t="s">
        <v>903</v>
      </c>
      <c r="H33">
        <f>(IF(G33='base para costos'!$G$3,'base para costos'!$H$3)+IF(G33='base para costos'!$G$4,'base para costos'!$H$4)+IF(G33='base para costos'!$G$5,'base para costos'!$H$5)+IF(G33='base para costos'!$G$6,'base para costos'!$H$6)+IF(G33='base para costos'!$G$7,'base para costos'!$H$7)+IF(G33='base para costos'!$G$8,'base para costos'!$H$8)+IF(G33='base para costos'!$G$9,'base para costos'!$H$9)+IF(G33='base para costos'!$G$10,'base para costos'!$H$10)+IF(G33='base para costos'!$G$11,'base para costos'!$H$11))</f>
        <v>0</v>
      </c>
      <c r="I33">
        <f>(C33/(('base para costos'!$J$3-D33)/100))</f>
        <v>5886.1855670103096</v>
      </c>
      <c r="J33">
        <f>(C33/(('base para costos'!$J$3-D33)/100-(0.08)))</f>
        <v>6415.2808988764045</v>
      </c>
      <c r="K33">
        <f t="shared" si="1"/>
        <v>30.954999999999998</v>
      </c>
      <c r="M33">
        <f t="shared" si="2"/>
        <v>0</v>
      </c>
      <c r="N33">
        <f t="shared" si="3"/>
        <v>8269.3895285683247</v>
      </c>
      <c r="O33" t="s">
        <v>146</v>
      </c>
      <c r="P33" t="s">
        <v>145</v>
      </c>
    </row>
    <row r="34" spans="1:16" x14ac:dyDescent="0.25">
      <c r="A34" t="s">
        <v>474</v>
      </c>
      <c r="B34" t="s">
        <v>475</v>
      </c>
      <c r="C34">
        <v>30550</v>
      </c>
      <c r="D34">
        <v>3</v>
      </c>
      <c r="E34">
        <v>15.5</v>
      </c>
      <c r="F34">
        <f t="shared" si="0"/>
        <v>18.754999999999999</v>
      </c>
      <c r="G34" t="s">
        <v>903</v>
      </c>
      <c r="H34">
        <f>(IF(G34='base para costos'!$G$3,'base para costos'!$H$3)+IF(G34='base para costos'!$G$4,'base para costos'!$H$4)+IF(G34='base para costos'!$G$5,'base para costos'!$H$5)+IF(G34='base para costos'!$G$6,'base para costos'!$H$6)+IF(G34='base para costos'!$G$7,'base para costos'!$H$7)+IF(G34='base para costos'!$G$8,'base para costos'!$H$8)+IF(G34='base para costos'!$G$9,'base para costos'!$H$9)+IF(G34='base para costos'!$G$10,'base para costos'!$H$10)+IF(G34='base para costos'!$G$11,'base para costos'!$H$11))</f>
        <v>0</v>
      </c>
      <c r="I34">
        <f>(C34/(('base para costos'!$J$3-D34)/100))</f>
        <v>31494.845360824744</v>
      </c>
      <c r="J34">
        <f>(C34/(('base para costos'!$J$3-D34)/100-(0.08)))</f>
        <v>34325.84269662921</v>
      </c>
      <c r="K34">
        <f t="shared" si="1"/>
        <v>30.954999999999998</v>
      </c>
      <c r="M34">
        <f t="shared" si="2"/>
        <v>0</v>
      </c>
      <c r="N34">
        <f t="shared" si="3"/>
        <v>44246.505901948003</v>
      </c>
      <c r="O34" t="s">
        <v>146</v>
      </c>
      <c r="P34" t="s">
        <v>145</v>
      </c>
    </row>
    <row r="35" spans="1:16" x14ac:dyDescent="0.25">
      <c r="A35" t="s">
        <v>476</v>
      </c>
      <c r="B35" t="s">
        <v>477</v>
      </c>
      <c r="C35">
        <v>15275</v>
      </c>
      <c r="D35">
        <v>3</v>
      </c>
      <c r="E35">
        <v>15.5</v>
      </c>
      <c r="F35">
        <f t="shared" si="0"/>
        <v>18.754999999999999</v>
      </c>
      <c r="G35" t="s">
        <v>903</v>
      </c>
      <c r="H35">
        <f>(IF(G35='base para costos'!$G$3,'base para costos'!$H$3)+IF(G35='base para costos'!$G$4,'base para costos'!$H$4)+IF(G35='base para costos'!$G$5,'base para costos'!$H$5)+IF(G35='base para costos'!$G$6,'base para costos'!$H$6)+IF(G35='base para costos'!$G$7,'base para costos'!$H$7)+IF(G35='base para costos'!$G$8,'base para costos'!$H$8)+IF(G35='base para costos'!$G$9,'base para costos'!$H$9)+IF(G35='base para costos'!$G$10,'base para costos'!$H$10)+IF(G35='base para costos'!$G$11,'base para costos'!$H$11))</f>
        <v>0</v>
      </c>
      <c r="I35">
        <f>(C35/(('base para costos'!$J$3-D35)/100))</f>
        <v>15747.422680412372</v>
      </c>
      <c r="J35">
        <f>(C35/(('base para costos'!$J$3-D35)/100-(0.08)))</f>
        <v>17162.921348314605</v>
      </c>
      <c r="K35">
        <f t="shared" si="1"/>
        <v>30.954999999999998</v>
      </c>
      <c r="M35">
        <f t="shared" si="2"/>
        <v>0</v>
      </c>
      <c r="N35">
        <f t="shared" si="3"/>
        <v>22123.252950974002</v>
      </c>
      <c r="O35" t="s">
        <v>146</v>
      </c>
      <c r="P35" t="s">
        <v>298</v>
      </c>
    </row>
    <row r="36" spans="1:16" x14ac:dyDescent="0.25">
      <c r="A36" t="s">
        <v>478</v>
      </c>
      <c r="B36" t="s">
        <v>479</v>
      </c>
      <c r="C36">
        <v>15275</v>
      </c>
      <c r="D36">
        <v>3</v>
      </c>
      <c r="E36">
        <v>15.5</v>
      </c>
      <c r="F36">
        <f t="shared" si="0"/>
        <v>18.754999999999999</v>
      </c>
      <c r="G36" t="s">
        <v>903</v>
      </c>
      <c r="H36">
        <f>(IF(G36='base para costos'!$G$3,'base para costos'!$H$3)+IF(G36='base para costos'!$G$4,'base para costos'!$H$4)+IF(G36='base para costos'!$G$5,'base para costos'!$H$5)+IF(G36='base para costos'!$G$6,'base para costos'!$H$6)+IF(G36='base para costos'!$G$7,'base para costos'!$H$7)+IF(G36='base para costos'!$G$8,'base para costos'!$H$8)+IF(G36='base para costos'!$G$9,'base para costos'!$H$9)+IF(G36='base para costos'!$G$10,'base para costos'!$H$10)+IF(G36='base para costos'!$G$11,'base para costos'!$H$11))</f>
        <v>0</v>
      </c>
      <c r="I36">
        <f>(C36/(('base para costos'!$J$3-D36)/100))</f>
        <v>15747.422680412372</v>
      </c>
      <c r="J36">
        <f>(C36/(('base para costos'!$J$3-D36)/100-(0.08)))</f>
        <v>17162.921348314605</v>
      </c>
      <c r="K36">
        <f t="shared" si="1"/>
        <v>30.954999999999998</v>
      </c>
      <c r="M36">
        <f t="shared" si="2"/>
        <v>0</v>
      </c>
      <c r="N36">
        <f t="shared" si="3"/>
        <v>22123.252950974002</v>
      </c>
      <c r="O36" t="s">
        <v>146</v>
      </c>
      <c r="P36" t="s">
        <v>298</v>
      </c>
    </row>
    <row r="37" spans="1:16" x14ac:dyDescent="0.25">
      <c r="A37" t="s">
        <v>483</v>
      </c>
      <c r="B37" t="s">
        <v>484</v>
      </c>
      <c r="C37">
        <v>134.28</v>
      </c>
      <c r="D37">
        <v>3</v>
      </c>
      <c r="E37">
        <v>15.5</v>
      </c>
      <c r="F37">
        <f t="shared" si="0"/>
        <v>18.754999999999999</v>
      </c>
      <c r="G37" t="s">
        <v>903</v>
      </c>
      <c r="H37">
        <f>(IF(G37='base para costos'!$G$3,'base para costos'!$H$3)+IF(G37='base para costos'!$G$4,'base para costos'!$H$4)+IF(G37='base para costos'!$G$5,'base para costos'!$H$5)+IF(G37='base para costos'!$G$6,'base para costos'!$H$6)+IF(G37='base para costos'!$G$7,'base para costos'!$H$7)+IF(G37='base para costos'!$G$8,'base para costos'!$H$8)+IF(G37='base para costos'!$G$9,'base para costos'!$H$9)+IF(G37='base para costos'!$G$10,'base para costos'!$H$10)+IF(G37='base para costos'!$G$11,'base para costos'!$H$11))</f>
        <v>0</v>
      </c>
      <c r="I37">
        <f>(C37/(('base para costos'!$J$3-D37)/100))</f>
        <v>138.43298969072166</v>
      </c>
      <c r="J37">
        <f>(C37/(('base para costos'!$J$3-D37)/100-(0.08)))</f>
        <v>150.87640449438203</v>
      </c>
      <c r="K37">
        <f t="shared" si="1"/>
        <v>30.954999999999998</v>
      </c>
      <c r="M37">
        <f t="shared" si="2"/>
        <v>0</v>
      </c>
      <c r="N37">
        <f t="shared" si="3"/>
        <v>194.4818596567456</v>
      </c>
      <c r="O37" t="s">
        <v>345</v>
      </c>
      <c r="P37" t="s">
        <v>145</v>
      </c>
    </row>
    <row r="38" spans="1:16" x14ac:dyDescent="0.25">
      <c r="A38" t="s">
        <v>487</v>
      </c>
      <c r="B38" t="s">
        <v>488</v>
      </c>
      <c r="C38">
        <v>14000</v>
      </c>
      <c r="D38">
        <v>3</v>
      </c>
      <c r="E38">
        <v>15.5</v>
      </c>
      <c r="F38">
        <f t="shared" si="0"/>
        <v>18.754999999999999</v>
      </c>
      <c r="G38" t="s">
        <v>903</v>
      </c>
      <c r="H38">
        <f>(IF(G38='base para costos'!$G$3,'base para costos'!$H$3)+IF(G38='base para costos'!$G$4,'base para costos'!$H$4)+IF(G38='base para costos'!$G$5,'base para costos'!$H$5)+IF(G38='base para costos'!$G$6,'base para costos'!$H$6)+IF(G38='base para costos'!$G$7,'base para costos'!$H$7)+IF(G38='base para costos'!$G$8,'base para costos'!$H$8)+IF(G38='base para costos'!$G$9,'base para costos'!$H$9)+IF(G38='base para costos'!$G$10,'base para costos'!$H$10)+IF(G38='base para costos'!$G$11,'base para costos'!$H$11))</f>
        <v>0</v>
      </c>
      <c r="I38">
        <f>(C38/(('base para costos'!$J$3-D38)/100))</f>
        <v>14432.98969072165</v>
      </c>
      <c r="J38">
        <f>(C38/(('base para costos'!$J$3-D38)/100-(0.08)))</f>
        <v>15730.337078651684</v>
      </c>
      <c r="K38">
        <f t="shared" si="1"/>
        <v>30.954999999999998</v>
      </c>
      <c r="M38">
        <f t="shared" si="2"/>
        <v>0</v>
      </c>
      <c r="N38">
        <f t="shared" si="3"/>
        <v>20276.631182562098</v>
      </c>
      <c r="O38" t="s">
        <v>266</v>
      </c>
      <c r="P38" t="s">
        <v>145</v>
      </c>
    </row>
    <row r="39" spans="1:16" x14ac:dyDescent="0.25">
      <c r="A39" t="s">
        <v>489</v>
      </c>
      <c r="B39" t="s">
        <v>490</v>
      </c>
      <c r="C39">
        <v>6722.82</v>
      </c>
      <c r="D39">
        <v>3</v>
      </c>
      <c r="E39">
        <v>15.5</v>
      </c>
      <c r="F39">
        <f t="shared" si="0"/>
        <v>18.754999999999999</v>
      </c>
      <c r="G39" t="s">
        <v>903</v>
      </c>
      <c r="H39">
        <f>(IF(G39='base para costos'!$G$3,'base para costos'!$H$3)+IF(G39='base para costos'!$G$4,'base para costos'!$H$4)+IF(G39='base para costos'!$G$5,'base para costos'!$H$5)+IF(G39='base para costos'!$G$6,'base para costos'!$H$6)+IF(G39='base para costos'!$G$7,'base para costos'!$H$7)+IF(G39='base para costos'!$G$8,'base para costos'!$H$8)+IF(G39='base para costos'!$G$9,'base para costos'!$H$9)+IF(G39='base para costos'!$G$10,'base para costos'!$H$10)+IF(G39='base para costos'!$G$11,'base para costos'!$H$11))</f>
        <v>0</v>
      </c>
      <c r="I39">
        <f>(C39/(('base para costos'!$J$3-D39)/100))</f>
        <v>6930.7422680412374</v>
      </c>
      <c r="J39">
        <f>(C39/(('base para costos'!$J$3-D39)/100-(0.08)))</f>
        <v>7553.7303370786512</v>
      </c>
      <c r="K39">
        <f t="shared" si="1"/>
        <v>30.954999999999998</v>
      </c>
      <c r="M39">
        <f t="shared" si="2"/>
        <v>0</v>
      </c>
      <c r="N39">
        <f t="shared" si="3"/>
        <v>9736.8672604822932</v>
      </c>
      <c r="O39" t="s">
        <v>266</v>
      </c>
      <c r="P39" t="s">
        <v>145</v>
      </c>
    </row>
    <row r="40" spans="1:16" x14ac:dyDescent="0.25">
      <c r="A40" t="s">
        <v>504</v>
      </c>
      <c r="B40" t="s">
        <v>505</v>
      </c>
      <c r="C40">
        <v>4225</v>
      </c>
      <c r="D40">
        <v>3</v>
      </c>
      <c r="E40">
        <v>15.5</v>
      </c>
      <c r="F40">
        <f t="shared" si="0"/>
        <v>18.754999999999999</v>
      </c>
      <c r="G40" t="s">
        <v>903</v>
      </c>
      <c r="H40">
        <f>(IF(G40='base para costos'!$G$3,'base para costos'!$H$3)+IF(G40='base para costos'!$G$4,'base para costos'!$H$4)+IF(G40='base para costos'!$G$5,'base para costos'!$H$5)+IF(G40='base para costos'!$G$6,'base para costos'!$H$6)+IF(G40='base para costos'!$G$7,'base para costos'!$H$7)+IF(G40='base para costos'!$G$8,'base para costos'!$H$8)+IF(G40='base para costos'!$G$9,'base para costos'!$H$9)+IF(G40='base para costos'!$G$10,'base para costos'!$H$10)+IF(G40='base para costos'!$G$11,'base para costos'!$H$11))</f>
        <v>0</v>
      </c>
      <c r="I40">
        <f>(C40/(('base para costos'!$J$3-D40)/100))</f>
        <v>4355.6701030927834</v>
      </c>
      <c r="J40">
        <f>(C40/(('base para costos'!$J$3-D40)/100-(0.08)))</f>
        <v>4747.1910112359546</v>
      </c>
      <c r="K40">
        <f t="shared" si="1"/>
        <v>30.954999999999998</v>
      </c>
      <c r="M40">
        <f t="shared" si="2"/>
        <v>0</v>
      </c>
      <c r="N40">
        <f t="shared" si="3"/>
        <v>6119.1976247374896</v>
      </c>
      <c r="O40" t="s">
        <v>146</v>
      </c>
      <c r="P40" t="s">
        <v>145</v>
      </c>
    </row>
    <row r="41" spans="1:16" x14ac:dyDescent="0.25">
      <c r="A41" t="s">
        <v>521</v>
      </c>
      <c r="B41" t="s">
        <v>522</v>
      </c>
      <c r="C41">
        <v>22750</v>
      </c>
      <c r="D41">
        <v>3</v>
      </c>
      <c r="E41">
        <v>15.5</v>
      </c>
      <c r="F41">
        <f t="shared" si="0"/>
        <v>18.754999999999999</v>
      </c>
      <c r="G41" t="s">
        <v>903</v>
      </c>
      <c r="H41">
        <f>(IF(G41='base para costos'!$G$3,'base para costos'!$H$3)+IF(G41='base para costos'!$G$4,'base para costos'!$H$4)+IF(G41='base para costos'!$G$5,'base para costos'!$H$5)+IF(G41='base para costos'!$G$6,'base para costos'!$H$6)+IF(G41='base para costos'!$G$7,'base para costos'!$H$7)+IF(G41='base para costos'!$G$8,'base para costos'!$H$8)+IF(G41='base para costos'!$G$9,'base para costos'!$H$9)+IF(G41='base para costos'!$G$10,'base para costos'!$H$10)+IF(G41='base para costos'!$G$11,'base para costos'!$H$11))</f>
        <v>0</v>
      </c>
      <c r="I41">
        <f>(C41/(('base para costos'!$J$3-D41)/100))</f>
        <v>23453.608247422682</v>
      </c>
      <c r="J41">
        <f>(C41/(('base para costos'!$J$3-D41)/100-(0.08)))</f>
        <v>25561.797752808987</v>
      </c>
      <c r="K41">
        <f t="shared" si="1"/>
        <v>30.954999999999998</v>
      </c>
      <c r="M41">
        <f t="shared" si="2"/>
        <v>0</v>
      </c>
      <c r="N41">
        <f t="shared" si="3"/>
        <v>32949.52567166341</v>
      </c>
      <c r="O41" t="s">
        <v>266</v>
      </c>
      <c r="P41" t="s">
        <v>316</v>
      </c>
    </row>
    <row r="42" spans="1:16" x14ac:dyDescent="0.25">
      <c r="A42" t="s">
        <v>525</v>
      </c>
      <c r="B42" t="s">
        <v>526</v>
      </c>
      <c r="C42">
        <v>417.2</v>
      </c>
      <c r="D42">
        <v>3</v>
      </c>
      <c r="E42">
        <v>15.5</v>
      </c>
      <c r="F42">
        <f t="shared" si="0"/>
        <v>18.754999999999999</v>
      </c>
      <c r="G42" t="s">
        <v>903</v>
      </c>
      <c r="H42">
        <f>(IF(G42='base para costos'!$G$3,'base para costos'!$H$3)+IF(G42='base para costos'!$G$4,'base para costos'!$H$4)+IF(G42='base para costos'!$G$5,'base para costos'!$H$5)+IF(G42='base para costos'!$G$6,'base para costos'!$H$6)+IF(G42='base para costos'!$G$7,'base para costos'!$H$7)+IF(G42='base para costos'!$G$8,'base para costos'!$H$8)+IF(G42='base para costos'!$G$9,'base para costos'!$H$9)+IF(G42='base para costos'!$G$10,'base para costos'!$H$10)+IF(G42='base para costos'!$G$11,'base para costos'!$H$11))</f>
        <v>0</v>
      </c>
      <c r="I42">
        <f>(C42/(('base para costos'!$J$3-D42)/100))</f>
        <v>430.10309278350513</v>
      </c>
      <c r="J42">
        <f>(C42/(('base para costos'!$J$3-D42)/100-(0.08)))</f>
        <v>468.76404494382018</v>
      </c>
      <c r="K42">
        <f t="shared" si="1"/>
        <v>30.954999999999998</v>
      </c>
      <c r="M42">
        <f t="shared" si="2"/>
        <v>0</v>
      </c>
      <c r="N42">
        <f t="shared" si="3"/>
        <v>604.24360924035045</v>
      </c>
      <c r="O42" t="s">
        <v>345</v>
      </c>
      <c r="P42" t="s">
        <v>145</v>
      </c>
    </row>
    <row r="43" spans="1:16" x14ac:dyDescent="0.25">
      <c r="A43" t="s">
        <v>529</v>
      </c>
      <c r="B43" t="s">
        <v>530</v>
      </c>
      <c r="C43">
        <v>22000</v>
      </c>
      <c r="D43">
        <v>3</v>
      </c>
      <c r="E43">
        <v>15.5</v>
      </c>
      <c r="F43">
        <v>18.754999999999999</v>
      </c>
      <c r="G43" t="s">
        <v>903</v>
      </c>
      <c r="H43">
        <v>0</v>
      </c>
      <c r="I43">
        <v>22680.412371134022</v>
      </c>
      <c r="J43">
        <v>24719.101123595505</v>
      </c>
      <c r="K43">
        <v>30.954999999999998</v>
      </c>
      <c r="M43">
        <v>0</v>
      </c>
      <c r="N43">
        <v>31863.277572597581</v>
      </c>
      <c r="O43" t="s">
        <v>266</v>
      </c>
      <c r="P43" t="s">
        <v>145</v>
      </c>
    </row>
    <row r="44" spans="1:16" x14ac:dyDescent="0.25">
      <c r="A44" t="s">
        <v>533</v>
      </c>
      <c r="B44" t="s">
        <v>534</v>
      </c>
      <c r="C44">
        <v>4225</v>
      </c>
      <c r="D44">
        <v>3</v>
      </c>
      <c r="E44">
        <v>15.5</v>
      </c>
      <c r="F44">
        <v>18.754999999999999</v>
      </c>
      <c r="G44" t="s">
        <v>903</v>
      </c>
      <c r="H44">
        <v>0</v>
      </c>
      <c r="I44">
        <v>4355.6701030927834</v>
      </c>
      <c r="J44">
        <v>4747.1910112359546</v>
      </c>
      <c r="K44">
        <v>30.954999999999998</v>
      </c>
      <c r="M44">
        <v>0</v>
      </c>
      <c r="N44">
        <v>6119.1976247374896</v>
      </c>
      <c r="O44" t="s">
        <v>146</v>
      </c>
      <c r="P44" t="s">
        <v>145</v>
      </c>
    </row>
    <row r="45" spans="1:16" x14ac:dyDescent="0.25">
      <c r="A45" t="s">
        <v>537</v>
      </c>
      <c r="B45" t="s">
        <v>538</v>
      </c>
      <c r="C45">
        <v>5200</v>
      </c>
      <c r="D45">
        <v>3</v>
      </c>
      <c r="E45">
        <v>15.5</v>
      </c>
      <c r="F45">
        <v>18.754999999999999</v>
      </c>
      <c r="G45" t="s">
        <v>903</v>
      </c>
      <c r="H45">
        <v>0</v>
      </c>
      <c r="I45">
        <v>5360.8247422680415</v>
      </c>
      <c r="J45">
        <v>5842.696629213483</v>
      </c>
      <c r="K45">
        <v>30.954999999999998</v>
      </c>
      <c r="M45">
        <v>0</v>
      </c>
      <c r="N45">
        <v>7531.3201535230646</v>
      </c>
      <c r="O45" t="s">
        <v>146</v>
      </c>
      <c r="P45" t="s">
        <v>316</v>
      </c>
    </row>
    <row r="46" spans="1:16" x14ac:dyDescent="0.25">
      <c r="A46" t="s">
        <v>543</v>
      </c>
      <c r="B46" t="s">
        <v>544</v>
      </c>
      <c r="C46">
        <v>19500</v>
      </c>
      <c r="D46">
        <v>3</v>
      </c>
      <c r="E46">
        <v>15.5</v>
      </c>
      <c r="F46">
        <v>18.754999999999999</v>
      </c>
      <c r="G46" t="s">
        <v>903</v>
      </c>
      <c r="H46">
        <v>0</v>
      </c>
      <c r="I46">
        <v>20103.092783505155</v>
      </c>
      <c r="J46">
        <v>21910.112359550563</v>
      </c>
      <c r="K46">
        <v>30.954999999999998</v>
      </c>
      <c r="M46">
        <v>0</v>
      </c>
      <c r="N46">
        <v>28242.450575711493</v>
      </c>
      <c r="O46" t="s">
        <v>266</v>
      </c>
      <c r="P46" t="s">
        <v>145</v>
      </c>
    </row>
    <row r="47" spans="1:16" x14ac:dyDescent="0.25">
      <c r="A47" t="s">
        <v>549</v>
      </c>
      <c r="B47" t="s">
        <v>550</v>
      </c>
      <c r="C47">
        <v>18850</v>
      </c>
      <c r="D47">
        <v>3</v>
      </c>
      <c r="E47">
        <v>15.5</v>
      </c>
      <c r="F47">
        <v>18.754999999999999</v>
      </c>
      <c r="G47" t="s">
        <v>903</v>
      </c>
      <c r="H47">
        <v>0</v>
      </c>
      <c r="I47">
        <v>19432.98969072165</v>
      </c>
      <c r="J47">
        <v>21179.775280898877</v>
      </c>
      <c r="K47">
        <v>30.954999999999998</v>
      </c>
      <c r="M47">
        <v>0</v>
      </c>
      <c r="N47">
        <v>27301.03555652111</v>
      </c>
      <c r="O47" t="s">
        <v>266</v>
      </c>
      <c r="P47" t="s">
        <v>551</v>
      </c>
    </row>
    <row r="48" spans="1:16" x14ac:dyDescent="0.25">
      <c r="A48" t="s">
        <v>552</v>
      </c>
      <c r="B48" t="s">
        <v>553</v>
      </c>
      <c r="C48">
        <v>3769.99</v>
      </c>
      <c r="D48">
        <v>3</v>
      </c>
      <c r="E48">
        <v>15.5</v>
      </c>
      <c r="F48">
        <v>18.754999999999999</v>
      </c>
      <c r="G48" t="s">
        <v>903</v>
      </c>
      <c r="H48">
        <v>0</v>
      </c>
      <c r="I48">
        <v>3886.5876288659792</v>
      </c>
      <c r="J48">
        <v>4235.9438202247184</v>
      </c>
      <c r="K48">
        <v>30.954999999999998</v>
      </c>
      <c r="M48">
        <v>0</v>
      </c>
      <c r="N48">
        <v>5460.1926279962336</v>
      </c>
      <c r="O48" t="s">
        <v>146</v>
      </c>
      <c r="P48" t="s">
        <v>145</v>
      </c>
    </row>
    <row r="49" spans="1:16" x14ac:dyDescent="0.25">
      <c r="A49" t="s">
        <v>562</v>
      </c>
      <c r="B49" t="s">
        <v>563</v>
      </c>
      <c r="C49">
        <v>9165</v>
      </c>
      <c r="D49">
        <v>3</v>
      </c>
      <c r="E49">
        <v>15.5</v>
      </c>
      <c r="F49">
        <v>18.754999999999999</v>
      </c>
      <c r="G49" t="s">
        <v>903</v>
      </c>
      <c r="H49">
        <v>0</v>
      </c>
      <c r="I49">
        <v>9448.4536082474224</v>
      </c>
      <c r="J49">
        <v>10297.752808988764</v>
      </c>
      <c r="K49">
        <v>30.954999999999998</v>
      </c>
      <c r="M49">
        <v>0</v>
      </c>
      <c r="N49">
        <v>13273.951770584401</v>
      </c>
      <c r="O49" t="s">
        <v>146</v>
      </c>
      <c r="P49" t="s">
        <v>145</v>
      </c>
    </row>
    <row r="50" spans="1:16" x14ac:dyDescent="0.25">
      <c r="A50" t="s">
        <v>569</v>
      </c>
      <c r="B50" t="s">
        <v>570</v>
      </c>
      <c r="C50">
        <v>17253.599999999999</v>
      </c>
      <c r="D50">
        <v>3</v>
      </c>
      <c r="E50">
        <v>15.5</v>
      </c>
      <c r="F50">
        <v>18.754999999999999</v>
      </c>
      <c r="G50" t="s">
        <v>903</v>
      </c>
      <c r="H50">
        <v>0</v>
      </c>
      <c r="I50">
        <v>17787.216494845361</v>
      </c>
      <c r="J50">
        <v>19386.067415730337</v>
      </c>
      <c r="K50">
        <v>30.954999999999998</v>
      </c>
      <c r="M50">
        <v>0</v>
      </c>
      <c r="N50">
        <v>24988.920269389528</v>
      </c>
      <c r="O50" t="s">
        <v>146</v>
      </c>
      <c r="P50" t="s">
        <v>145</v>
      </c>
    </row>
    <row r="51" spans="1:16" x14ac:dyDescent="0.25">
      <c r="A51" t="s">
        <v>571</v>
      </c>
      <c r="B51" t="s">
        <v>572</v>
      </c>
      <c r="C51">
        <v>17029.990000000002</v>
      </c>
      <c r="D51">
        <v>3</v>
      </c>
      <c r="E51">
        <v>15.5</v>
      </c>
      <c r="F51">
        <v>18.754999999999999</v>
      </c>
      <c r="G51" t="s">
        <v>903</v>
      </c>
      <c r="H51">
        <v>0</v>
      </c>
      <c r="I51">
        <v>17556.690721649487</v>
      </c>
      <c r="J51">
        <v>19134.820224719104</v>
      </c>
      <c r="K51">
        <v>30.954999999999998</v>
      </c>
      <c r="M51">
        <v>0</v>
      </c>
      <c r="N51">
        <v>24665.05901948005</v>
      </c>
      <c r="O51" t="s">
        <v>302</v>
      </c>
      <c r="P51" t="s">
        <v>145</v>
      </c>
    </row>
    <row r="52" spans="1:16" x14ac:dyDescent="0.25">
      <c r="A52" t="s">
        <v>573</v>
      </c>
      <c r="B52" t="s">
        <v>574</v>
      </c>
      <c r="C52">
        <v>17029.990000000002</v>
      </c>
      <c r="D52">
        <v>3</v>
      </c>
      <c r="E52">
        <v>15.5</v>
      </c>
      <c r="F52">
        <v>18.754999999999999</v>
      </c>
      <c r="G52" t="s">
        <v>903</v>
      </c>
      <c r="H52">
        <v>0</v>
      </c>
      <c r="I52">
        <v>17556.690721649487</v>
      </c>
      <c r="J52">
        <v>19134.820224719104</v>
      </c>
      <c r="K52">
        <v>30.954999999999998</v>
      </c>
      <c r="M52">
        <v>0</v>
      </c>
      <c r="N52">
        <v>24665.05901948005</v>
      </c>
      <c r="O52" t="s">
        <v>302</v>
      </c>
      <c r="P52" t="s">
        <v>145</v>
      </c>
    </row>
    <row r="53" spans="1:16" x14ac:dyDescent="0.25">
      <c r="A53" t="s">
        <v>577</v>
      </c>
      <c r="B53" t="s">
        <v>578</v>
      </c>
      <c r="C53">
        <v>1885</v>
      </c>
      <c r="D53">
        <v>3</v>
      </c>
      <c r="E53">
        <v>15.5</v>
      </c>
      <c r="F53">
        <v>18.754999999999999</v>
      </c>
      <c r="G53" t="s">
        <v>903</v>
      </c>
      <c r="H53">
        <v>0</v>
      </c>
      <c r="I53">
        <v>1943.2989690721649</v>
      </c>
      <c r="J53">
        <v>2117.9775280898875</v>
      </c>
      <c r="K53">
        <v>30.954999999999998</v>
      </c>
      <c r="M53">
        <v>0</v>
      </c>
      <c r="N53">
        <v>2730.103555652111</v>
      </c>
      <c r="O53" t="s">
        <v>146</v>
      </c>
      <c r="P53" t="s">
        <v>145</v>
      </c>
    </row>
    <row r="54" spans="1:16" x14ac:dyDescent="0.25">
      <c r="A54" t="s">
        <v>582</v>
      </c>
      <c r="B54" t="s">
        <v>583</v>
      </c>
      <c r="C54">
        <v>2730</v>
      </c>
      <c r="D54">
        <v>3</v>
      </c>
      <c r="E54">
        <v>15.5</v>
      </c>
      <c r="F54">
        <v>18.754999999999999</v>
      </c>
      <c r="G54" t="s">
        <v>903</v>
      </c>
      <c r="H54">
        <v>0</v>
      </c>
      <c r="I54">
        <v>2814.4329896907216</v>
      </c>
      <c r="J54">
        <v>3067.4157303370785</v>
      </c>
      <c r="K54">
        <v>30.954999999999998</v>
      </c>
      <c r="M54">
        <v>0</v>
      </c>
      <c r="N54">
        <v>3953.9430805996089</v>
      </c>
      <c r="O54" t="s">
        <v>146</v>
      </c>
      <c r="P54" t="s">
        <v>145</v>
      </c>
    </row>
    <row r="55" spans="1:16" x14ac:dyDescent="0.25">
      <c r="A55" t="s">
        <v>594</v>
      </c>
      <c r="B55" t="s">
        <v>595</v>
      </c>
      <c r="C55">
        <v>7799.36</v>
      </c>
      <c r="D55">
        <v>3</v>
      </c>
      <c r="E55">
        <v>15.5</v>
      </c>
      <c r="F55">
        <v>18.754999999999999</v>
      </c>
      <c r="G55" t="s">
        <v>903</v>
      </c>
      <c r="H55">
        <v>0</v>
      </c>
      <c r="I55">
        <v>8040.5773195876291</v>
      </c>
      <c r="J55">
        <v>8763.3258426966295</v>
      </c>
      <c r="K55">
        <v>30.954999999999998</v>
      </c>
      <c r="M55">
        <v>0</v>
      </c>
      <c r="N55">
        <v>11296.053298573393</v>
      </c>
      <c r="O55" t="s">
        <v>146</v>
      </c>
      <c r="P55" t="s">
        <v>145</v>
      </c>
    </row>
    <row r="56" spans="1:16" x14ac:dyDescent="0.25">
      <c r="A56" t="s">
        <v>614</v>
      </c>
      <c r="B56" t="s">
        <v>615</v>
      </c>
      <c r="C56">
        <v>14300</v>
      </c>
      <c r="D56">
        <v>3</v>
      </c>
      <c r="E56">
        <v>15.5</v>
      </c>
      <c r="F56">
        <v>18.754999999999999</v>
      </c>
      <c r="G56" t="s">
        <v>903</v>
      </c>
      <c r="H56">
        <v>0</v>
      </c>
      <c r="I56">
        <v>14742.268041237114</v>
      </c>
      <c r="J56">
        <v>16067.415730337078</v>
      </c>
      <c r="K56">
        <v>30.954999999999998</v>
      </c>
      <c r="M56">
        <v>0</v>
      </c>
      <c r="N56">
        <v>20711.130422188427</v>
      </c>
      <c r="O56" t="s">
        <v>146</v>
      </c>
      <c r="P56" t="s">
        <v>145</v>
      </c>
    </row>
    <row r="57" spans="1:16" x14ac:dyDescent="0.25">
      <c r="A57" t="s">
        <v>618</v>
      </c>
      <c r="B57" t="s">
        <v>619</v>
      </c>
      <c r="C57">
        <v>13000</v>
      </c>
      <c r="D57">
        <v>3</v>
      </c>
      <c r="E57">
        <v>15.5</v>
      </c>
      <c r="F57">
        <v>18.754999999999999</v>
      </c>
      <c r="G57" t="s">
        <v>903</v>
      </c>
      <c r="H57">
        <v>0</v>
      </c>
      <c r="I57">
        <v>13402.061855670103</v>
      </c>
      <c r="J57">
        <v>14606.741573033707</v>
      </c>
      <c r="K57">
        <v>30.954999999999998</v>
      </c>
      <c r="M57">
        <v>0</v>
      </c>
      <c r="N57">
        <v>18828.300383807662</v>
      </c>
      <c r="O57" t="s">
        <v>146</v>
      </c>
      <c r="P57" t="s">
        <v>145</v>
      </c>
    </row>
    <row r="58" spans="1:16" x14ac:dyDescent="0.25">
      <c r="A58" t="s">
        <v>620</v>
      </c>
      <c r="B58" t="s">
        <v>621</v>
      </c>
      <c r="C58">
        <v>13000</v>
      </c>
      <c r="D58">
        <v>3</v>
      </c>
      <c r="E58">
        <v>15.5</v>
      </c>
      <c r="F58">
        <v>18.754999999999999</v>
      </c>
      <c r="G58" t="s">
        <v>903</v>
      </c>
      <c r="H58">
        <v>0</v>
      </c>
      <c r="I58">
        <v>13402.061855670103</v>
      </c>
      <c r="J58">
        <v>14606.741573033707</v>
      </c>
      <c r="K58">
        <v>30.954999999999998</v>
      </c>
      <c r="M58">
        <v>0</v>
      </c>
      <c r="N58">
        <v>18828.300383807662</v>
      </c>
      <c r="O58" t="s">
        <v>146</v>
      </c>
      <c r="P58" t="s">
        <v>145</v>
      </c>
    </row>
    <row r="59" spans="1:16" x14ac:dyDescent="0.25">
      <c r="A59" t="s">
        <v>637</v>
      </c>
      <c r="B59" t="s">
        <v>638</v>
      </c>
      <c r="C59">
        <v>12285</v>
      </c>
      <c r="D59">
        <v>3</v>
      </c>
      <c r="E59">
        <v>15.5</v>
      </c>
      <c r="F59">
        <v>18.754999999999999</v>
      </c>
      <c r="G59" t="s">
        <v>903</v>
      </c>
      <c r="H59">
        <v>0</v>
      </c>
      <c r="I59">
        <v>12664.948453608247</v>
      </c>
      <c r="J59">
        <v>13803.370786516854</v>
      </c>
      <c r="K59">
        <v>30.954999999999998</v>
      </c>
      <c r="M59">
        <v>0</v>
      </c>
      <c r="N59">
        <v>17792.74386269824</v>
      </c>
      <c r="O59" t="s">
        <v>146</v>
      </c>
      <c r="P59" t="s">
        <v>145</v>
      </c>
    </row>
    <row r="60" spans="1:16" x14ac:dyDescent="0.25">
      <c r="A60" t="s">
        <v>639</v>
      </c>
      <c r="B60" t="s">
        <v>640</v>
      </c>
      <c r="C60">
        <v>12167.99</v>
      </c>
      <c r="D60">
        <v>3</v>
      </c>
      <c r="E60">
        <v>15.5</v>
      </c>
      <c r="F60">
        <v>18.754999999999999</v>
      </c>
      <c r="G60" t="s">
        <v>903</v>
      </c>
      <c r="H60">
        <v>0</v>
      </c>
      <c r="I60">
        <v>12544.319587628866</v>
      </c>
      <c r="J60">
        <v>13671.898876404493</v>
      </c>
      <c r="K60">
        <v>30.954999999999998</v>
      </c>
      <c r="M60">
        <v>0</v>
      </c>
      <c r="N60">
        <v>17623.274675935983</v>
      </c>
      <c r="O60" t="s">
        <v>302</v>
      </c>
      <c r="P60" t="s">
        <v>145</v>
      </c>
    </row>
    <row r="61" spans="1:16" x14ac:dyDescent="0.25">
      <c r="A61" t="s">
        <v>649</v>
      </c>
      <c r="B61" t="s">
        <v>650</v>
      </c>
      <c r="C61">
        <v>1295.3599999999999</v>
      </c>
      <c r="D61">
        <v>3</v>
      </c>
      <c r="E61">
        <v>15.5</v>
      </c>
      <c r="F61">
        <v>18.754999999999999</v>
      </c>
      <c r="G61" t="s">
        <v>903</v>
      </c>
      <c r="H61">
        <v>0</v>
      </c>
      <c r="I61">
        <v>1335.4226804123712</v>
      </c>
      <c r="J61">
        <v>1455.4606741573032</v>
      </c>
      <c r="K61">
        <v>30.954999999999998</v>
      </c>
      <c r="M61">
        <v>0</v>
      </c>
      <c r="N61">
        <v>1876.1097834745453</v>
      </c>
      <c r="O61" t="s">
        <v>266</v>
      </c>
      <c r="P61" t="s">
        <v>145</v>
      </c>
    </row>
    <row r="62" spans="1:16" x14ac:dyDescent="0.25">
      <c r="A62" t="s">
        <v>655</v>
      </c>
      <c r="B62" t="s">
        <v>656</v>
      </c>
      <c r="C62">
        <v>11139.63</v>
      </c>
      <c r="D62">
        <v>3</v>
      </c>
      <c r="E62">
        <v>15.5</v>
      </c>
      <c r="F62">
        <v>18.754999999999999</v>
      </c>
      <c r="G62" t="s">
        <v>903</v>
      </c>
      <c r="H62">
        <v>0</v>
      </c>
      <c r="I62">
        <v>11484.154639175258</v>
      </c>
      <c r="J62">
        <v>12516.438202247189</v>
      </c>
      <c r="K62">
        <v>30.954999999999998</v>
      </c>
      <c r="M62">
        <v>0</v>
      </c>
      <c r="N62">
        <v>16133.869215728871</v>
      </c>
      <c r="O62" t="s">
        <v>146</v>
      </c>
      <c r="P62" t="s">
        <v>298</v>
      </c>
    </row>
    <row r="63" spans="1:16" x14ac:dyDescent="0.25">
      <c r="A63" t="s">
        <v>660</v>
      </c>
      <c r="B63" t="s">
        <v>661</v>
      </c>
      <c r="C63">
        <v>1552.7</v>
      </c>
      <c r="D63">
        <v>3</v>
      </c>
      <c r="E63">
        <v>15.5</v>
      </c>
      <c r="F63">
        <v>18.754999999999999</v>
      </c>
      <c r="G63" t="s">
        <v>903</v>
      </c>
      <c r="H63">
        <v>0</v>
      </c>
      <c r="I63">
        <v>1600.7216494845361</v>
      </c>
      <c r="J63">
        <v>1744.6067415730338</v>
      </c>
      <c r="K63">
        <v>30.954999999999998</v>
      </c>
      <c r="M63">
        <v>0</v>
      </c>
      <c r="N63">
        <v>2248.823231226012</v>
      </c>
      <c r="O63" t="s">
        <v>146</v>
      </c>
      <c r="P63" t="s">
        <v>145</v>
      </c>
    </row>
    <row r="64" spans="1:16" x14ac:dyDescent="0.25">
      <c r="A64" t="s">
        <v>662</v>
      </c>
      <c r="B64" t="s">
        <v>663</v>
      </c>
      <c r="C64">
        <v>3600</v>
      </c>
      <c r="D64">
        <v>3</v>
      </c>
      <c r="E64">
        <v>15.5</v>
      </c>
      <c r="F64">
        <v>18.754999999999999</v>
      </c>
      <c r="G64" t="s">
        <v>903</v>
      </c>
      <c r="H64">
        <v>0</v>
      </c>
      <c r="I64">
        <v>3711.3402061855672</v>
      </c>
      <c r="J64">
        <v>4044.9438202247188</v>
      </c>
      <c r="K64">
        <v>30.954999999999998</v>
      </c>
      <c r="M64">
        <v>0</v>
      </c>
      <c r="N64">
        <v>5213.9908755159677</v>
      </c>
      <c r="O64" t="s">
        <v>299</v>
      </c>
      <c r="P64" t="s">
        <v>145</v>
      </c>
    </row>
    <row r="65" spans="1:16" x14ac:dyDescent="0.25">
      <c r="A65" t="s">
        <v>664</v>
      </c>
      <c r="B65" t="s">
        <v>665</v>
      </c>
      <c r="C65">
        <v>3509.99</v>
      </c>
      <c r="D65">
        <v>3</v>
      </c>
      <c r="E65">
        <v>15.5</v>
      </c>
      <c r="F65">
        <v>18.754999999999999</v>
      </c>
      <c r="G65" t="s">
        <v>903</v>
      </c>
      <c r="H65">
        <v>0</v>
      </c>
      <c r="I65">
        <v>3618.5463917525772</v>
      </c>
      <c r="J65">
        <v>3943.8089887640444</v>
      </c>
      <c r="K65">
        <v>30.954999999999998</v>
      </c>
      <c r="M65">
        <v>0</v>
      </c>
      <c r="N65">
        <v>5083.6266203200803</v>
      </c>
      <c r="O65" t="s">
        <v>345</v>
      </c>
      <c r="P65" t="s">
        <v>298</v>
      </c>
    </row>
    <row r="66" spans="1:16" x14ac:dyDescent="0.25">
      <c r="A66" t="s">
        <v>668</v>
      </c>
      <c r="B66" t="s">
        <v>669</v>
      </c>
      <c r="C66">
        <v>10000</v>
      </c>
      <c r="D66">
        <v>3</v>
      </c>
      <c r="E66">
        <v>15.5</v>
      </c>
      <c r="F66">
        <v>18.754999999999999</v>
      </c>
      <c r="G66" t="s">
        <v>903</v>
      </c>
      <c r="H66">
        <v>0</v>
      </c>
      <c r="I66">
        <v>10309.278350515464</v>
      </c>
      <c r="J66">
        <v>11235.955056179775</v>
      </c>
      <c r="K66">
        <v>30.954999999999998</v>
      </c>
      <c r="M66">
        <v>0</v>
      </c>
      <c r="N66">
        <v>14483.307987544355</v>
      </c>
      <c r="O66" t="s">
        <v>302</v>
      </c>
      <c r="P66" t="s">
        <v>145</v>
      </c>
    </row>
    <row r="67" spans="1:16" x14ac:dyDescent="0.25">
      <c r="A67" t="s">
        <v>674</v>
      </c>
      <c r="B67" t="s">
        <v>675</v>
      </c>
      <c r="C67">
        <v>1527.27</v>
      </c>
      <c r="D67">
        <v>3</v>
      </c>
      <c r="E67">
        <v>15.5</v>
      </c>
      <c r="F67">
        <v>18.754999999999999</v>
      </c>
      <c r="G67" t="s">
        <v>903</v>
      </c>
      <c r="H67">
        <v>0</v>
      </c>
      <c r="I67">
        <v>1574.5051546391753</v>
      </c>
      <c r="J67">
        <v>1716.0337078651685</v>
      </c>
      <c r="K67">
        <v>30.954999999999998</v>
      </c>
      <c r="M67">
        <v>0</v>
      </c>
      <c r="N67">
        <v>2211.9921790136868</v>
      </c>
      <c r="O67" t="s">
        <v>266</v>
      </c>
      <c r="P67" t="s">
        <v>145</v>
      </c>
    </row>
    <row r="68" spans="1:16" x14ac:dyDescent="0.25">
      <c r="A68" t="s">
        <v>676</v>
      </c>
      <c r="B68" t="s">
        <v>677</v>
      </c>
      <c r="C68">
        <v>1514.46</v>
      </c>
      <c r="D68">
        <v>3</v>
      </c>
      <c r="E68">
        <v>15.5</v>
      </c>
      <c r="F68">
        <v>18.754999999999999</v>
      </c>
      <c r="G68" t="s">
        <v>903</v>
      </c>
      <c r="H68">
        <v>0</v>
      </c>
      <c r="I68">
        <v>1561.2989690721649</v>
      </c>
      <c r="J68">
        <v>1701.6404494382023</v>
      </c>
      <c r="K68">
        <v>30.954999999999998</v>
      </c>
      <c r="M68">
        <v>0</v>
      </c>
      <c r="N68">
        <v>2193.4390614816425</v>
      </c>
      <c r="O68" t="s">
        <v>146</v>
      </c>
      <c r="P68" t="s">
        <v>145</v>
      </c>
    </row>
    <row r="69" spans="1:16" x14ac:dyDescent="0.25">
      <c r="A69" t="s">
        <v>681</v>
      </c>
      <c r="B69" t="s">
        <v>682</v>
      </c>
      <c r="C69">
        <v>8775</v>
      </c>
      <c r="D69">
        <v>3</v>
      </c>
      <c r="E69">
        <v>15.5</v>
      </c>
      <c r="F69">
        <v>18.754999999999999</v>
      </c>
      <c r="G69" t="s">
        <v>903</v>
      </c>
      <c r="H69">
        <v>0</v>
      </c>
      <c r="I69">
        <v>9046.3917525773195</v>
      </c>
      <c r="J69">
        <v>9859.5505617977524</v>
      </c>
      <c r="K69">
        <v>30.954999999999998</v>
      </c>
      <c r="M69">
        <v>0</v>
      </c>
      <c r="N69">
        <v>12709.102759070171</v>
      </c>
      <c r="O69" t="s">
        <v>146</v>
      </c>
      <c r="P69" t="s">
        <v>145</v>
      </c>
    </row>
    <row r="70" spans="1:16" x14ac:dyDescent="0.25">
      <c r="A70" t="s">
        <v>683</v>
      </c>
      <c r="B70" t="s">
        <v>684</v>
      </c>
      <c r="C70">
        <v>1690.42</v>
      </c>
      <c r="D70">
        <v>3</v>
      </c>
      <c r="E70">
        <v>15.5</v>
      </c>
      <c r="F70">
        <v>18.754999999999999</v>
      </c>
      <c r="G70" t="s">
        <v>903</v>
      </c>
      <c r="H70">
        <v>0</v>
      </c>
      <c r="I70">
        <v>1742.7010309278351</v>
      </c>
      <c r="J70">
        <v>1899.3483146067417</v>
      </c>
      <c r="K70">
        <v>30.954999999999998</v>
      </c>
      <c r="M70">
        <v>0</v>
      </c>
      <c r="N70">
        <v>2448.2873488304731</v>
      </c>
      <c r="O70" t="s">
        <v>146</v>
      </c>
      <c r="P70" t="s">
        <v>298</v>
      </c>
    </row>
    <row r="71" spans="1:16" x14ac:dyDescent="0.25">
      <c r="A71" t="s">
        <v>687</v>
      </c>
      <c r="B71" t="s">
        <v>688</v>
      </c>
      <c r="C71">
        <v>2096.25</v>
      </c>
      <c r="D71">
        <v>3</v>
      </c>
      <c r="E71">
        <v>15.5</v>
      </c>
      <c r="F71">
        <v>18.754999999999999</v>
      </c>
      <c r="G71" t="s">
        <v>903</v>
      </c>
      <c r="H71">
        <v>0</v>
      </c>
      <c r="I71">
        <v>2161.0824742268042</v>
      </c>
      <c r="J71">
        <v>2355.3370786516853</v>
      </c>
      <c r="K71">
        <v>30.954999999999998</v>
      </c>
      <c r="M71">
        <v>0</v>
      </c>
      <c r="N71">
        <v>3036.0634368889855</v>
      </c>
      <c r="O71" t="s">
        <v>146</v>
      </c>
      <c r="P71" t="s">
        <v>145</v>
      </c>
    </row>
    <row r="72" spans="1:16" x14ac:dyDescent="0.25">
      <c r="A72" t="s">
        <v>704</v>
      </c>
      <c r="B72" t="s">
        <v>705</v>
      </c>
      <c r="C72">
        <v>218.12</v>
      </c>
      <c r="D72">
        <v>3</v>
      </c>
      <c r="E72">
        <v>15.5</v>
      </c>
      <c r="F72">
        <v>18.754999999999999</v>
      </c>
      <c r="G72" t="s">
        <v>903</v>
      </c>
      <c r="H72">
        <v>0</v>
      </c>
      <c r="I72">
        <v>224.86597938144331</v>
      </c>
      <c r="J72">
        <v>245.07865168539325</v>
      </c>
      <c r="K72">
        <v>30.954999999999998</v>
      </c>
      <c r="M72">
        <v>0</v>
      </c>
      <c r="N72">
        <v>315.90991382431747</v>
      </c>
      <c r="O72" t="s">
        <v>146</v>
      </c>
      <c r="P72" t="s">
        <v>145</v>
      </c>
    </row>
    <row r="73" spans="1:16" x14ac:dyDescent="0.25">
      <c r="A73" t="s">
        <v>706</v>
      </c>
      <c r="B73" t="s">
        <v>707</v>
      </c>
      <c r="C73">
        <v>218.12</v>
      </c>
      <c r="D73">
        <v>3</v>
      </c>
      <c r="E73">
        <v>15.5</v>
      </c>
      <c r="F73">
        <v>18.754999999999999</v>
      </c>
      <c r="G73" t="s">
        <v>903</v>
      </c>
      <c r="H73">
        <v>0</v>
      </c>
      <c r="I73">
        <v>224.86597938144331</v>
      </c>
      <c r="J73">
        <v>245.07865168539325</v>
      </c>
      <c r="K73">
        <v>30.954999999999998</v>
      </c>
      <c r="M73">
        <v>0</v>
      </c>
      <c r="N73">
        <v>315.90991382431747</v>
      </c>
      <c r="O73" t="s">
        <v>146</v>
      </c>
      <c r="P73" t="s">
        <v>145</v>
      </c>
    </row>
    <row r="74" spans="1:16" x14ac:dyDescent="0.25">
      <c r="A74" t="s">
        <v>710</v>
      </c>
      <c r="B74" t="s">
        <v>711</v>
      </c>
      <c r="C74">
        <v>6924.5</v>
      </c>
      <c r="D74">
        <v>3</v>
      </c>
      <c r="E74">
        <v>15.5</v>
      </c>
      <c r="F74">
        <v>18.754999999999999</v>
      </c>
      <c r="G74" t="s">
        <v>903</v>
      </c>
      <c r="H74">
        <v>0</v>
      </c>
      <c r="I74">
        <v>7138.6597938144332</v>
      </c>
      <c r="J74">
        <v>7780.3370786516853</v>
      </c>
      <c r="K74">
        <v>30.954999999999998</v>
      </c>
      <c r="M74">
        <v>0</v>
      </c>
      <c r="N74">
        <v>10028.966615975089</v>
      </c>
      <c r="O74" t="s">
        <v>146</v>
      </c>
      <c r="P74" t="s">
        <v>145</v>
      </c>
    </row>
    <row r="75" spans="1:16" x14ac:dyDescent="0.25">
      <c r="A75" t="s">
        <v>756</v>
      </c>
      <c r="B75" t="s">
        <v>757</v>
      </c>
      <c r="C75">
        <v>218.12</v>
      </c>
      <c r="D75">
        <v>3</v>
      </c>
      <c r="E75">
        <v>15.5</v>
      </c>
      <c r="F75">
        <v>18.754999999999999</v>
      </c>
      <c r="G75" t="s">
        <v>903</v>
      </c>
      <c r="H75">
        <v>0</v>
      </c>
      <c r="I75">
        <v>224.86597938144331</v>
      </c>
      <c r="J75">
        <v>245.07865168539325</v>
      </c>
      <c r="K75">
        <v>30.954999999999998</v>
      </c>
      <c r="M75">
        <v>0</v>
      </c>
      <c r="N75">
        <v>315.90991382431747</v>
      </c>
      <c r="O75" t="s">
        <v>146</v>
      </c>
      <c r="P75" t="s">
        <v>145</v>
      </c>
    </row>
    <row r="76" spans="1:16" x14ac:dyDescent="0.25">
      <c r="A76" t="s">
        <v>758</v>
      </c>
      <c r="B76" t="s">
        <v>759</v>
      </c>
      <c r="C76">
        <v>5330</v>
      </c>
      <c r="D76">
        <v>3</v>
      </c>
      <c r="E76">
        <v>15.5</v>
      </c>
      <c r="F76">
        <v>18.754999999999999</v>
      </c>
      <c r="G76" t="s">
        <v>903</v>
      </c>
      <c r="H76">
        <v>0</v>
      </c>
      <c r="I76">
        <v>5494.8453608247428</v>
      </c>
      <c r="J76">
        <v>5988.7640449438204</v>
      </c>
      <c r="K76">
        <v>30.954999999999998</v>
      </c>
      <c r="M76">
        <v>0</v>
      </c>
      <c r="N76">
        <v>7719.6031573611408</v>
      </c>
      <c r="O76" t="s">
        <v>266</v>
      </c>
      <c r="P76" t="s">
        <v>145</v>
      </c>
    </row>
    <row r="77" spans="1:16" x14ac:dyDescent="0.25">
      <c r="A77" t="s">
        <v>760</v>
      </c>
      <c r="B77" t="s">
        <v>761</v>
      </c>
      <c r="C77">
        <v>5330</v>
      </c>
      <c r="D77">
        <v>3</v>
      </c>
      <c r="E77">
        <v>15.5</v>
      </c>
      <c r="F77">
        <v>18.754999999999999</v>
      </c>
      <c r="G77" t="s">
        <v>903</v>
      </c>
      <c r="H77">
        <v>0</v>
      </c>
      <c r="I77">
        <v>5494.8453608247428</v>
      </c>
      <c r="J77">
        <v>5988.7640449438204</v>
      </c>
      <c r="K77">
        <v>30.954999999999998</v>
      </c>
      <c r="M77">
        <v>0</v>
      </c>
      <c r="N77">
        <v>7719.6031573611408</v>
      </c>
      <c r="O77" t="s">
        <v>266</v>
      </c>
      <c r="P77" t="s">
        <v>145</v>
      </c>
    </row>
    <row r="78" spans="1:16" x14ac:dyDescent="0.25">
      <c r="A78" t="s">
        <v>762</v>
      </c>
      <c r="B78" t="s">
        <v>763</v>
      </c>
      <c r="C78">
        <v>5200</v>
      </c>
      <c r="D78">
        <v>3</v>
      </c>
      <c r="E78">
        <v>15.5</v>
      </c>
      <c r="F78">
        <v>18.754999999999999</v>
      </c>
      <c r="G78" t="s">
        <v>903</v>
      </c>
      <c r="H78">
        <v>0</v>
      </c>
      <c r="I78">
        <v>5360.8247422680415</v>
      </c>
      <c r="J78">
        <v>5842.696629213483</v>
      </c>
      <c r="K78">
        <v>30.954999999999998</v>
      </c>
      <c r="M78">
        <v>0</v>
      </c>
      <c r="N78">
        <v>7531.3201535230646</v>
      </c>
      <c r="O78" t="s">
        <v>146</v>
      </c>
      <c r="P78" t="s">
        <v>145</v>
      </c>
    </row>
    <row r="79" spans="1:16" x14ac:dyDescent="0.25">
      <c r="A79" t="s">
        <v>772</v>
      </c>
      <c r="B79" t="s">
        <v>773</v>
      </c>
      <c r="C79">
        <v>428.79</v>
      </c>
      <c r="D79">
        <v>3</v>
      </c>
      <c r="E79">
        <v>15.5</v>
      </c>
      <c r="F79">
        <v>18.754999999999999</v>
      </c>
      <c r="G79" t="s">
        <v>903</v>
      </c>
      <c r="H79">
        <v>0</v>
      </c>
      <c r="I79">
        <v>442.05154639175259</v>
      </c>
      <c r="J79">
        <v>481.7865168539326</v>
      </c>
      <c r="K79">
        <v>30.954999999999998</v>
      </c>
      <c r="M79">
        <v>0</v>
      </c>
      <c r="N79">
        <v>621.02976319791446</v>
      </c>
      <c r="O79" t="s">
        <v>345</v>
      </c>
      <c r="P79" t="s">
        <v>145</v>
      </c>
    </row>
    <row r="80" spans="1:16" x14ac:dyDescent="0.25">
      <c r="A80" t="s">
        <v>783</v>
      </c>
      <c r="B80" t="s">
        <v>784</v>
      </c>
      <c r="C80">
        <v>4485</v>
      </c>
      <c r="D80">
        <v>3</v>
      </c>
      <c r="E80">
        <v>15.5</v>
      </c>
      <c r="F80">
        <v>18.754999999999999</v>
      </c>
      <c r="G80" t="s">
        <v>903</v>
      </c>
      <c r="H80">
        <v>0</v>
      </c>
      <c r="I80">
        <v>4623.7113402061859</v>
      </c>
      <c r="J80">
        <v>5039.3258426966295</v>
      </c>
      <c r="K80">
        <v>30.954999999999998</v>
      </c>
      <c r="M80">
        <v>0</v>
      </c>
      <c r="N80">
        <v>6495.7636324136429</v>
      </c>
      <c r="O80" t="s">
        <v>146</v>
      </c>
      <c r="P80" t="s">
        <v>298</v>
      </c>
    </row>
    <row r="81" spans="1:16" x14ac:dyDescent="0.25">
      <c r="A81" t="s">
        <v>785</v>
      </c>
      <c r="B81" t="s">
        <v>786</v>
      </c>
      <c r="C81">
        <v>609.73</v>
      </c>
      <c r="D81">
        <v>3</v>
      </c>
      <c r="E81">
        <v>15.5</v>
      </c>
      <c r="F81">
        <v>18.754999999999999</v>
      </c>
      <c r="G81" t="s">
        <v>903</v>
      </c>
      <c r="H81">
        <v>0</v>
      </c>
      <c r="I81">
        <v>628.58762886597947</v>
      </c>
      <c r="J81">
        <v>685.08988764044943</v>
      </c>
      <c r="K81">
        <v>30.954999999999998</v>
      </c>
      <c r="M81">
        <v>0</v>
      </c>
      <c r="N81">
        <v>883.09073792454194</v>
      </c>
      <c r="O81" t="s">
        <v>345</v>
      </c>
      <c r="P81" t="s">
        <v>298</v>
      </c>
    </row>
    <row r="82" spans="1:16" x14ac:dyDescent="0.25">
      <c r="A82" t="s">
        <v>798</v>
      </c>
      <c r="B82" t="s">
        <v>799</v>
      </c>
      <c r="C82">
        <v>3769.99</v>
      </c>
      <c r="D82">
        <v>3</v>
      </c>
      <c r="E82">
        <v>15.5</v>
      </c>
      <c r="F82">
        <v>18.754999999999999</v>
      </c>
      <c r="G82" t="s">
        <v>903</v>
      </c>
      <c r="H82">
        <v>0</v>
      </c>
      <c r="I82">
        <v>3886.5876288659792</v>
      </c>
      <c r="J82">
        <v>4235.9438202247184</v>
      </c>
      <c r="K82">
        <v>30.954999999999998</v>
      </c>
      <c r="M82">
        <v>0</v>
      </c>
      <c r="N82">
        <v>5460.1926279962336</v>
      </c>
      <c r="O82" t="s">
        <v>146</v>
      </c>
      <c r="P82" t="s">
        <v>145</v>
      </c>
    </row>
    <row r="83" spans="1:16" x14ac:dyDescent="0.25">
      <c r="A83" t="s">
        <v>809</v>
      </c>
      <c r="B83" t="s">
        <v>810</v>
      </c>
      <c r="C83">
        <v>799.09</v>
      </c>
      <c r="D83">
        <v>3</v>
      </c>
      <c r="E83">
        <v>15.5</v>
      </c>
      <c r="F83">
        <v>18.754999999999999</v>
      </c>
      <c r="G83" t="s">
        <v>903</v>
      </c>
      <c r="H83">
        <v>0</v>
      </c>
      <c r="I83">
        <v>823.80412371134025</v>
      </c>
      <c r="J83">
        <v>897.85393258426973</v>
      </c>
      <c r="K83">
        <v>30.954999999999998</v>
      </c>
      <c r="M83">
        <v>0</v>
      </c>
      <c r="N83">
        <v>1157.3466579766819</v>
      </c>
      <c r="O83" t="s">
        <v>146</v>
      </c>
      <c r="P83" t="s">
        <v>298</v>
      </c>
    </row>
    <row r="84" spans="1:16" x14ac:dyDescent="0.25">
      <c r="A84" t="s">
        <v>844</v>
      </c>
      <c r="B84" t="s">
        <v>845</v>
      </c>
      <c r="C84">
        <v>1560.62</v>
      </c>
      <c r="D84">
        <v>3</v>
      </c>
      <c r="E84">
        <v>15.5</v>
      </c>
      <c r="F84">
        <v>18.754999999999999</v>
      </c>
      <c r="G84" t="s">
        <v>903</v>
      </c>
      <c r="H84">
        <v>0</v>
      </c>
      <c r="I84">
        <v>1608.8865979381442</v>
      </c>
      <c r="J84">
        <v>1753.5056179775279</v>
      </c>
      <c r="K84">
        <v>30.954999999999998</v>
      </c>
      <c r="M84">
        <v>0</v>
      </c>
      <c r="N84">
        <v>2260.294011152147</v>
      </c>
      <c r="O84" t="s">
        <v>266</v>
      </c>
      <c r="P84" t="s">
        <v>145</v>
      </c>
    </row>
    <row r="85" spans="1:16" x14ac:dyDescent="0.25">
      <c r="A85" t="s">
        <v>846</v>
      </c>
      <c r="B85" t="s">
        <v>847</v>
      </c>
      <c r="C85">
        <v>348.04</v>
      </c>
      <c r="D85">
        <v>3</v>
      </c>
      <c r="E85">
        <v>15.5</v>
      </c>
      <c r="F85">
        <v>18.754999999999999</v>
      </c>
      <c r="G85" t="s">
        <v>903</v>
      </c>
      <c r="H85">
        <v>0</v>
      </c>
      <c r="I85">
        <v>358.80412371134025</v>
      </c>
      <c r="J85">
        <v>391.0561797752809</v>
      </c>
      <c r="K85">
        <v>30.954999999999998</v>
      </c>
      <c r="M85">
        <v>0</v>
      </c>
      <c r="N85">
        <v>504.07705119849373</v>
      </c>
      <c r="O85" t="s">
        <v>345</v>
      </c>
      <c r="P85" t="s">
        <v>551</v>
      </c>
    </row>
    <row r="86" spans="1:16" x14ac:dyDescent="0.25">
      <c r="A86" t="s">
        <v>848</v>
      </c>
      <c r="B86" t="s">
        <v>849</v>
      </c>
      <c r="C86">
        <v>348.04</v>
      </c>
      <c r="D86">
        <v>3</v>
      </c>
      <c r="E86">
        <v>15.5</v>
      </c>
      <c r="F86">
        <v>18.754999999999999</v>
      </c>
      <c r="G86" t="s">
        <v>903</v>
      </c>
      <c r="H86">
        <v>0</v>
      </c>
      <c r="I86">
        <v>358.80412371134025</v>
      </c>
      <c r="J86">
        <v>391.0561797752809</v>
      </c>
      <c r="K86">
        <v>30.954999999999998</v>
      </c>
      <c r="M86">
        <v>0</v>
      </c>
      <c r="N86">
        <v>504.07705119849373</v>
      </c>
      <c r="O86" t="s">
        <v>345</v>
      </c>
      <c r="P86" t="s">
        <v>551</v>
      </c>
    </row>
    <row r="87" spans="1:16" x14ac:dyDescent="0.25">
      <c r="A87" t="s">
        <v>850</v>
      </c>
      <c r="B87" t="s">
        <v>851</v>
      </c>
      <c r="C87">
        <v>348.04</v>
      </c>
      <c r="D87">
        <v>3</v>
      </c>
      <c r="E87">
        <v>15.5</v>
      </c>
      <c r="F87">
        <v>18.754999999999999</v>
      </c>
      <c r="G87" t="s">
        <v>903</v>
      </c>
      <c r="H87">
        <v>0</v>
      </c>
      <c r="I87">
        <v>358.80412371134025</v>
      </c>
      <c r="J87">
        <v>391.0561797752809</v>
      </c>
      <c r="K87">
        <v>30.954999999999998</v>
      </c>
      <c r="M87">
        <v>0</v>
      </c>
      <c r="N87">
        <v>504.07705119849373</v>
      </c>
      <c r="O87" t="s">
        <v>345</v>
      </c>
      <c r="P87" t="s">
        <v>551</v>
      </c>
    </row>
    <row r="88" spans="1:16" x14ac:dyDescent="0.25">
      <c r="A88" t="s">
        <v>854</v>
      </c>
      <c r="B88" t="s">
        <v>855</v>
      </c>
      <c r="C88">
        <v>609.73</v>
      </c>
      <c r="D88">
        <v>3</v>
      </c>
      <c r="E88">
        <v>15.5</v>
      </c>
      <c r="F88">
        <v>18.754999999999999</v>
      </c>
      <c r="G88" t="s">
        <v>903</v>
      </c>
      <c r="H88">
        <v>0</v>
      </c>
      <c r="I88">
        <v>628.58762886597947</v>
      </c>
      <c r="J88">
        <v>685.08988764044943</v>
      </c>
      <c r="K88">
        <v>30.954999999999998</v>
      </c>
      <c r="M88">
        <v>0</v>
      </c>
      <c r="N88">
        <v>883.09073792454194</v>
      </c>
      <c r="O88" t="s">
        <v>345</v>
      </c>
      <c r="P88" t="s">
        <v>298</v>
      </c>
    </row>
    <row r="89" spans="1:16" x14ac:dyDescent="0.25">
      <c r="A89" t="s">
        <v>689</v>
      </c>
      <c r="B89" t="s">
        <v>690</v>
      </c>
      <c r="C89">
        <v>8385</v>
      </c>
      <c r="D89">
        <v>3</v>
      </c>
      <c r="E89">
        <v>15.5</v>
      </c>
      <c r="F89">
        <f>E89*1.21</f>
        <v>18.754999999999999</v>
      </c>
      <c r="G89" t="s">
        <v>903</v>
      </c>
      <c r="H89">
        <f>(IF(G89='base para costos'!$G$3,'base para costos'!$H$3)+IF(G89='base para costos'!$G$4,'base para costos'!$H$4)+IF(G89='base para costos'!$G$5,'base para costos'!$H$5)+IF(G89='base para costos'!$G$6,'base para costos'!$H$6)+IF(G89='base para costos'!$G$7,'base para costos'!$H$7)+IF(G89='base para costos'!$G$8,'base para costos'!$H$8)+IF(G89='base para costos'!$G$9,'base para costos'!$H$9)+IF(G89='base para costos'!$G$10,'base para costos'!$H$10)+IF(G89='base para costos'!$G$11,'base para costos'!$H$11))</f>
        <v>0</v>
      </c>
      <c r="I89">
        <f>(C89/(('base para costos'!$J$3-D89)/100))</f>
        <v>8644.3298969072166</v>
      </c>
      <c r="J89">
        <f>(C89/(('base para costos'!$J$3-D89)/100-(0.08)))</f>
        <v>9421.348314606741</v>
      </c>
      <c r="K89">
        <f>(D89+8+1.2)+(F89+H89)</f>
        <v>30.954999999999998</v>
      </c>
      <c r="M89">
        <f>L89*1.21</f>
        <v>0</v>
      </c>
      <c r="N89">
        <f>C89/((100-K89)/100)+M89</f>
        <v>12144.253747555942</v>
      </c>
      <c r="O89" t="s">
        <v>691</v>
      </c>
      <c r="P89" t="s">
        <v>298</v>
      </c>
    </row>
    <row r="90" spans="1:16" x14ac:dyDescent="0.25">
      <c r="A90" t="s">
        <v>694</v>
      </c>
      <c r="B90" t="s">
        <v>695</v>
      </c>
      <c r="C90">
        <v>8125</v>
      </c>
      <c r="D90">
        <v>3</v>
      </c>
      <c r="E90">
        <v>15.5</v>
      </c>
      <c r="F90">
        <f>E90*1.21</f>
        <v>18.754999999999999</v>
      </c>
      <c r="G90" t="s">
        <v>903</v>
      </c>
      <c r="H90">
        <f>(IF(G90='base para costos'!$G$3,'base para costos'!$H$3)+IF(G90='base para costos'!$G$4,'base para costos'!$H$4)+IF(G90='base para costos'!$G$5,'base para costos'!$H$5)+IF(G90='base para costos'!$G$6,'base para costos'!$H$6)+IF(G90='base para costos'!$G$7,'base para costos'!$H$7)+IF(G90='base para costos'!$G$8,'base para costos'!$H$8)+IF(G90='base para costos'!$G$9,'base para costos'!$H$9)+IF(G90='base para costos'!$G$10,'base para costos'!$H$10)+IF(G90='base para costos'!$G$11,'base para costos'!$H$11))</f>
        <v>0</v>
      </c>
      <c r="I90">
        <f>(C90/(('base para costos'!$J$3-D90)/100))</f>
        <v>8376.2886597938141</v>
      </c>
      <c r="J90">
        <f>(C90/(('base para costos'!$J$3-D90)/100-(0.08)))</f>
        <v>9129.213483146068</v>
      </c>
      <c r="K90">
        <f>(D90+8+1.2)+(F90+H90)</f>
        <v>30.954999999999998</v>
      </c>
      <c r="M90">
        <f>L90*1.21</f>
        <v>0</v>
      </c>
      <c r="N90">
        <f>C90/((100-K90)/100)+M90</f>
        <v>11767.687739879788</v>
      </c>
      <c r="O90" t="s">
        <v>146</v>
      </c>
      <c r="P90" t="s">
        <v>145</v>
      </c>
    </row>
    <row r="91" spans="1:16" x14ac:dyDescent="0.25">
      <c r="A91" t="s">
        <v>734</v>
      </c>
      <c r="B91" t="s">
        <v>735</v>
      </c>
      <c r="C91">
        <v>6050</v>
      </c>
      <c r="D91">
        <v>3</v>
      </c>
      <c r="E91">
        <v>15.5</v>
      </c>
      <c r="F91">
        <f>E91*1.21</f>
        <v>18.754999999999999</v>
      </c>
      <c r="G91" t="s">
        <v>903</v>
      </c>
      <c r="H91">
        <f>(IF(G91='base para costos'!$G$3,'base para costos'!$H$3)+IF(G91='base para costos'!$G$4,'base para costos'!$H$4)+IF(G91='base para costos'!$G$5,'base para costos'!$H$5)+IF(G91='base para costos'!$G$6,'base para costos'!$H$6)+IF(G91='base para costos'!$G$7,'base para costos'!$H$7)+IF(G91='base para costos'!$G$8,'base para costos'!$H$8)+IF(G91='base para costos'!$G$9,'base para costos'!$H$9)+IF(G91='base para costos'!$G$10,'base para costos'!$H$10)+IF(G91='base para costos'!$G$11,'base para costos'!$H$11))</f>
        <v>0</v>
      </c>
      <c r="I91">
        <f>(C91/(('base para costos'!$J$3-D91)/100))</f>
        <v>6237.1134020618556</v>
      </c>
      <c r="J91">
        <f>(C91/(('base para costos'!$J$3-D91)/100-(0.08)))</f>
        <v>6797.7528089887637</v>
      </c>
      <c r="K91">
        <f>(D91+8+1.2)+(F91+H91)</f>
        <v>30.954999999999998</v>
      </c>
      <c r="M91">
        <f>L91*1.21</f>
        <v>0</v>
      </c>
      <c r="N91">
        <f>C91/((100-K91)/100)+M91</f>
        <v>8762.4013324643347</v>
      </c>
      <c r="O91" t="s">
        <v>146</v>
      </c>
      <c r="P91" t="s">
        <v>298</v>
      </c>
    </row>
    <row r="92" spans="1:16" x14ac:dyDescent="0.25">
      <c r="A92" t="s">
        <v>754</v>
      </c>
      <c r="B92" t="s">
        <v>755</v>
      </c>
      <c r="C92">
        <v>5491.03</v>
      </c>
      <c r="D92">
        <v>3</v>
      </c>
      <c r="E92">
        <v>15.5</v>
      </c>
      <c r="F92">
        <f>E92*1.21</f>
        <v>18.754999999999999</v>
      </c>
      <c r="G92" t="s">
        <v>903</v>
      </c>
      <c r="H92">
        <f>(IF(G92='base para costos'!$G$3,'base para costos'!$H$3)+IF(G92='base para costos'!$G$4,'base para costos'!$H$4)+IF(G92='base para costos'!$G$5,'base para costos'!$H$5)+IF(G92='base para costos'!$G$6,'base para costos'!$H$6)+IF(G92='base para costos'!$G$7,'base para costos'!$H$7)+IF(G92='base para costos'!$G$8,'base para costos'!$H$8)+IF(G92='base para costos'!$G$9,'base para costos'!$H$9)+IF(G92='base para costos'!$G$10,'base para costos'!$H$10)+IF(G92='base para costos'!$G$11,'base para costos'!$H$11))</f>
        <v>0</v>
      </c>
      <c r="I92">
        <f>(C92/(('base para costos'!$J$3-D92)/100))</f>
        <v>5660.855670103093</v>
      </c>
      <c r="J92">
        <f>(C92/(('base para costos'!$J$3-D92)/100-(0.08)))</f>
        <v>6169.696629213483</v>
      </c>
      <c r="K92">
        <f>(D92+8+1.2)+(F92+H92)</f>
        <v>30.954999999999998</v>
      </c>
      <c r="M92">
        <f>L92*1.21</f>
        <v>0</v>
      </c>
      <c r="N92">
        <f>C92/((100-K92)/100)+M92</f>
        <v>7952.8278658845675</v>
      </c>
      <c r="O92" t="s">
        <v>146</v>
      </c>
      <c r="P92" t="s">
        <v>298</v>
      </c>
    </row>
    <row r="231" spans="1:16" x14ac:dyDescent="0.25">
      <c r="A231" t="s">
        <v>861</v>
      </c>
      <c r="B231" t="s">
        <v>862</v>
      </c>
      <c r="C231">
        <v>147.91999999999999</v>
      </c>
      <c r="D231">
        <v>3</v>
      </c>
      <c r="E231">
        <v>15.5</v>
      </c>
      <c r="F231">
        <f>E231*1.21</f>
        <v>18.754999999999999</v>
      </c>
      <c r="G231" t="s">
        <v>903</v>
      </c>
      <c r="H231">
        <f>(IF(G231='base para costos'!$G$3,'base para costos'!$H$3)+IF(G231='base para costos'!$G$4,'base para costos'!$H$4)+IF(G231='base para costos'!$G$5,'base para costos'!$H$5)+IF(G231='base para costos'!$G$6,'base para costos'!$H$6)+IF(G231='base para costos'!$G$7,'base para costos'!$H$7)+IF(G231='base para costos'!$G$8,'base para costos'!$H$8)+IF(G231='base para costos'!$G$9,'base para costos'!$H$9)+IF(G231='base para costos'!$G$10,'base para costos'!$H$10)+IF(G231='base para costos'!$G$11,'base para costos'!$H$11))</f>
        <v>0</v>
      </c>
      <c r="I231">
        <f>(C231/(('base para costos'!$J$3-D231)/100))</f>
        <v>152.49484536082474</v>
      </c>
      <c r="J231">
        <f>(C231/(('base para costos'!$J$3-D231)/100-(0.08)))</f>
        <v>166.20224719101122</v>
      </c>
      <c r="K231">
        <f>(D231+8+1.2)+(F231+H231)</f>
        <v>30.954999999999998</v>
      </c>
      <c r="M231">
        <f>L231*1.21</f>
        <v>0</v>
      </c>
      <c r="N231">
        <f>C231/((100-K231)/100)+M231</f>
        <v>214.23709175175608</v>
      </c>
      <c r="O231" t="s">
        <v>146</v>
      </c>
      <c r="P231" t="s">
        <v>551</v>
      </c>
    </row>
    <row r="234" spans="1:16" x14ac:dyDescent="0.25">
      <c r="A234" t="s">
        <v>867</v>
      </c>
      <c r="B234" t="s">
        <v>868</v>
      </c>
      <c r="C234">
        <v>425.86</v>
      </c>
      <c r="D234">
        <v>3</v>
      </c>
      <c r="E234">
        <v>15.5</v>
      </c>
      <c r="F234">
        <f t="shared" ref="F234:F240" si="4">E234*1.21</f>
        <v>18.754999999999999</v>
      </c>
      <c r="G234" t="s">
        <v>903</v>
      </c>
      <c r="H234">
        <f>(IF(G234='base para costos'!$G$3,'base para costos'!$H$3)+IF(G234='base para costos'!$G$4,'base para costos'!$H$4)+IF(G234='base para costos'!$G$5,'base para costos'!$H$5)+IF(G234='base para costos'!$G$6,'base para costos'!$H$6)+IF(G234='base para costos'!$G$7,'base para costos'!$H$7)+IF(G234='base para costos'!$G$8,'base para costos'!$H$8)+IF(G234='base para costos'!$G$9,'base para costos'!$H$9)+IF(G234='base para costos'!$G$10,'base para costos'!$H$10)+IF(G234='base para costos'!$G$11,'base para costos'!$H$11))</f>
        <v>0</v>
      </c>
      <c r="I234">
        <f>(C234/(('base para costos'!$J$3-D234)/100))</f>
        <v>439.03092783505156</v>
      </c>
      <c r="J234">
        <f>(C234/(('base para costos'!$J$3-D234)/100-(0.08)))</f>
        <v>478.49438202247194</v>
      </c>
      <c r="K234">
        <f t="shared" ref="K234:K240" si="5">(D234+8+1.2)+(F234+H234)</f>
        <v>30.954999999999998</v>
      </c>
      <c r="M234">
        <f t="shared" ref="M234:M240" si="6">L234*1.21</f>
        <v>0</v>
      </c>
      <c r="N234">
        <f t="shared" ref="N234:N240" si="7">C234/((100-K234)/100)+M234</f>
        <v>616.7861539575639</v>
      </c>
      <c r="O234" t="s">
        <v>146</v>
      </c>
      <c r="P234" t="s">
        <v>298</v>
      </c>
    </row>
    <row r="235" spans="1:16" x14ac:dyDescent="0.25">
      <c r="A235" t="s">
        <v>869</v>
      </c>
      <c r="B235" t="s">
        <v>870</v>
      </c>
      <c r="C235">
        <v>756.03</v>
      </c>
      <c r="D235">
        <v>3</v>
      </c>
      <c r="E235">
        <v>15.5</v>
      </c>
      <c r="F235">
        <f t="shared" si="4"/>
        <v>18.754999999999999</v>
      </c>
      <c r="G235" t="s">
        <v>903</v>
      </c>
      <c r="H235">
        <f>(IF(G235='base para costos'!$G$3,'base para costos'!$H$3)+IF(G235='base para costos'!$G$4,'base para costos'!$H$4)+IF(G235='base para costos'!$G$5,'base para costos'!$H$5)+IF(G235='base para costos'!$G$6,'base para costos'!$H$6)+IF(G235='base para costos'!$G$7,'base para costos'!$H$7)+IF(G235='base para costos'!$G$8,'base para costos'!$H$8)+IF(G235='base para costos'!$G$9,'base para costos'!$H$9)+IF(G235='base para costos'!$G$10,'base para costos'!$H$10)+IF(G235='base para costos'!$G$11,'base para costos'!$H$11))</f>
        <v>0</v>
      </c>
      <c r="I235">
        <f>(C235/(('base para costos'!$J$3-D235)/100))</f>
        <v>779.41237113402065</v>
      </c>
      <c r="J235">
        <f>(C235/(('base para costos'!$J$3-D235)/100-(0.08)))</f>
        <v>849.47191011235952</v>
      </c>
      <c r="K235">
        <f t="shared" si="5"/>
        <v>30.954999999999998</v>
      </c>
      <c r="M235">
        <f t="shared" si="6"/>
        <v>0</v>
      </c>
      <c r="N235">
        <f t="shared" si="7"/>
        <v>1094.9815337823159</v>
      </c>
      <c r="O235" t="s">
        <v>146</v>
      </c>
      <c r="P235" t="s">
        <v>145</v>
      </c>
    </row>
    <row r="236" spans="1:16" x14ac:dyDescent="0.25">
      <c r="A236" t="s">
        <v>871</v>
      </c>
      <c r="B236" t="s">
        <v>872</v>
      </c>
      <c r="C236">
        <v>655.92</v>
      </c>
      <c r="D236">
        <v>3</v>
      </c>
      <c r="E236">
        <v>15.5</v>
      </c>
      <c r="F236">
        <f t="shared" si="4"/>
        <v>18.754999999999999</v>
      </c>
      <c r="G236" t="s">
        <v>903</v>
      </c>
      <c r="H236">
        <f>(IF(G236='base para costos'!$G$3,'base para costos'!$H$3)+IF(G236='base para costos'!$G$4,'base para costos'!$H$4)+IF(G236='base para costos'!$G$5,'base para costos'!$H$5)+IF(G236='base para costos'!$G$6,'base para costos'!$H$6)+IF(G236='base para costos'!$G$7,'base para costos'!$H$7)+IF(G236='base para costos'!$G$8,'base para costos'!$H$8)+IF(G236='base para costos'!$G$9,'base para costos'!$H$9)+IF(G236='base para costos'!$G$10,'base para costos'!$H$10)+IF(G236='base para costos'!$G$11,'base para costos'!$H$11))</f>
        <v>0</v>
      </c>
      <c r="I236">
        <f>(C236/(('base para costos'!$J$3-D236)/100))</f>
        <v>676.20618556701027</v>
      </c>
      <c r="J236">
        <f>(C236/(('base para costos'!$J$3-D236)/100-(0.08)))</f>
        <v>736.98876404494376</v>
      </c>
      <c r="K236">
        <f t="shared" si="5"/>
        <v>30.954999999999998</v>
      </c>
      <c r="M236">
        <f t="shared" si="6"/>
        <v>0</v>
      </c>
      <c r="N236">
        <f t="shared" si="7"/>
        <v>949.98913751900932</v>
      </c>
      <c r="O236" t="s">
        <v>146</v>
      </c>
      <c r="P236" t="s">
        <v>298</v>
      </c>
    </row>
    <row r="237" spans="1:16" x14ac:dyDescent="0.25">
      <c r="A237" t="s">
        <v>873</v>
      </c>
      <c r="B237" t="s">
        <v>874</v>
      </c>
      <c r="C237">
        <v>153.86000000000001</v>
      </c>
      <c r="D237">
        <v>3</v>
      </c>
      <c r="E237">
        <v>15.5</v>
      </c>
      <c r="F237">
        <f t="shared" si="4"/>
        <v>18.754999999999999</v>
      </c>
      <c r="G237" t="s">
        <v>903</v>
      </c>
      <c r="H237">
        <f>(IF(G237='base para costos'!$G$3,'base para costos'!$H$3)+IF(G237='base para costos'!$G$4,'base para costos'!$H$4)+IF(G237='base para costos'!$G$5,'base para costos'!$H$5)+IF(G237='base para costos'!$G$6,'base para costos'!$H$6)+IF(G237='base para costos'!$G$7,'base para costos'!$H$7)+IF(G237='base para costos'!$G$8,'base para costos'!$H$8)+IF(G237='base para costos'!$G$9,'base para costos'!$H$9)+IF(G237='base para costos'!$G$10,'base para costos'!$H$10)+IF(G237='base para costos'!$G$11,'base para costos'!$H$11))</f>
        <v>0</v>
      </c>
      <c r="I237">
        <f>(C237/(('base para costos'!$J$3-D237)/100))</f>
        <v>158.61855670103094</v>
      </c>
      <c r="J237">
        <f>(C237/(('base para costos'!$J$3-D237)/100-(0.08)))</f>
        <v>172.87640449438203</v>
      </c>
      <c r="K237">
        <f t="shared" si="5"/>
        <v>30.954999999999998</v>
      </c>
      <c r="M237">
        <f t="shared" si="6"/>
        <v>0</v>
      </c>
      <c r="N237">
        <f t="shared" si="7"/>
        <v>222.84017669635747</v>
      </c>
      <c r="O237" t="s">
        <v>146</v>
      </c>
      <c r="P237" t="s">
        <v>551</v>
      </c>
    </row>
    <row r="238" spans="1:16" x14ac:dyDescent="0.25">
      <c r="A238" t="s">
        <v>875</v>
      </c>
      <c r="B238" t="s">
        <v>876</v>
      </c>
      <c r="C238">
        <v>609.73</v>
      </c>
      <c r="D238">
        <v>3</v>
      </c>
      <c r="E238">
        <v>15.5</v>
      </c>
      <c r="F238">
        <f t="shared" si="4"/>
        <v>18.754999999999999</v>
      </c>
      <c r="G238" t="s">
        <v>903</v>
      </c>
      <c r="H238">
        <f>(IF(G238='base para costos'!$G$3,'base para costos'!$H$3)+IF(G238='base para costos'!$G$4,'base para costos'!$H$4)+IF(G238='base para costos'!$G$5,'base para costos'!$H$5)+IF(G238='base para costos'!$G$6,'base para costos'!$H$6)+IF(G238='base para costos'!$G$7,'base para costos'!$H$7)+IF(G238='base para costos'!$G$8,'base para costos'!$H$8)+IF(G238='base para costos'!$G$9,'base para costos'!$H$9)+IF(G238='base para costos'!$G$10,'base para costos'!$H$10)+IF(G238='base para costos'!$G$11,'base para costos'!$H$11))</f>
        <v>0</v>
      </c>
      <c r="I238">
        <f>(C238/(('base para costos'!$J$3-D238)/100))</f>
        <v>628.58762886597947</v>
      </c>
      <c r="J238">
        <f>(C238/(('base para costos'!$J$3-D238)/100-(0.08)))</f>
        <v>685.08988764044943</v>
      </c>
      <c r="K238">
        <f t="shared" si="5"/>
        <v>30.954999999999998</v>
      </c>
      <c r="M238">
        <f t="shared" si="6"/>
        <v>0</v>
      </c>
      <c r="N238">
        <f t="shared" si="7"/>
        <v>883.09073792454194</v>
      </c>
      <c r="O238" t="s">
        <v>345</v>
      </c>
      <c r="P238" t="s">
        <v>298</v>
      </c>
    </row>
    <row r="239" spans="1:16" x14ac:dyDescent="0.25">
      <c r="A239" t="s">
        <v>888</v>
      </c>
      <c r="B239" t="s">
        <v>889</v>
      </c>
      <c r="C239">
        <v>154.81</v>
      </c>
      <c r="D239">
        <v>10</v>
      </c>
      <c r="E239">
        <v>15.5</v>
      </c>
      <c r="F239">
        <f t="shared" si="4"/>
        <v>18.754999999999999</v>
      </c>
      <c r="G239" t="s">
        <v>903</v>
      </c>
      <c r="H239">
        <f>(IF(G239='base para costos'!$G$3,'base para costos'!$H$3)+IF(G239='base para costos'!$G$4,'base para costos'!$H$4)+IF(G239='base para costos'!$G$5,'base para costos'!$H$5)+IF(G239='base para costos'!$G$6,'base para costos'!$H$6)+IF(G239='base para costos'!$G$7,'base para costos'!$H$7)+IF(G239='base para costos'!$G$8,'base para costos'!$H$8)+IF(G239='base para costos'!$G$9,'base para costos'!$H$9)+IF(G239='base para costos'!$G$10,'base para costos'!$H$10)+IF(G239='base para costos'!$G$11,'base para costos'!$H$11))</f>
        <v>0</v>
      </c>
      <c r="I239">
        <f>(C239/(('base para costos'!$J$3-D239)/100))</f>
        <v>172.01111111111112</v>
      </c>
      <c r="J239">
        <f>(C239/(('base para costos'!$J$3-D239)/100-(0.08)))</f>
        <v>188.79268292682926</v>
      </c>
      <c r="K239">
        <f t="shared" si="5"/>
        <v>37.954999999999998</v>
      </c>
      <c r="M239">
        <f t="shared" si="6"/>
        <v>0</v>
      </c>
      <c r="N239">
        <f t="shared" si="7"/>
        <v>249.51245064066401</v>
      </c>
      <c r="O239" t="s">
        <v>146</v>
      </c>
      <c r="P239" t="s">
        <v>551</v>
      </c>
    </row>
    <row r="240" spans="1:16" x14ac:dyDescent="0.25">
      <c r="A240" t="s">
        <v>890</v>
      </c>
      <c r="B240" t="s">
        <v>891</v>
      </c>
      <c r="C240">
        <v>118.19</v>
      </c>
      <c r="D240">
        <v>3</v>
      </c>
      <c r="E240">
        <v>15.5</v>
      </c>
      <c r="F240">
        <f t="shared" si="4"/>
        <v>18.754999999999999</v>
      </c>
      <c r="G240" t="s">
        <v>903</v>
      </c>
      <c r="H240">
        <f>(IF(G240='base para costos'!$G$3,'base para costos'!$H$3)+IF(G240='base para costos'!$G$4,'base para costos'!$H$4)+IF(G240='base para costos'!$G$5,'base para costos'!$H$5)+IF(G240='base para costos'!$G$6,'base para costos'!$H$6)+IF(G240='base para costos'!$G$7,'base para costos'!$H$7)+IF(G240='base para costos'!$G$8,'base para costos'!$H$8)+IF(G240='base para costos'!$G$9,'base para costos'!$H$9)+IF(G240='base para costos'!$G$10,'base para costos'!$H$10)+IF(G240='base para costos'!$G$11,'base para costos'!$H$11))</f>
        <v>0</v>
      </c>
      <c r="I240">
        <f>(C240/(('base para costos'!$J$3-D240)/100))</f>
        <v>121.84536082474227</v>
      </c>
      <c r="J240">
        <f>(C240/(('base para costos'!$J$3-D240)/100-(0.08)))</f>
        <v>132.79775280898875</v>
      </c>
      <c r="K240">
        <f t="shared" si="5"/>
        <v>30.954999999999998</v>
      </c>
      <c r="M240">
        <f t="shared" si="6"/>
        <v>0</v>
      </c>
      <c r="N240">
        <f t="shared" si="7"/>
        <v>171.17821710478674</v>
      </c>
      <c r="O240" t="s">
        <v>146</v>
      </c>
      <c r="P240" t="s">
        <v>551</v>
      </c>
    </row>
  </sheetData>
  <dataValidations count="1">
    <dataValidation type="list" allowBlank="1" showInputMessage="1" showErrorMessage="1" sqref="G234:G240 G6:G92 G231">
      <formula1>$G$3:$G$11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K36"/>
  <sheetViews>
    <sheetView topLeftCell="A4" workbookViewId="0">
      <selection activeCell="J13" sqref="J13"/>
    </sheetView>
  </sheetViews>
  <sheetFormatPr baseColWidth="10" defaultColWidth="9.140625" defaultRowHeight="15" x14ac:dyDescent="0.25"/>
  <cols>
    <col min="1" max="1" width="24.140625" customWidth="1"/>
    <col min="2" max="2" width="9.5703125" bestFit="1" customWidth="1"/>
    <col min="3" max="4" width="10.7109375" customWidth="1"/>
    <col min="5" max="5" width="25.7109375" customWidth="1"/>
    <col min="7" max="7" width="14.28515625" customWidth="1"/>
    <col min="8" max="8" width="17.140625" bestFit="1" customWidth="1"/>
    <col min="9" max="9" width="12.5703125" bestFit="1" customWidth="1"/>
    <col min="10" max="10" width="14" customWidth="1"/>
    <col min="11" max="11" width="14.5703125" bestFit="1" customWidth="1"/>
  </cols>
  <sheetData>
    <row r="1" spans="1:11" x14ac:dyDescent="0.25">
      <c r="A1" t="s">
        <v>902</v>
      </c>
      <c r="C1">
        <v>0</v>
      </c>
      <c r="D1">
        <v>100</v>
      </c>
    </row>
    <row r="2" spans="1:11" x14ac:dyDescent="0.25">
      <c r="A2" t="s">
        <v>903</v>
      </c>
      <c r="C2">
        <v>0</v>
      </c>
    </row>
    <row r="3" spans="1:11" x14ac:dyDescent="0.25">
      <c r="A3" t="s">
        <v>1237</v>
      </c>
      <c r="B3">
        <v>4</v>
      </c>
      <c r="C3">
        <f>B3*1.21</f>
        <v>4.84</v>
      </c>
    </row>
    <row r="4" spans="1:11" x14ac:dyDescent="0.25">
      <c r="A4" t="s">
        <v>1464</v>
      </c>
      <c r="B4">
        <v>8.5</v>
      </c>
      <c r="C4">
        <f>B4*1.21</f>
        <v>10.285</v>
      </c>
    </row>
    <row r="5" spans="1:11" x14ac:dyDescent="0.25">
      <c r="A5" t="s">
        <v>1461</v>
      </c>
      <c r="B5">
        <v>14</v>
      </c>
      <c r="C5">
        <f>B5*1.21</f>
        <v>16.939999999999998</v>
      </c>
    </row>
    <row r="6" spans="1:11" x14ac:dyDescent="0.25">
      <c r="A6" t="s">
        <v>1462</v>
      </c>
      <c r="B6">
        <v>19.5</v>
      </c>
      <c r="C6">
        <f>B6*1.21</f>
        <v>23.594999999999999</v>
      </c>
    </row>
    <row r="7" spans="1:11" x14ac:dyDescent="0.25">
      <c r="A7" t="s">
        <v>1463</v>
      </c>
      <c r="B7">
        <v>24.5</v>
      </c>
      <c r="C7">
        <f>B7*1.21</f>
        <v>29.645</v>
      </c>
    </row>
    <row r="8" spans="1:11" x14ac:dyDescent="0.25">
      <c r="A8" t="s">
        <v>1286</v>
      </c>
      <c r="C8">
        <v>7.9255000000000004</v>
      </c>
    </row>
    <row r="9" spans="1:11" x14ac:dyDescent="0.25">
      <c r="A9" t="s">
        <v>1287</v>
      </c>
      <c r="C9">
        <v>15.1008</v>
      </c>
    </row>
    <row r="11" spans="1:11" ht="15.75" thickBot="1" x14ac:dyDescent="0.3"/>
    <row r="12" spans="1:11" ht="15.75" thickTop="1" x14ac:dyDescent="0.25">
      <c r="A12" t="s">
        <v>918</v>
      </c>
      <c r="B12" t="s">
        <v>962</v>
      </c>
      <c r="C12" t="s">
        <v>913</v>
      </c>
      <c r="D12" t="s">
        <v>914</v>
      </c>
      <c r="E12" t="s">
        <v>963</v>
      </c>
      <c r="F12" t="s">
        <v>964</v>
      </c>
      <c r="G12" t="s">
        <v>965</v>
      </c>
      <c r="H12" t="s">
        <v>966</v>
      </c>
      <c r="I12" t="s">
        <v>916</v>
      </c>
      <c r="J12" t="s">
        <v>967</v>
      </c>
      <c r="K12" t="s">
        <v>968</v>
      </c>
    </row>
    <row r="13" spans="1:11" ht="15.75" thickBot="1" x14ac:dyDescent="0.3">
      <c r="A13">
        <v>220000</v>
      </c>
      <c r="B13">
        <v>3</v>
      </c>
      <c r="C13">
        <v>14.15</v>
      </c>
      <c r="D13">
        <f>C13*1.21</f>
        <v>17.121500000000001</v>
      </c>
      <c r="E13" t="s">
        <v>1462</v>
      </c>
      <c r="F13">
        <f>(IF(E13=$A$1,$C$1)+IF(E13=$A$2,$C$2)+IF(E13=$A$3,$C$3)+IF(E13=$A$4,$C$4)+IF(E13=$A$5,$C$5)+IF(E13=$A$6,$C$6)+IF(E13=$A$7,$C$7)+IF(E13=$A$8,$C$8)+IF(E13=$A$9,$C$9))</f>
        <v>23.594999999999999</v>
      </c>
      <c r="G13">
        <f>(A13/(($D$1-B13)/100))</f>
        <v>226804.12371134022</v>
      </c>
      <c r="H13">
        <f>(A13/(($D$1-B13)/100-(0.08)))</f>
        <v>247191.01123595505</v>
      </c>
      <c r="I13">
        <f>(B13+8+1.2)+(D13+F13)</f>
        <v>52.916499999999999</v>
      </c>
      <c r="K13">
        <f>A13/((100-I13)/100)+J13</f>
        <v>467254.98316820117</v>
      </c>
    </row>
    <row r="14" spans="1:11" ht="15.75" thickBot="1" x14ac:dyDescent="0.3">
      <c r="E14" t="s">
        <v>969</v>
      </c>
    </row>
    <row r="15" spans="1:11" ht="16.5" thickTop="1" thickBot="1" x14ac:dyDescent="0.3">
      <c r="C15" t="s">
        <v>970</v>
      </c>
    </row>
    <row r="16" spans="1:11" ht="15.75" thickTop="1" x14ac:dyDescent="0.25"/>
    <row r="17" spans="1:6" x14ac:dyDescent="0.25">
      <c r="A17">
        <v>1658159</v>
      </c>
      <c r="B17">
        <f>A17*10%</f>
        <v>165815.90000000002</v>
      </c>
      <c r="E17" t="s">
        <v>971</v>
      </c>
      <c r="F17">
        <v>14.15</v>
      </c>
    </row>
    <row r="18" spans="1:6" x14ac:dyDescent="0.25">
      <c r="E18" t="s">
        <v>1318</v>
      </c>
      <c r="F18">
        <v>14.15</v>
      </c>
    </row>
    <row r="19" spans="1:6" x14ac:dyDescent="0.25">
      <c r="E19" t="s">
        <v>1187</v>
      </c>
      <c r="F19">
        <v>13.65</v>
      </c>
    </row>
    <row r="20" spans="1:6" x14ac:dyDescent="0.25">
      <c r="E20" t="s">
        <v>1188</v>
      </c>
      <c r="F20">
        <v>13.15</v>
      </c>
    </row>
    <row r="21" spans="1:6" x14ac:dyDescent="0.25">
      <c r="E21" t="s">
        <v>972</v>
      </c>
      <c r="F21">
        <v>12.65</v>
      </c>
    </row>
    <row r="22" spans="1:6" x14ac:dyDescent="0.25">
      <c r="E22" t="s">
        <v>1184</v>
      </c>
      <c r="F22">
        <v>12.15</v>
      </c>
    </row>
    <row r="23" spans="1:6" x14ac:dyDescent="0.25">
      <c r="E23" t="s">
        <v>1185</v>
      </c>
      <c r="F23">
        <v>12.15</v>
      </c>
    </row>
    <row r="24" spans="1:6" x14ac:dyDescent="0.25">
      <c r="E24" t="s">
        <v>1186</v>
      </c>
      <c r="F24">
        <v>12.15</v>
      </c>
    </row>
    <row r="25" spans="1:6" x14ac:dyDescent="0.25">
      <c r="E25" t="s">
        <v>982</v>
      </c>
      <c r="F25">
        <v>15.5</v>
      </c>
    </row>
    <row r="26" spans="1:6" x14ac:dyDescent="0.25">
      <c r="E26" t="s">
        <v>973</v>
      </c>
      <c r="F26">
        <v>16</v>
      </c>
    </row>
    <row r="27" spans="1:6" x14ac:dyDescent="0.25">
      <c r="E27" t="s">
        <v>974</v>
      </c>
      <c r="F27">
        <v>12.15</v>
      </c>
    </row>
    <row r="28" spans="1:6" x14ac:dyDescent="0.25">
      <c r="E28" t="s">
        <v>975</v>
      </c>
      <c r="F28">
        <v>15.5</v>
      </c>
    </row>
    <row r="29" spans="1:6" x14ac:dyDescent="0.25">
      <c r="E29" t="s">
        <v>976</v>
      </c>
      <c r="F29">
        <v>16</v>
      </c>
    </row>
    <row r="30" spans="1:6" x14ac:dyDescent="0.25">
      <c r="E30" t="s">
        <v>607</v>
      </c>
      <c r="F30">
        <v>13.5</v>
      </c>
    </row>
    <row r="31" spans="1:6" x14ac:dyDescent="0.25">
      <c r="E31" t="s">
        <v>977</v>
      </c>
      <c r="F31">
        <v>14.5</v>
      </c>
    </row>
    <row r="32" spans="1:6" x14ac:dyDescent="0.25">
      <c r="E32" t="s">
        <v>978</v>
      </c>
      <c r="F32">
        <v>14.5</v>
      </c>
    </row>
    <row r="33" spans="5:6" x14ac:dyDescent="0.25">
      <c r="E33" t="s">
        <v>1327</v>
      </c>
      <c r="F33">
        <v>12.65</v>
      </c>
    </row>
    <row r="34" spans="5:6" x14ac:dyDescent="0.25">
      <c r="E34" t="s">
        <v>1052</v>
      </c>
      <c r="F34">
        <v>14</v>
      </c>
    </row>
    <row r="35" spans="5:6" x14ac:dyDescent="0.25">
      <c r="E35" t="s">
        <v>1164</v>
      </c>
      <c r="F35">
        <v>14.15</v>
      </c>
    </row>
    <row r="36" spans="5:6" x14ac:dyDescent="0.25">
      <c r="E36" t="s">
        <v>1566</v>
      </c>
    </row>
  </sheetData>
  <dataValidations disablePrompts="1" count="2">
    <dataValidation type="list" errorStyle="information" showInputMessage="1" showErrorMessage="1" promptTitle="Tipo de publicacion" sqref="E14:E16">
      <formula1>#REF!</formula1>
    </dataValidation>
    <dataValidation type="list" allowBlank="1" showInputMessage="1" showErrorMessage="1" sqref="E13">
      <formula1>$A$1:$A$9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1</vt:i4>
      </vt:variant>
    </vt:vector>
  </HeadingPairs>
  <TitlesOfParts>
    <vt:vector size="14" baseType="lpstr">
      <vt:lpstr>base para costos</vt:lpstr>
      <vt:lpstr>CALCULADORA</vt:lpstr>
      <vt:lpstr>promedios</vt:lpstr>
      <vt:lpstr>calculadora de porcentaje</vt:lpstr>
      <vt:lpstr>stock fisico </vt:lpstr>
      <vt:lpstr>PVP WEB LINK DE PAGO</vt:lpstr>
      <vt:lpstr>Margenes</vt:lpstr>
      <vt:lpstr>360</vt:lpstr>
      <vt:lpstr>HORNOS OULET</vt:lpstr>
      <vt:lpstr>discontinuos</vt:lpstr>
      <vt:lpstr>costo envio</vt:lpstr>
      <vt:lpstr>cartuchos</vt:lpstr>
      <vt:lpstr>d</vt:lpstr>
      <vt:lpstr>_3_cuotas_al_mismo_precio_que_publiques_8.90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2025-07-24T15:18:24Z</dcterms:modified>
</cp:coreProperties>
</file>